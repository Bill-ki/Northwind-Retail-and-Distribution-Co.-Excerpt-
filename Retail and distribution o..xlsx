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ataset\northwest pratie dataset\"/>
    </mc:Choice>
  </mc:AlternateContent>
  <bookViews>
    <workbookView xWindow="0" yWindow="0" windowWidth="16380" windowHeight="8190" tabRatio="500" firstSheet="8" activeTab="13"/>
  </bookViews>
  <sheets>
    <sheet name="Dashboard" sheetId="2" r:id="rId1"/>
    <sheet name="Sales Analysis" sheetId="3" r:id="rId2"/>
    <sheet name="Finance Analysis" sheetId="4" r:id="rId3"/>
    <sheet name="HR Analysis" sheetId="5" r:id="rId4"/>
    <sheet name="Supply Chain Analysis" sheetId="6" r:id="rId5"/>
    <sheet name="Departments" sheetId="7" r:id="rId6"/>
    <sheet name="Employees" sheetId="8" r:id="rId7"/>
    <sheet name="Customers" sheetId="9" r:id="rId8"/>
    <sheet name="Suppliers" sheetId="10" r:id="rId9"/>
    <sheet name="Categories" sheetId="11" r:id="rId10"/>
    <sheet name="Products" sheetId="12" r:id="rId11"/>
    <sheet name="Orders" sheetId="13" r:id="rId12"/>
    <sheet name="OrderItems" sheetId="14" r:id="rId13"/>
    <sheet name="Payments" sheetId="15" r:id="rId14"/>
    <sheet name="InventoryTransactions" sheetId="16" r:id="rId1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4" l="1"/>
  <c r="H15" i="3"/>
  <c r="B15" i="3"/>
  <c r="H351" i="16"/>
  <c r="F351" i="16"/>
  <c r="H350" i="16"/>
  <c r="F350" i="16"/>
  <c r="H349" i="16"/>
  <c r="F349" i="16"/>
  <c r="H348" i="16"/>
  <c r="F348" i="16"/>
  <c r="H347" i="16"/>
  <c r="F347" i="16"/>
  <c r="H346" i="16"/>
  <c r="F346" i="16"/>
  <c r="H345" i="16"/>
  <c r="F345" i="16"/>
  <c r="H344" i="16"/>
  <c r="F344" i="16"/>
  <c r="H343" i="16"/>
  <c r="F343" i="16"/>
  <c r="H342" i="16"/>
  <c r="F342" i="16"/>
  <c r="H341" i="16"/>
  <c r="F341" i="16"/>
  <c r="H340" i="16"/>
  <c r="F340" i="16"/>
  <c r="H339" i="16"/>
  <c r="F339" i="16"/>
  <c r="H338" i="16"/>
  <c r="F338" i="16"/>
  <c r="H337" i="16"/>
  <c r="F337" i="16"/>
  <c r="H336" i="16"/>
  <c r="F336" i="16"/>
  <c r="H335" i="16"/>
  <c r="F335" i="16"/>
  <c r="H334" i="16"/>
  <c r="F334" i="16"/>
  <c r="H333" i="16"/>
  <c r="F333" i="16"/>
  <c r="H332" i="16"/>
  <c r="F332" i="16"/>
  <c r="H331" i="16"/>
  <c r="F331" i="16"/>
  <c r="H330" i="16"/>
  <c r="F330" i="16"/>
  <c r="H329" i="16"/>
  <c r="F329" i="16"/>
  <c r="H328" i="16"/>
  <c r="F328" i="16"/>
  <c r="H327" i="16"/>
  <c r="F327" i="16"/>
  <c r="H326" i="16"/>
  <c r="F326" i="16"/>
  <c r="H325" i="16"/>
  <c r="F325" i="16"/>
  <c r="H324" i="16"/>
  <c r="F324" i="16"/>
  <c r="H323" i="16"/>
  <c r="F323" i="16"/>
  <c r="H322" i="16"/>
  <c r="F322" i="16"/>
  <c r="H321" i="16"/>
  <c r="F321" i="16"/>
  <c r="H320" i="16"/>
  <c r="F320" i="16"/>
  <c r="H319" i="16"/>
  <c r="F319" i="16"/>
  <c r="H318" i="16"/>
  <c r="F318" i="16"/>
  <c r="H317" i="16"/>
  <c r="F317" i="16"/>
  <c r="H316" i="16"/>
  <c r="F316" i="16"/>
  <c r="H315" i="16"/>
  <c r="F315" i="16"/>
  <c r="H314" i="16"/>
  <c r="F314" i="16"/>
  <c r="H313" i="16"/>
  <c r="F313" i="16"/>
  <c r="H312" i="16"/>
  <c r="F312" i="16"/>
  <c r="H311" i="16"/>
  <c r="F311" i="16"/>
  <c r="H310" i="16"/>
  <c r="F310" i="16"/>
  <c r="H309" i="16"/>
  <c r="F309" i="16"/>
  <c r="H308" i="16"/>
  <c r="F308" i="16"/>
  <c r="H307" i="16"/>
  <c r="F307" i="16"/>
  <c r="H306" i="16"/>
  <c r="F306" i="16"/>
  <c r="H305" i="16"/>
  <c r="F305" i="16"/>
  <c r="H304" i="16"/>
  <c r="F304" i="16"/>
  <c r="H303" i="16"/>
  <c r="F303" i="16"/>
  <c r="H302" i="16"/>
  <c r="F302" i="16"/>
  <c r="H301" i="16"/>
  <c r="F301" i="16"/>
  <c r="H300" i="16"/>
  <c r="F300" i="16"/>
  <c r="H299" i="16"/>
  <c r="F299" i="16"/>
  <c r="H298" i="16"/>
  <c r="F298" i="16"/>
  <c r="H297" i="16"/>
  <c r="F297" i="16"/>
  <c r="H296" i="16"/>
  <c r="F296" i="16"/>
  <c r="H295" i="16"/>
  <c r="F295" i="16"/>
  <c r="H294" i="16"/>
  <c r="F294" i="16"/>
  <c r="H293" i="16"/>
  <c r="F293" i="16"/>
  <c r="H292" i="16"/>
  <c r="F292" i="16"/>
  <c r="H291" i="16"/>
  <c r="F291" i="16"/>
  <c r="H290" i="16"/>
  <c r="F290" i="16"/>
  <c r="H289" i="16"/>
  <c r="F289" i="16"/>
  <c r="H288" i="16"/>
  <c r="F288" i="16"/>
  <c r="H287" i="16"/>
  <c r="F287" i="16"/>
  <c r="H286" i="16"/>
  <c r="F286" i="16"/>
  <c r="H285" i="16"/>
  <c r="F285" i="16"/>
  <c r="H284" i="16"/>
  <c r="F284" i="16"/>
  <c r="H283" i="16"/>
  <c r="F283" i="16"/>
  <c r="H282" i="16"/>
  <c r="F282" i="16"/>
  <c r="H281" i="16"/>
  <c r="F281" i="16"/>
  <c r="H280" i="16"/>
  <c r="F280" i="16"/>
  <c r="H279" i="16"/>
  <c r="F279" i="16"/>
  <c r="H278" i="16"/>
  <c r="F278" i="16"/>
  <c r="H277" i="16"/>
  <c r="F277" i="16"/>
  <c r="H276" i="16"/>
  <c r="F276" i="16"/>
  <c r="H275" i="16"/>
  <c r="F275" i="16"/>
  <c r="H274" i="16"/>
  <c r="F274" i="16"/>
  <c r="H273" i="16"/>
  <c r="F273" i="16"/>
  <c r="H272" i="16"/>
  <c r="F272" i="16"/>
  <c r="H271" i="16"/>
  <c r="F271" i="16"/>
  <c r="H270" i="16"/>
  <c r="F270" i="16"/>
  <c r="H269" i="16"/>
  <c r="F269" i="16"/>
  <c r="H268" i="16"/>
  <c r="F268" i="16"/>
  <c r="H267" i="16"/>
  <c r="F267" i="16"/>
  <c r="H266" i="16"/>
  <c r="F266" i="16"/>
  <c r="H265" i="16"/>
  <c r="F265" i="16"/>
  <c r="H264" i="16"/>
  <c r="F264" i="16"/>
  <c r="H263" i="16"/>
  <c r="F263" i="16"/>
  <c r="H262" i="16"/>
  <c r="F262" i="16"/>
  <c r="H261" i="16"/>
  <c r="F261" i="16"/>
  <c r="H260" i="16"/>
  <c r="F260" i="16"/>
  <c r="H259" i="16"/>
  <c r="F259" i="16"/>
  <c r="H258" i="16"/>
  <c r="F258" i="16"/>
  <c r="H257" i="16"/>
  <c r="F257" i="16"/>
  <c r="H256" i="16"/>
  <c r="F256" i="16"/>
  <c r="H255" i="16"/>
  <c r="F255" i="16"/>
  <c r="H254" i="16"/>
  <c r="F254" i="16"/>
  <c r="H253" i="16"/>
  <c r="F253" i="16"/>
  <c r="H252" i="16"/>
  <c r="F252" i="16"/>
  <c r="H251" i="16"/>
  <c r="F251" i="16"/>
  <c r="H250" i="16"/>
  <c r="F250" i="16"/>
  <c r="H249" i="16"/>
  <c r="F249" i="16"/>
  <c r="H248" i="16"/>
  <c r="F248" i="16"/>
  <c r="H247" i="16"/>
  <c r="F247" i="16"/>
  <c r="H246" i="16"/>
  <c r="F246" i="16"/>
  <c r="H245" i="16"/>
  <c r="F245" i="16"/>
  <c r="H244" i="16"/>
  <c r="F244" i="16"/>
  <c r="H243" i="16"/>
  <c r="F243" i="16"/>
  <c r="H242" i="16"/>
  <c r="F242" i="16"/>
  <c r="H241" i="16"/>
  <c r="F241" i="16"/>
  <c r="H240" i="16"/>
  <c r="F240" i="16"/>
  <c r="H239" i="16"/>
  <c r="F239" i="16"/>
  <c r="H238" i="16"/>
  <c r="F238" i="16"/>
  <c r="H237" i="16"/>
  <c r="F237" i="16"/>
  <c r="H236" i="16"/>
  <c r="F236" i="16"/>
  <c r="H235" i="16"/>
  <c r="F235" i="16"/>
  <c r="H234" i="16"/>
  <c r="F234" i="16"/>
  <c r="H233" i="16"/>
  <c r="F233" i="16"/>
  <c r="H232" i="16"/>
  <c r="F232" i="16"/>
  <c r="H231" i="16"/>
  <c r="F231" i="16"/>
  <c r="H230" i="16"/>
  <c r="F230" i="16"/>
  <c r="H229" i="16"/>
  <c r="F229" i="16"/>
  <c r="H228" i="16"/>
  <c r="F228" i="16"/>
  <c r="H227" i="16"/>
  <c r="F227" i="16"/>
  <c r="H226" i="16"/>
  <c r="F226" i="16"/>
  <c r="H225" i="16"/>
  <c r="F225" i="16"/>
  <c r="H224" i="16"/>
  <c r="F224" i="16"/>
  <c r="H223" i="16"/>
  <c r="F223" i="16"/>
  <c r="H222" i="16"/>
  <c r="F222" i="16"/>
  <c r="H221" i="16"/>
  <c r="F221" i="16"/>
  <c r="H220" i="16"/>
  <c r="F220" i="16"/>
  <c r="H219" i="16"/>
  <c r="F219" i="16"/>
  <c r="H218" i="16"/>
  <c r="F218" i="16"/>
  <c r="H217" i="16"/>
  <c r="F217" i="16"/>
  <c r="H216" i="16"/>
  <c r="F216" i="16"/>
  <c r="H215" i="16"/>
  <c r="F215" i="16"/>
  <c r="H214" i="16"/>
  <c r="F214" i="16"/>
  <c r="H213" i="16"/>
  <c r="F213" i="16"/>
  <c r="H212" i="16"/>
  <c r="F212" i="16"/>
  <c r="H211" i="16"/>
  <c r="F211" i="16"/>
  <c r="H210" i="16"/>
  <c r="F210" i="16"/>
  <c r="H209" i="16"/>
  <c r="F209" i="16"/>
  <c r="H208" i="16"/>
  <c r="F208" i="16"/>
  <c r="H207" i="16"/>
  <c r="F207" i="16"/>
  <c r="H206" i="16"/>
  <c r="F206" i="16"/>
  <c r="H205" i="16"/>
  <c r="F205" i="16"/>
  <c r="H204" i="16"/>
  <c r="F204" i="16"/>
  <c r="H203" i="16"/>
  <c r="F203" i="16"/>
  <c r="H202" i="16"/>
  <c r="F202" i="16"/>
  <c r="H201" i="16"/>
  <c r="F201" i="16"/>
  <c r="H200" i="16"/>
  <c r="F200" i="16"/>
  <c r="H199" i="16"/>
  <c r="F199" i="16"/>
  <c r="H198" i="16"/>
  <c r="F198" i="16"/>
  <c r="H197" i="16"/>
  <c r="F197" i="16"/>
  <c r="H196" i="16"/>
  <c r="F196" i="16"/>
  <c r="H195" i="16"/>
  <c r="F195" i="16"/>
  <c r="H194" i="16"/>
  <c r="F194" i="16"/>
  <c r="H193" i="16"/>
  <c r="F193" i="16"/>
  <c r="H192" i="16"/>
  <c r="F192" i="16"/>
  <c r="H191" i="16"/>
  <c r="F191" i="16"/>
  <c r="H190" i="16"/>
  <c r="F190" i="16"/>
  <c r="H189" i="16"/>
  <c r="F189" i="16"/>
  <c r="H188" i="16"/>
  <c r="F188" i="16"/>
  <c r="H187" i="16"/>
  <c r="F187" i="16"/>
  <c r="H186" i="16"/>
  <c r="F186" i="16"/>
  <c r="H185" i="16"/>
  <c r="F185" i="16"/>
  <c r="H184" i="16"/>
  <c r="F184" i="16"/>
  <c r="H183" i="16"/>
  <c r="F183" i="16"/>
  <c r="H182" i="16"/>
  <c r="F182" i="16"/>
  <c r="H181" i="16"/>
  <c r="F181" i="16"/>
  <c r="H180" i="16"/>
  <c r="F180" i="16"/>
  <c r="H179" i="16"/>
  <c r="F179" i="16"/>
  <c r="H178" i="16"/>
  <c r="F178" i="16"/>
  <c r="H177" i="16"/>
  <c r="F177" i="16"/>
  <c r="H176" i="16"/>
  <c r="F176" i="16"/>
  <c r="H175" i="16"/>
  <c r="F175" i="16"/>
  <c r="H174" i="16"/>
  <c r="F174" i="16"/>
  <c r="H173" i="16"/>
  <c r="F173" i="16"/>
  <c r="H172" i="16"/>
  <c r="F172" i="16"/>
  <c r="H171" i="16"/>
  <c r="F171" i="16"/>
  <c r="H170" i="16"/>
  <c r="F170" i="16"/>
  <c r="H169" i="16"/>
  <c r="F169" i="16"/>
  <c r="H168" i="16"/>
  <c r="F168" i="16"/>
  <c r="H167" i="16"/>
  <c r="F167" i="16"/>
  <c r="H166" i="16"/>
  <c r="F166" i="16"/>
  <c r="H165" i="16"/>
  <c r="F165" i="16"/>
  <c r="H164" i="16"/>
  <c r="F164" i="16"/>
  <c r="H163" i="16"/>
  <c r="F163" i="16"/>
  <c r="H162" i="16"/>
  <c r="F162" i="16"/>
  <c r="H161" i="16"/>
  <c r="F161" i="16"/>
  <c r="H160" i="16"/>
  <c r="F160" i="16"/>
  <c r="H159" i="16"/>
  <c r="F159" i="16"/>
  <c r="H158" i="16"/>
  <c r="F158" i="16"/>
  <c r="H157" i="16"/>
  <c r="F157" i="16"/>
  <c r="H156" i="16"/>
  <c r="F156" i="16"/>
  <c r="H155" i="16"/>
  <c r="F155" i="16"/>
  <c r="H154" i="16"/>
  <c r="F154" i="16"/>
  <c r="H153" i="16"/>
  <c r="F153" i="16"/>
  <c r="H152" i="16"/>
  <c r="F152" i="16"/>
  <c r="H151" i="16"/>
  <c r="F151" i="16"/>
  <c r="H150" i="16"/>
  <c r="F150" i="16"/>
  <c r="H149" i="16"/>
  <c r="F149" i="16"/>
  <c r="H148" i="16"/>
  <c r="F148" i="16"/>
  <c r="H147" i="16"/>
  <c r="F147" i="16"/>
  <c r="H146" i="16"/>
  <c r="F146" i="16"/>
  <c r="H145" i="16"/>
  <c r="F145" i="16"/>
  <c r="H144" i="16"/>
  <c r="F144" i="16"/>
  <c r="H143" i="16"/>
  <c r="F143" i="16"/>
  <c r="H142" i="16"/>
  <c r="F142" i="16"/>
  <c r="H141" i="16"/>
  <c r="F141" i="16"/>
  <c r="H140" i="16"/>
  <c r="F140" i="16"/>
  <c r="H139" i="16"/>
  <c r="F139" i="16"/>
  <c r="H138" i="16"/>
  <c r="F138" i="16"/>
  <c r="H137" i="16"/>
  <c r="F137" i="16"/>
  <c r="H136" i="16"/>
  <c r="F136" i="16"/>
  <c r="H135" i="16"/>
  <c r="F135" i="16"/>
  <c r="H134" i="16"/>
  <c r="F134" i="16"/>
  <c r="H133" i="16"/>
  <c r="F133" i="16"/>
  <c r="H132" i="16"/>
  <c r="F132" i="16"/>
  <c r="H131" i="16"/>
  <c r="F131" i="16"/>
  <c r="H130" i="16"/>
  <c r="F130" i="16"/>
  <c r="H129" i="16"/>
  <c r="F129" i="16"/>
  <c r="H128" i="16"/>
  <c r="F128" i="16"/>
  <c r="H127" i="16"/>
  <c r="F127" i="16"/>
  <c r="H126" i="16"/>
  <c r="F126" i="16"/>
  <c r="H125" i="16"/>
  <c r="F125" i="16"/>
  <c r="H124" i="16"/>
  <c r="F124" i="16"/>
  <c r="H123" i="16"/>
  <c r="F123" i="16"/>
  <c r="H122" i="16"/>
  <c r="F122" i="16"/>
  <c r="H121" i="16"/>
  <c r="F121" i="16"/>
  <c r="H120" i="16"/>
  <c r="F120" i="16"/>
  <c r="H119" i="16"/>
  <c r="F119" i="16"/>
  <c r="H118" i="16"/>
  <c r="F118" i="16"/>
  <c r="H117" i="16"/>
  <c r="F117" i="16"/>
  <c r="H116" i="16"/>
  <c r="F116" i="16"/>
  <c r="H115" i="16"/>
  <c r="F115" i="16"/>
  <c r="H114" i="16"/>
  <c r="F114" i="16"/>
  <c r="H113" i="16"/>
  <c r="F113" i="16"/>
  <c r="H112" i="16"/>
  <c r="F112" i="16"/>
  <c r="H111" i="16"/>
  <c r="F111" i="16"/>
  <c r="H110" i="16"/>
  <c r="F110" i="16"/>
  <c r="H109" i="16"/>
  <c r="F109" i="16"/>
  <c r="H108" i="16"/>
  <c r="F108" i="16"/>
  <c r="H107" i="16"/>
  <c r="F107" i="16"/>
  <c r="H106" i="16"/>
  <c r="F106" i="16"/>
  <c r="H105" i="16"/>
  <c r="F105" i="16"/>
  <c r="H104" i="16"/>
  <c r="F104" i="16"/>
  <c r="H103" i="16"/>
  <c r="F103" i="16"/>
  <c r="H102" i="16"/>
  <c r="F102" i="16"/>
  <c r="H101" i="16"/>
  <c r="F101" i="16"/>
  <c r="H100" i="16"/>
  <c r="F100" i="16"/>
  <c r="H99" i="16"/>
  <c r="F99" i="16"/>
  <c r="H98" i="16"/>
  <c r="F98" i="16"/>
  <c r="H97" i="16"/>
  <c r="F97" i="16"/>
  <c r="H96" i="16"/>
  <c r="F96" i="16"/>
  <c r="H95" i="16"/>
  <c r="F95" i="16"/>
  <c r="H94" i="16"/>
  <c r="F94" i="16"/>
  <c r="H93" i="16"/>
  <c r="F93" i="16"/>
  <c r="H92" i="16"/>
  <c r="F92" i="16"/>
  <c r="H91" i="16"/>
  <c r="F91" i="16"/>
  <c r="H90" i="16"/>
  <c r="F90" i="16"/>
  <c r="H89" i="16"/>
  <c r="F89" i="16"/>
  <c r="H88" i="16"/>
  <c r="F88" i="16"/>
  <c r="H87" i="16"/>
  <c r="F87" i="16"/>
  <c r="H86" i="16"/>
  <c r="F86" i="16"/>
  <c r="H85" i="16"/>
  <c r="F85" i="16"/>
  <c r="H84" i="16"/>
  <c r="F84" i="16"/>
  <c r="H83" i="16"/>
  <c r="F83" i="16"/>
  <c r="H82" i="16"/>
  <c r="F82" i="16"/>
  <c r="H81" i="16"/>
  <c r="F81" i="16"/>
  <c r="H80" i="16"/>
  <c r="F80" i="16"/>
  <c r="H79" i="16"/>
  <c r="F79" i="16"/>
  <c r="H78" i="16"/>
  <c r="F78" i="16"/>
  <c r="H77" i="16"/>
  <c r="F77" i="16"/>
  <c r="H76" i="16"/>
  <c r="F76" i="16"/>
  <c r="H75" i="16"/>
  <c r="F75" i="16"/>
  <c r="H74" i="16"/>
  <c r="F74" i="16"/>
  <c r="H73" i="16"/>
  <c r="F73" i="16"/>
  <c r="H72" i="16"/>
  <c r="F72" i="16"/>
  <c r="H71" i="16"/>
  <c r="F71" i="16"/>
  <c r="H70" i="16"/>
  <c r="F70" i="16"/>
  <c r="H69" i="16"/>
  <c r="F69" i="16"/>
  <c r="H68" i="16"/>
  <c r="F68" i="16"/>
  <c r="H67" i="16"/>
  <c r="F67" i="16"/>
  <c r="H66" i="16"/>
  <c r="F66" i="16"/>
  <c r="H65" i="16"/>
  <c r="F65" i="16"/>
  <c r="H64" i="16"/>
  <c r="F64" i="16"/>
  <c r="H63" i="16"/>
  <c r="F63" i="16"/>
  <c r="H62" i="16"/>
  <c r="F62" i="16"/>
  <c r="H61" i="16"/>
  <c r="F61" i="16"/>
  <c r="H60" i="16"/>
  <c r="F60" i="16"/>
  <c r="H59" i="16"/>
  <c r="F59" i="16"/>
  <c r="H58" i="16"/>
  <c r="F58" i="16"/>
  <c r="H57" i="16"/>
  <c r="F57" i="16"/>
  <c r="H56" i="16"/>
  <c r="F56" i="16"/>
  <c r="H55" i="16"/>
  <c r="F55" i="16"/>
  <c r="H54" i="16"/>
  <c r="F54" i="16"/>
  <c r="H53" i="16"/>
  <c r="F53" i="16"/>
  <c r="H52" i="16"/>
  <c r="F52" i="16"/>
  <c r="H51" i="16"/>
  <c r="F51" i="16"/>
  <c r="H50" i="16"/>
  <c r="F50" i="16"/>
  <c r="H49" i="16"/>
  <c r="F49" i="16"/>
  <c r="H48" i="16"/>
  <c r="F48" i="16"/>
  <c r="H47" i="16"/>
  <c r="F47" i="16"/>
  <c r="H46" i="16"/>
  <c r="F46" i="16"/>
  <c r="H45" i="16"/>
  <c r="F45" i="16"/>
  <c r="H44" i="16"/>
  <c r="F44" i="16"/>
  <c r="H43" i="16"/>
  <c r="F43" i="16"/>
  <c r="H42" i="16"/>
  <c r="F42" i="16"/>
  <c r="H41" i="16"/>
  <c r="F41" i="16"/>
  <c r="H40" i="16"/>
  <c r="F40" i="16"/>
  <c r="H39" i="16"/>
  <c r="F39" i="16"/>
  <c r="H38" i="16"/>
  <c r="F38" i="16"/>
  <c r="H37" i="16"/>
  <c r="F37" i="16"/>
  <c r="H36" i="16"/>
  <c r="F36" i="16"/>
  <c r="H35" i="16"/>
  <c r="F35" i="16"/>
  <c r="H34" i="16"/>
  <c r="F34" i="16"/>
  <c r="H33" i="16"/>
  <c r="F33" i="16"/>
  <c r="H32" i="16"/>
  <c r="F32" i="16"/>
  <c r="H31" i="16"/>
  <c r="F31" i="16"/>
  <c r="H30" i="16"/>
  <c r="F30" i="16"/>
  <c r="H29" i="16"/>
  <c r="F29" i="16"/>
  <c r="H28" i="16"/>
  <c r="F28" i="16"/>
  <c r="H27" i="16"/>
  <c r="F27" i="16"/>
  <c r="H26" i="16"/>
  <c r="F26" i="16"/>
  <c r="H25" i="16"/>
  <c r="F25" i="16"/>
  <c r="H24" i="16"/>
  <c r="F24" i="16"/>
  <c r="H23" i="16"/>
  <c r="F23" i="16"/>
  <c r="H22" i="16"/>
  <c r="F22" i="16"/>
  <c r="H21" i="16"/>
  <c r="F21" i="16"/>
  <c r="H20" i="16"/>
  <c r="F20" i="16"/>
  <c r="H19" i="16"/>
  <c r="F19" i="16"/>
  <c r="H18" i="16"/>
  <c r="F18" i="16"/>
  <c r="H17" i="16"/>
  <c r="F17" i="16"/>
  <c r="H16" i="16"/>
  <c r="F16" i="16"/>
  <c r="H15" i="16"/>
  <c r="F15" i="16"/>
  <c r="H14" i="16"/>
  <c r="F14" i="16"/>
  <c r="H13" i="16"/>
  <c r="F13" i="16"/>
  <c r="H12" i="16"/>
  <c r="F12" i="16"/>
  <c r="H11" i="16"/>
  <c r="F11" i="16"/>
  <c r="H10" i="16"/>
  <c r="F10" i="16"/>
  <c r="H9" i="16"/>
  <c r="F9" i="16"/>
  <c r="H8" i="16"/>
  <c r="F8" i="16"/>
  <c r="H7" i="16"/>
  <c r="F7" i="16"/>
  <c r="H6" i="16"/>
  <c r="F6" i="16"/>
  <c r="H5" i="16"/>
  <c r="F5" i="16"/>
  <c r="H4" i="16"/>
  <c r="F4" i="16"/>
  <c r="H3" i="16"/>
  <c r="F3" i="16"/>
  <c r="H2" i="16"/>
  <c r="F2" i="16"/>
  <c r="I349" i="15"/>
  <c r="H349" i="15"/>
  <c r="I348" i="15"/>
  <c r="H348" i="15"/>
  <c r="I347" i="15"/>
  <c r="H347" i="15"/>
  <c r="I346" i="15"/>
  <c r="H346" i="15"/>
  <c r="I345" i="15"/>
  <c r="H345" i="15"/>
  <c r="I344" i="15"/>
  <c r="H344" i="15"/>
  <c r="I343" i="15"/>
  <c r="H343" i="15"/>
  <c r="I342" i="15"/>
  <c r="H342" i="15"/>
  <c r="I341" i="15"/>
  <c r="H341" i="15"/>
  <c r="I340" i="15"/>
  <c r="H340" i="15"/>
  <c r="I339" i="15"/>
  <c r="H339" i="15"/>
  <c r="I338" i="15"/>
  <c r="H338" i="15"/>
  <c r="I337" i="15"/>
  <c r="H337" i="15"/>
  <c r="I336" i="15"/>
  <c r="H336" i="15"/>
  <c r="I335" i="15"/>
  <c r="H335" i="15"/>
  <c r="I334" i="15"/>
  <c r="H334" i="15"/>
  <c r="I333" i="15"/>
  <c r="H333" i="15"/>
  <c r="I332" i="15"/>
  <c r="H332" i="15"/>
  <c r="I331" i="15"/>
  <c r="H331" i="15"/>
  <c r="I330" i="15"/>
  <c r="H330" i="15"/>
  <c r="I329" i="15"/>
  <c r="H329" i="15"/>
  <c r="I328" i="15"/>
  <c r="H328" i="15"/>
  <c r="I327" i="15"/>
  <c r="H327" i="15"/>
  <c r="I326" i="15"/>
  <c r="H326" i="15"/>
  <c r="I325" i="15"/>
  <c r="H325" i="15"/>
  <c r="I324" i="15"/>
  <c r="H324" i="15"/>
  <c r="I323" i="15"/>
  <c r="H323" i="15"/>
  <c r="I322" i="15"/>
  <c r="H322" i="15"/>
  <c r="I321" i="15"/>
  <c r="H321" i="15"/>
  <c r="I320" i="15"/>
  <c r="H320" i="15"/>
  <c r="I319" i="15"/>
  <c r="H319" i="15"/>
  <c r="I318" i="15"/>
  <c r="H318" i="15"/>
  <c r="I317" i="15"/>
  <c r="H317" i="15"/>
  <c r="I316" i="15"/>
  <c r="H316" i="15"/>
  <c r="I315" i="15"/>
  <c r="H315" i="15"/>
  <c r="I314" i="15"/>
  <c r="H314" i="15"/>
  <c r="I313" i="15"/>
  <c r="H313" i="15"/>
  <c r="I312" i="15"/>
  <c r="H312" i="15"/>
  <c r="I311" i="15"/>
  <c r="H311" i="15"/>
  <c r="I310" i="15"/>
  <c r="H310" i="15"/>
  <c r="I309" i="15"/>
  <c r="H309" i="15"/>
  <c r="I308" i="15"/>
  <c r="H308" i="15"/>
  <c r="I307" i="15"/>
  <c r="H307" i="15"/>
  <c r="I306" i="15"/>
  <c r="H306" i="15"/>
  <c r="I305" i="15"/>
  <c r="H305" i="15"/>
  <c r="I304" i="15"/>
  <c r="H304" i="15"/>
  <c r="I303" i="15"/>
  <c r="H303" i="15"/>
  <c r="I302" i="15"/>
  <c r="H302" i="15"/>
  <c r="I301" i="15"/>
  <c r="H301" i="15"/>
  <c r="I300" i="15"/>
  <c r="H300" i="15"/>
  <c r="I299" i="15"/>
  <c r="H299" i="15"/>
  <c r="I298" i="15"/>
  <c r="H298" i="15"/>
  <c r="I297" i="15"/>
  <c r="H297" i="15"/>
  <c r="I296" i="15"/>
  <c r="H296" i="15"/>
  <c r="I295" i="15"/>
  <c r="H295" i="15"/>
  <c r="I294" i="15"/>
  <c r="H294" i="15"/>
  <c r="I293" i="15"/>
  <c r="H293" i="15"/>
  <c r="I292" i="15"/>
  <c r="H292" i="15"/>
  <c r="I291" i="15"/>
  <c r="H291" i="15"/>
  <c r="I290" i="15"/>
  <c r="H290" i="15"/>
  <c r="I289" i="15"/>
  <c r="H289" i="15"/>
  <c r="I288" i="15"/>
  <c r="H288" i="15"/>
  <c r="I287" i="15"/>
  <c r="H287" i="15"/>
  <c r="I286" i="15"/>
  <c r="H286" i="15"/>
  <c r="I285" i="15"/>
  <c r="H285" i="15"/>
  <c r="I284" i="15"/>
  <c r="H284" i="15"/>
  <c r="I283" i="15"/>
  <c r="H283" i="15"/>
  <c r="I282" i="15"/>
  <c r="H282" i="15"/>
  <c r="I281" i="15"/>
  <c r="H281" i="15"/>
  <c r="I280" i="15"/>
  <c r="H280" i="15"/>
  <c r="I279" i="15"/>
  <c r="H279" i="15"/>
  <c r="I278" i="15"/>
  <c r="H278" i="15"/>
  <c r="I277" i="15"/>
  <c r="H277" i="15"/>
  <c r="I276" i="15"/>
  <c r="H276" i="15"/>
  <c r="I275" i="15"/>
  <c r="H275" i="15"/>
  <c r="I274" i="15"/>
  <c r="H274" i="15"/>
  <c r="I273" i="15"/>
  <c r="H273" i="15"/>
  <c r="I272" i="15"/>
  <c r="H272" i="15"/>
  <c r="I271" i="15"/>
  <c r="H271" i="15"/>
  <c r="I270" i="15"/>
  <c r="H270" i="15"/>
  <c r="I269" i="15"/>
  <c r="H269" i="15"/>
  <c r="I268" i="15"/>
  <c r="H268" i="15"/>
  <c r="I267" i="15"/>
  <c r="H267" i="15"/>
  <c r="I266" i="15"/>
  <c r="H266" i="15"/>
  <c r="I265" i="15"/>
  <c r="H265" i="15"/>
  <c r="I264" i="15"/>
  <c r="H264" i="15"/>
  <c r="I263" i="15"/>
  <c r="H263" i="15"/>
  <c r="I262" i="15"/>
  <c r="H262" i="15"/>
  <c r="I261" i="15"/>
  <c r="H261" i="15"/>
  <c r="I260" i="15"/>
  <c r="H260" i="15"/>
  <c r="I259" i="15"/>
  <c r="H259" i="15"/>
  <c r="I258" i="15"/>
  <c r="H258" i="15"/>
  <c r="I257" i="15"/>
  <c r="H257" i="15"/>
  <c r="I256" i="15"/>
  <c r="H256" i="15"/>
  <c r="I255" i="15"/>
  <c r="H255" i="15"/>
  <c r="I254" i="15"/>
  <c r="H254" i="15"/>
  <c r="I253" i="15"/>
  <c r="H253" i="15"/>
  <c r="I252" i="15"/>
  <c r="H252" i="15"/>
  <c r="I251" i="15"/>
  <c r="H251" i="15"/>
  <c r="I250" i="15"/>
  <c r="H250" i="15"/>
  <c r="I249" i="15"/>
  <c r="H249" i="15"/>
  <c r="I248" i="15"/>
  <c r="H248" i="15"/>
  <c r="I247" i="15"/>
  <c r="H247" i="15"/>
  <c r="I246" i="15"/>
  <c r="H246" i="15"/>
  <c r="I245" i="15"/>
  <c r="H245" i="15"/>
  <c r="I244" i="15"/>
  <c r="H244" i="15"/>
  <c r="I243" i="15"/>
  <c r="H243" i="15"/>
  <c r="I242" i="15"/>
  <c r="H242" i="15"/>
  <c r="I241" i="15"/>
  <c r="H241" i="15"/>
  <c r="I240" i="15"/>
  <c r="H240" i="15"/>
  <c r="I239" i="15"/>
  <c r="H239" i="15"/>
  <c r="I238" i="15"/>
  <c r="H238" i="15"/>
  <c r="I237" i="15"/>
  <c r="H237" i="15"/>
  <c r="I236" i="15"/>
  <c r="H236" i="15"/>
  <c r="I235" i="15"/>
  <c r="H235" i="15"/>
  <c r="I234" i="15"/>
  <c r="H234" i="15"/>
  <c r="I233" i="15"/>
  <c r="H233" i="15"/>
  <c r="I232" i="15"/>
  <c r="H232" i="15"/>
  <c r="I231" i="15"/>
  <c r="H231" i="15"/>
  <c r="I230" i="15"/>
  <c r="H230" i="15"/>
  <c r="I229" i="15"/>
  <c r="H229" i="15"/>
  <c r="I228" i="15"/>
  <c r="H228" i="15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I185" i="15"/>
  <c r="H185" i="15"/>
  <c r="I184" i="15"/>
  <c r="H184" i="15"/>
  <c r="I183" i="15"/>
  <c r="H183" i="15"/>
  <c r="I182" i="15"/>
  <c r="H182" i="15"/>
  <c r="I181" i="15"/>
  <c r="H181" i="15"/>
  <c r="I180" i="15"/>
  <c r="H180" i="15"/>
  <c r="I179" i="15"/>
  <c r="H179" i="15"/>
  <c r="I178" i="15"/>
  <c r="H178" i="15"/>
  <c r="I177" i="15"/>
  <c r="H177" i="15"/>
  <c r="I176" i="15"/>
  <c r="H176" i="15"/>
  <c r="I175" i="15"/>
  <c r="H175" i="15"/>
  <c r="I174" i="15"/>
  <c r="H174" i="15"/>
  <c r="I173" i="15"/>
  <c r="H173" i="15"/>
  <c r="I172" i="15"/>
  <c r="H172" i="15"/>
  <c r="I171" i="15"/>
  <c r="H171" i="15"/>
  <c r="I170" i="15"/>
  <c r="H170" i="15"/>
  <c r="I169" i="15"/>
  <c r="H169" i="15"/>
  <c r="I168" i="15"/>
  <c r="H168" i="15"/>
  <c r="I167" i="15"/>
  <c r="H167" i="15"/>
  <c r="I166" i="15"/>
  <c r="H166" i="15"/>
  <c r="I165" i="15"/>
  <c r="H165" i="15"/>
  <c r="I164" i="15"/>
  <c r="H164" i="15"/>
  <c r="I163" i="15"/>
  <c r="H163" i="15"/>
  <c r="I162" i="15"/>
  <c r="H162" i="15"/>
  <c r="I161" i="15"/>
  <c r="H161" i="15"/>
  <c r="I160" i="15"/>
  <c r="H160" i="15"/>
  <c r="I159" i="15"/>
  <c r="H159" i="15"/>
  <c r="I158" i="15"/>
  <c r="H158" i="15"/>
  <c r="I157" i="15"/>
  <c r="H157" i="15"/>
  <c r="I156" i="15"/>
  <c r="H156" i="15"/>
  <c r="I155" i="15"/>
  <c r="H155" i="15"/>
  <c r="I154" i="15"/>
  <c r="H154" i="15"/>
  <c r="I153" i="15"/>
  <c r="H153" i="15"/>
  <c r="I152" i="15"/>
  <c r="H152" i="15"/>
  <c r="I151" i="15"/>
  <c r="H151" i="15"/>
  <c r="I150" i="15"/>
  <c r="H150" i="15"/>
  <c r="I149" i="15"/>
  <c r="H149" i="15"/>
  <c r="I148" i="15"/>
  <c r="H148" i="15"/>
  <c r="I147" i="15"/>
  <c r="H147" i="15"/>
  <c r="I146" i="15"/>
  <c r="H146" i="15"/>
  <c r="I145" i="15"/>
  <c r="H145" i="15"/>
  <c r="I144" i="15"/>
  <c r="H144" i="15"/>
  <c r="I143" i="15"/>
  <c r="H143" i="15"/>
  <c r="I142" i="15"/>
  <c r="H142" i="15"/>
  <c r="I141" i="15"/>
  <c r="H141" i="15"/>
  <c r="I140" i="15"/>
  <c r="H140" i="15"/>
  <c r="I139" i="15"/>
  <c r="H139" i="15"/>
  <c r="I138" i="15"/>
  <c r="H138" i="15"/>
  <c r="I137" i="15"/>
  <c r="H137" i="15"/>
  <c r="I136" i="15"/>
  <c r="H136" i="15"/>
  <c r="I135" i="15"/>
  <c r="H135" i="15"/>
  <c r="I134" i="15"/>
  <c r="H134" i="15"/>
  <c r="I133" i="15"/>
  <c r="H133" i="15"/>
  <c r="I132" i="15"/>
  <c r="H132" i="15"/>
  <c r="I131" i="15"/>
  <c r="H131" i="15"/>
  <c r="I130" i="15"/>
  <c r="H130" i="15"/>
  <c r="I129" i="15"/>
  <c r="H129" i="15"/>
  <c r="I128" i="15"/>
  <c r="H128" i="15"/>
  <c r="I127" i="15"/>
  <c r="H127" i="15"/>
  <c r="I126" i="15"/>
  <c r="H126" i="15"/>
  <c r="I125" i="15"/>
  <c r="H125" i="15"/>
  <c r="I124" i="15"/>
  <c r="H124" i="15"/>
  <c r="I123" i="15"/>
  <c r="H123" i="15"/>
  <c r="I122" i="15"/>
  <c r="H122" i="15"/>
  <c r="I121" i="15"/>
  <c r="H121" i="15"/>
  <c r="I120" i="15"/>
  <c r="H120" i="15"/>
  <c r="I119" i="15"/>
  <c r="H119" i="15"/>
  <c r="I118" i="15"/>
  <c r="H118" i="15"/>
  <c r="I117" i="15"/>
  <c r="H117" i="15"/>
  <c r="I116" i="15"/>
  <c r="H116" i="15"/>
  <c r="I115" i="15"/>
  <c r="H115" i="15"/>
  <c r="I114" i="15"/>
  <c r="H114" i="15"/>
  <c r="I113" i="15"/>
  <c r="H113" i="15"/>
  <c r="I112" i="15"/>
  <c r="H112" i="15"/>
  <c r="I111" i="15"/>
  <c r="H111" i="15"/>
  <c r="I110" i="15"/>
  <c r="H110" i="15"/>
  <c r="I109" i="15"/>
  <c r="H109" i="15"/>
  <c r="I108" i="15"/>
  <c r="H108" i="15"/>
  <c r="I107" i="15"/>
  <c r="H107" i="15"/>
  <c r="I106" i="15"/>
  <c r="H106" i="15"/>
  <c r="I105" i="15"/>
  <c r="H105" i="15"/>
  <c r="I104" i="15"/>
  <c r="H104" i="15"/>
  <c r="I103" i="15"/>
  <c r="H103" i="15"/>
  <c r="I102" i="15"/>
  <c r="H102" i="15"/>
  <c r="I101" i="15"/>
  <c r="H101" i="15"/>
  <c r="I100" i="15"/>
  <c r="H100" i="15"/>
  <c r="I99" i="15"/>
  <c r="H99" i="15"/>
  <c r="I98" i="15"/>
  <c r="H98" i="15"/>
  <c r="I97" i="15"/>
  <c r="H97" i="15"/>
  <c r="I96" i="15"/>
  <c r="H96" i="15"/>
  <c r="I95" i="15"/>
  <c r="H95" i="15"/>
  <c r="I94" i="15"/>
  <c r="H94" i="15"/>
  <c r="I93" i="15"/>
  <c r="H93" i="15"/>
  <c r="I92" i="15"/>
  <c r="H92" i="15"/>
  <c r="I91" i="15"/>
  <c r="H91" i="15"/>
  <c r="I90" i="15"/>
  <c r="H90" i="15"/>
  <c r="I89" i="15"/>
  <c r="H89" i="15"/>
  <c r="I88" i="15"/>
  <c r="H88" i="15"/>
  <c r="I87" i="15"/>
  <c r="H87" i="15"/>
  <c r="I86" i="15"/>
  <c r="H86" i="15"/>
  <c r="I85" i="15"/>
  <c r="H85" i="15"/>
  <c r="I84" i="15"/>
  <c r="H84" i="15"/>
  <c r="I83" i="15"/>
  <c r="H83" i="15"/>
  <c r="I82" i="15"/>
  <c r="H82" i="15"/>
  <c r="I81" i="15"/>
  <c r="H81" i="15"/>
  <c r="I80" i="15"/>
  <c r="H80" i="15"/>
  <c r="I79" i="15"/>
  <c r="H79" i="15"/>
  <c r="I78" i="15"/>
  <c r="H78" i="15"/>
  <c r="I77" i="15"/>
  <c r="H77" i="15"/>
  <c r="I76" i="15"/>
  <c r="H76" i="15"/>
  <c r="I75" i="15"/>
  <c r="H75" i="15"/>
  <c r="I74" i="15"/>
  <c r="H74" i="15"/>
  <c r="I73" i="15"/>
  <c r="H73" i="15"/>
  <c r="I72" i="15"/>
  <c r="H72" i="15"/>
  <c r="I71" i="15"/>
  <c r="H71" i="15"/>
  <c r="I70" i="15"/>
  <c r="H70" i="15"/>
  <c r="I69" i="15"/>
  <c r="H69" i="15"/>
  <c r="I68" i="15"/>
  <c r="H68" i="15"/>
  <c r="I67" i="15"/>
  <c r="H67" i="15"/>
  <c r="I66" i="15"/>
  <c r="H66" i="15"/>
  <c r="I65" i="15"/>
  <c r="H65" i="15"/>
  <c r="I64" i="15"/>
  <c r="H64" i="15"/>
  <c r="I63" i="15"/>
  <c r="H63" i="15"/>
  <c r="I62" i="15"/>
  <c r="H62" i="15"/>
  <c r="I61" i="15"/>
  <c r="H61" i="15"/>
  <c r="I60" i="15"/>
  <c r="H60" i="15"/>
  <c r="I59" i="15"/>
  <c r="H59" i="15"/>
  <c r="I58" i="15"/>
  <c r="H58" i="15"/>
  <c r="I57" i="15"/>
  <c r="H57" i="15"/>
  <c r="I56" i="15"/>
  <c r="H56" i="15"/>
  <c r="I55" i="15"/>
  <c r="H55" i="15"/>
  <c r="I54" i="15"/>
  <c r="H54" i="15"/>
  <c r="I53" i="15"/>
  <c r="H53" i="15"/>
  <c r="I52" i="15"/>
  <c r="H52" i="15"/>
  <c r="I51" i="15"/>
  <c r="H51" i="15"/>
  <c r="I50" i="15"/>
  <c r="H50" i="15"/>
  <c r="I49" i="15"/>
  <c r="H49" i="15"/>
  <c r="I48" i="15"/>
  <c r="H48" i="15"/>
  <c r="I47" i="15"/>
  <c r="H47" i="15"/>
  <c r="I46" i="15"/>
  <c r="H46" i="15"/>
  <c r="I45" i="15"/>
  <c r="H45" i="15"/>
  <c r="I44" i="15"/>
  <c r="H44" i="15"/>
  <c r="I43" i="15"/>
  <c r="H43" i="15"/>
  <c r="I42" i="15"/>
  <c r="H42" i="15"/>
  <c r="I41" i="15"/>
  <c r="H41" i="15"/>
  <c r="I40" i="15"/>
  <c r="H40" i="15"/>
  <c r="I39" i="15"/>
  <c r="H39" i="15"/>
  <c r="I38" i="15"/>
  <c r="H38" i="15"/>
  <c r="I37" i="15"/>
  <c r="H37" i="15"/>
  <c r="I36" i="15"/>
  <c r="H36" i="15"/>
  <c r="I35" i="15"/>
  <c r="H35" i="15"/>
  <c r="I34" i="15"/>
  <c r="H34" i="15"/>
  <c r="I33" i="15"/>
  <c r="H33" i="15"/>
  <c r="I32" i="15"/>
  <c r="H32" i="15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I4" i="15"/>
  <c r="H4" i="15"/>
  <c r="I3" i="15"/>
  <c r="H3" i="15"/>
  <c r="I2" i="15"/>
  <c r="H2" i="15"/>
  <c r="J1254" i="14"/>
  <c r="K1254" i="14" s="1"/>
  <c r="L1254" i="14" s="1"/>
  <c r="H1254" i="14"/>
  <c r="I1254" i="14" s="1"/>
  <c r="G1254" i="14"/>
  <c r="J1253" i="14"/>
  <c r="K1253" i="14" s="1"/>
  <c r="H1253" i="14"/>
  <c r="I1253" i="14" s="1"/>
  <c r="G1253" i="14"/>
  <c r="L1253" i="14" s="1"/>
  <c r="J1252" i="14"/>
  <c r="K1252" i="14" s="1"/>
  <c r="L1252" i="14" s="1"/>
  <c r="H1252" i="14"/>
  <c r="I1252" i="14" s="1"/>
  <c r="G1252" i="14"/>
  <c r="J1251" i="14"/>
  <c r="K1251" i="14" s="1"/>
  <c r="H1251" i="14"/>
  <c r="I1251" i="14" s="1"/>
  <c r="G1251" i="14"/>
  <c r="J1250" i="14"/>
  <c r="K1250" i="14" s="1"/>
  <c r="L1250" i="14" s="1"/>
  <c r="H1250" i="14"/>
  <c r="I1250" i="14" s="1"/>
  <c r="G1250" i="14"/>
  <c r="J1249" i="14"/>
  <c r="K1249" i="14" s="1"/>
  <c r="L1249" i="14" s="1"/>
  <c r="H1249" i="14"/>
  <c r="I1249" i="14" s="1"/>
  <c r="G1249" i="14"/>
  <c r="J1248" i="14"/>
  <c r="K1248" i="14" s="1"/>
  <c r="L1248" i="14" s="1"/>
  <c r="H1248" i="14"/>
  <c r="I1248" i="14" s="1"/>
  <c r="G1248" i="14"/>
  <c r="J1247" i="14"/>
  <c r="K1247" i="14" s="1"/>
  <c r="H1247" i="14"/>
  <c r="I1247" i="14" s="1"/>
  <c r="G1247" i="14"/>
  <c r="L1247" i="14" s="1"/>
  <c r="J1246" i="14"/>
  <c r="K1246" i="14" s="1"/>
  <c r="L1246" i="14" s="1"/>
  <c r="H1246" i="14"/>
  <c r="I1246" i="14" s="1"/>
  <c r="G1246" i="14"/>
  <c r="L1245" i="14"/>
  <c r="J1245" i="14"/>
  <c r="K1245" i="14" s="1"/>
  <c r="H1245" i="14"/>
  <c r="I1245" i="14" s="1"/>
  <c r="G1245" i="14"/>
  <c r="J1244" i="14"/>
  <c r="K1244" i="14" s="1"/>
  <c r="L1244" i="14" s="1"/>
  <c r="H1244" i="14"/>
  <c r="I1244" i="14" s="1"/>
  <c r="G1244" i="14"/>
  <c r="J1243" i="14"/>
  <c r="K1243" i="14" s="1"/>
  <c r="H1243" i="14"/>
  <c r="I1243" i="14" s="1"/>
  <c r="G1243" i="14"/>
  <c r="L1243" i="14" s="1"/>
  <c r="J1242" i="14"/>
  <c r="K1242" i="14" s="1"/>
  <c r="L1242" i="14" s="1"/>
  <c r="H1242" i="14"/>
  <c r="I1242" i="14" s="1"/>
  <c r="G1242" i="14"/>
  <c r="J1241" i="14"/>
  <c r="K1241" i="14" s="1"/>
  <c r="H1241" i="14"/>
  <c r="I1241" i="14" s="1"/>
  <c r="G1241" i="14"/>
  <c r="L1241" i="14" s="1"/>
  <c r="J1240" i="14"/>
  <c r="K1240" i="14" s="1"/>
  <c r="L1240" i="14" s="1"/>
  <c r="H1240" i="14"/>
  <c r="I1240" i="14" s="1"/>
  <c r="G1240" i="14"/>
  <c r="J1239" i="14"/>
  <c r="K1239" i="14" s="1"/>
  <c r="H1239" i="14"/>
  <c r="I1239" i="14" s="1"/>
  <c r="G1239" i="14"/>
  <c r="J1238" i="14"/>
  <c r="K1238" i="14" s="1"/>
  <c r="L1238" i="14" s="1"/>
  <c r="H1238" i="14"/>
  <c r="I1238" i="14" s="1"/>
  <c r="G1238" i="14"/>
  <c r="J1237" i="14"/>
  <c r="K1237" i="14" s="1"/>
  <c r="H1237" i="14"/>
  <c r="I1237" i="14" s="1"/>
  <c r="G1237" i="14"/>
  <c r="L1237" i="14" s="1"/>
  <c r="J1236" i="14"/>
  <c r="K1236" i="14" s="1"/>
  <c r="L1236" i="14" s="1"/>
  <c r="H1236" i="14"/>
  <c r="I1236" i="14" s="1"/>
  <c r="G1236" i="14"/>
  <c r="J1235" i="14"/>
  <c r="K1235" i="14" s="1"/>
  <c r="H1235" i="14"/>
  <c r="I1235" i="14" s="1"/>
  <c r="G1235" i="14"/>
  <c r="J1234" i="14"/>
  <c r="K1234" i="14" s="1"/>
  <c r="L1234" i="14" s="1"/>
  <c r="H1234" i="14"/>
  <c r="I1234" i="14" s="1"/>
  <c r="G1234" i="14"/>
  <c r="J1233" i="14"/>
  <c r="K1233" i="14" s="1"/>
  <c r="L1233" i="14" s="1"/>
  <c r="H1233" i="14"/>
  <c r="I1233" i="14" s="1"/>
  <c r="G1233" i="14"/>
  <c r="J1232" i="14"/>
  <c r="K1232" i="14" s="1"/>
  <c r="L1232" i="14" s="1"/>
  <c r="H1232" i="14"/>
  <c r="I1232" i="14" s="1"/>
  <c r="G1232" i="14"/>
  <c r="J1231" i="14"/>
  <c r="K1231" i="14" s="1"/>
  <c r="H1231" i="14"/>
  <c r="I1231" i="14" s="1"/>
  <c r="G1231" i="14"/>
  <c r="L1231" i="14" s="1"/>
  <c r="J1230" i="14"/>
  <c r="K1230" i="14" s="1"/>
  <c r="L1230" i="14" s="1"/>
  <c r="H1230" i="14"/>
  <c r="I1230" i="14" s="1"/>
  <c r="G1230" i="14"/>
  <c r="L1229" i="14"/>
  <c r="J1229" i="14"/>
  <c r="K1229" i="14" s="1"/>
  <c r="H1229" i="14"/>
  <c r="I1229" i="14" s="1"/>
  <c r="G1229" i="14"/>
  <c r="J1228" i="14"/>
  <c r="K1228" i="14" s="1"/>
  <c r="L1228" i="14" s="1"/>
  <c r="H1228" i="14"/>
  <c r="I1228" i="14" s="1"/>
  <c r="G1228" i="14"/>
  <c r="J1227" i="14"/>
  <c r="K1227" i="14" s="1"/>
  <c r="H1227" i="14"/>
  <c r="I1227" i="14" s="1"/>
  <c r="G1227" i="14"/>
  <c r="L1227" i="14" s="1"/>
  <c r="J1226" i="14"/>
  <c r="K1226" i="14" s="1"/>
  <c r="L1226" i="14" s="1"/>
  <c r="H1226" i="14"/>
  <c r="I1226" i="14" s="1"/>
  <c r="G1226" i="14"/>
  <c r="J1225" i="14"/>
  <c r="K1225" i="14" s="1"/>
  <c r="H1225" i="14"/>
  <c r="I1225" i="14" s="1"/>
  <c r="G1225" i="14"/>
  <c r="L1225" i="14" s="1"/>
  <c r="J1224" i="14"/>
  <c r="K1224" i="14" s="1"/>
  <c r="L1224" i="14" s="1"/>
  <c r="H1224" i="14"/>
  <c r="I1224" i="14" s="1"/>
  <c r="G1224" i="14"/>
  <c r="J1223" i="14"/>
  <c r="K1223" i="14" s="1"/>
  <c r="H1223" i="14"/>
  <c r="I1223" i="14" s="1"/>
  <c r="G1223" i="14"/>
  <c r="J1222" i="14"/>
  <c r="K1222" i="14" s="1"/>
  <c r="L1222" i="14" s="1"/>
  <c r="H1222" i="14"/>
  <c r="I1222" i="14" s="1"/>
  <c r="G1222" i="14"/>
  <c r="J1221" i="14"/>
  <c r="K1221" i="14" s="1"/>
  <c r="H1221" i="14"/>
  <c r="I1221" i="14" s="1"/>
  <c r="G1221" i="14"/>
  <c r="L1221" i="14" s="1"/>
  <c r="J1220" i="14"/>
  <c r="K1220" i="14" s="1"/>
  <c r="L1220" i="14" s="1"/>
  <c r="H1220" i="14"/>
  <c r="I1220" i="14" s="1"/>
  <c r="G1220" i="14"/>
  <c r="J1219" i="14"/>
  <c r="K1219" i="14" s="1"/>
  <c r="H1219" i="14"/>
  <c r="I1219" i="14" s="1"/>
  <c r="G1219" i="14"/>
  <c r="L1219" i="14" s="1"/>
  <c r="J1218" i="14"/>
  <c r="K1218" i="14" s="1"/>
  <c r="L1218" i="14" s="1"/>
  <c r="H1218" i="14"/>
  <c r="I1218" i="14" s="1"/>
  <c r="G1218" i="14"/>
  <c r="L1217" i="14"/>
  <c r="J1217" i="14"/>
  <c r="K1217" i="14" s="1"/>
  <c r="H1217" i="14"/>
  <c r="I1217" i="14" s="1"/>
  <c r="G1217" i="14"/>
  <c r="J1216" i="14"/>
  <c r="K1216" i="14" s="1"/>
  <c r="L1216" i="14" s="1"/>
  <c r="H1216" i="14"/>
  <c r="I1216" i="14" s="1"/>
  <c r="G1216" i="14"/>
  <c r="J1215" i="14"/>
  <c r="K1215" i="14" s="1"/>
  <c r="L1215" i="14" s="1"/>
  <c r="H1215" i="14"/>
  <c r="I1215" i="14" s="1"/>
  <c r="G1215" i="14"/>
  <c r="J1214" i="14"/>
  <c r="K1214" i="14" s="1"/>
  <c r="H1214" i="14"/>
  <c r="I1214" i="14" s="1"/>
  <c r="G1214" i="14"/>
  <c r="L1214" i="14" s="1"/>
  <c r="J1213" i="14"/>
  <c r="K1213" i="14" s="1"/>
  <c r="L1213" i="14" s="1"/>
  <c r="H1213" i="14"/>
  <c r="I1213" i="14" s="1"/>
  <c r="G1213" i="14"/>
  <c r="J1212" i="14"/>
  <c r="K1212" i="14" s="1"/>
  <c r="L1212" i="14" s="1"/>
  <c r="H1212" i="14"/>
  <c r="I1212" i="14" s="1"/>
  <c r="G1212" i="14"/>
  <c r="J1211" i="14"/>
  <c r="K1211" i="14" s="1"/>
  <c r="L1211" i="14" s="1"/>
  <c r="H1211" i="14"/>
  <c r="I1211" i="14" s="1"/>
  <c r="G1211" i="14"/>
  <c r="J1210" i="14"/>
  <c r="K1210" i="14" s="1"/>
  <c r="L1210" i="14" s="1"/>
  <c r="H1210" i="14"/>
  <c r="I1210" i="14" s="1"/>
  <c r="G1210" i="14"/>
  <c r="J1209" i="14"/>
  <c r="K1209" i="14" s="1"/>
  <c r="L1209" i="14" s="1"/>
  <c r="H1209" i="14"/>
  <c r="I1209" i="14" s="1"/>
  <c r="G1209" i="14"/>
  <c r="J1208" i="14"/>
  <c r="K1208" i="14" s="1"/>
  <c r="L1208" i="14" s="1"/>
  <c r="H1208" i="14"/>
  <c r="I1208" i="14" s="1"/>
  <c r="G1208" i="14"/>
  <c r="J1207" i="14"/>
  <c r="K1207" i="14" s="1"/>
  <c r="L1207" i="14" s="1"/>
  <c r="H1207" i="14"/>
  <c r="I1207" i="14" s="1"/>
  <c r="G1207" i="14"/>
  <c r="J1206" i="14"/>
  <c r="K1206" i="14" s="1"/>
  <c r="L1206" i="14" s="1"/>
  <c r="H1206" i="14"/>
  <c r="I1206" i="14" s="1"/>
  <c r="G1206" i="14"/>
  <c r="J1205" i="14"/>
  <c r="K1205" i="14" s="1"/>
  <c r="L1205" i="14" s="1"/>
  <c r="H1205" i="14"/>
  <c r="I1205" i="14" s="1"/>
  <c r="G1205" i="14"/>
  <c r="J1204" i="14"/>
  <c r="K1204" i="14" s="1"/>
  <c r="L1204" i="14" s="1"/>
  <c r="I1204" i="14"/>
  <c r="H1204" i="14"/>
  <c r="G1204" i="14"/>
  <c r="K1203" i="14"/>
  <c r="J1203" i="14"/>
  <c r="H1203" i="14"/>
  <c r="I1203" i="14" s="1"/>
  <c r="G1203" i="14"/>
  <c r="L1203" i="14" s="1"/>
  <c r="L1202" i="14"/>
  <c r="J1202" i="14"/>
  <c r="K1202" i="14" s="1"/>
  <c r="H1202" i="14"/>
  <c r="I1202" i="14" s="1"/>
  <c r="G1202" i="14"/>
  <c r="J1201" i="14"/>
  <c r="K1201" i="14" s="1"/>
  <c r="H1201" i="14"/>
  <c r="I1201" i="14" s="1"/>
  <c r="G1201" i="14"/>
  <c r="L1201" i="14" s="1"/>
  <c r="J1200" i="14"/>
  <c r="K1200" i="14" s="1"/>
  <c r="L1200" i="14" s="1"/>
  <c r="I1200" i="14"/>
  <c r="H1200" i="14"/>
  <c r="G1200" i="14"/>
  <c r="K1199" i="14"/>
  <c r="J1199" i="14"/>
  <c r="H1199" i="14"/>
  <c r="I1199" i="14" s="1"/>
  <c r="G1199" i="14"/>
  <c r="L1199" i="14" s="1"/>
  <c r="L1198" i="14"/>
  <c r="J1198" i="14"/>
  <c r="K1198" i="14" s="1"/>
  <c r="H1198" i="14"/>
  <c r="I1198" i="14" s="1"/>
  <c r="G1198" i="14"/>
  <c r="J1197" i="14"/>
  <c r="K1197" i="14" s="1"/>
  <c r="H1197" i="14"/>
  <c r="I1197" i="14" s="1"/>
  <c r="G1197" i="14"/>
  <c r="L1197" i="14" s="1"/>
  <c r="J1196" i="14"/>
  <c r="K1196" i="14" s="1"/>
  <c r="L1196" i="14" s="1"/>
  <c r="I1196" i="14"/>
  <c r="H1196" i="14"/>
  <c r="G1196" i="14"/>
  <c r="K1195" i="14"/>
  <c r="J1195" i="14"/>
  <c r="H1195" i="14"/>
  <c r="I1195" i="14" s="1"/>
  <c r="G1195" i="14"/>
  <c r="L1195" i="14" s="1"/>
  <c r="L1194" i="14"/>
  <c r="J1194" i="14"/>
  <c r="K1194" i="14" s="1"/>
  <c r="H1194" i="14"/>
  <c r="I1194" i="14" s="1"/>
  <c r="G1194" i="14"/>
  <c r="J1193" i="14"/>
  <c r="K1193" i="14" s="1"/>
  <c r="H1193" i="14"/>
  <c r="I1193" i="14" s="1"/>
  <c r="G1193" i="14"/>
  <c r="J1192" i="14"/>
  <c r="K1192" i="14" s="1"/>
  <c r="L1192" i="14" s="1"/>
  <c r="I1192" i="14"/>
  <c r="H1192" i="14"/>
  <c r="G1192" i="14"/>
  <c r="K1191" i="14"/>
  <c r="J1191" i="14"/>
  <c r="H1191" i="14"/>
  <c r="I1191" i="14" s="1"/>
  <c r="G1191" i="14"/>
  <c r="L1191" i="14" s="1"/>
  <c r="L1190" i="14"/>
  <c r="J1190" i="14"/>
  <c r="K1190" i="14" s="1"/>
  <c r="H1190" i="14"/>
  <c r="I1190" i="14" s="1"/>
  <c r="G1190" i="14"/>
  <c r="J1189" i="14"/>
  <c r="K1189" i="14" s="1"/>
  <c r="H1189" i="14"/>
  <c r="I1189" i="14" s="1"/>
  <c r="G1189" i="14"/>
  <c r="J1188" i="14"/>
  <c r="K1188" i="14" s="1"/>
  <c r="L1188" i="14" s="1"/>
  <c r="I1188" i="14"/>
  <c r="H1188" i="14"/>
  <c r="G1188" i="14"/>
  <c r="K1187" i="14"/>
  <c r="J1187" i="14"/>
  <c r="H1187" i="14"/>
  <c r="I1187" i="14" s="1"/>
  <c r="G1187" i="14"/>
  <c r="L1187" i="14" s="1"/>
  <c r="L1186" i="14"/>
  <c r="J1186" i="14"/>
  <c r="K1186" i="14" s="1"/>
  <c r="H1186" i="14"/>
  <c r="I1186" i="14" s="1"/>
  <c r="G1186" i="14"/>
  <c r="J1185" i="14"/>
  <c r="K1185" i="14" s="1"/>
  <c r="H1185" i="14"/>
  <c r="I1185" i="14" s="1"/>
  <c r="G1185" i="14"/>
  <c r="L1185" i="14" s="1"/>
  <c r="J1184" i="14"/>
  <c r="K1184" i="14" s="1"/>
  <c r="L1184" i="14" s="1"/>
  <c r="I1184" i="14"/>
  <c r="H1184" i="14"/>
  <c r="G1184" i="14"/>
  <c r="K1183" i="14"/>
  <c r="J1183" i="14"/>
  <c r="H1183" i="14"/>
  <c r="I1183" i="14" s="1"/>
  <c r="G1183" i="14"/>
  <c r="L1183" i="14" s="1"/>
  <c r="L1182" i="14"/>
  <c r="J1182" i="14"/>
  <c r="K1182" i="14" s="1"/>
  <c r="H1182" i="14"/>
  <c r="I1182" i="14" s="1"/>
  <c r="G1182" i="14"/>
  <c r="J1181" i="14"/>
  <c r="K1181" i="14" s="1"/>
  <c r="H1181" i="14"/>
  <c r="I1181" i="14" s="1"/>
  <c r="G1181" i="14"/>
  <c r="L1181" i="14" s="1"/>
  <c r="J1180" i="14"/>
  <c r="K1180" i="14" s="1"/>
  <c r="L1180" i="14" s="1"/>
  <c r="I1180" i="14"/>
  <c r="H1180" i="14"/>
  <c r="G1180" i="14"/>
  <c r="K1179" i="14"/>
  <c r="J1179" i="14"/>
  <c r="H1179" i="14"/>
  <c r="I1179" i="14" s="1"/>
  <c r="G1179" i="14"/>
  <c r="L1179" i="14" s="1"/>
  <c r="L1178" i="14"/>
  <c r="J1178" i="14"/>
  <c r="K1178" i="14" s="1"/>
  <c r="H1178" i="14"/>
  <c r="I1178" i="14" s="1"/>
  <c r="G1178" i="14"/>
  <c r="J1177" i="14"/>
  <c r="K1177" i="14" s="1"/>
  <c r="H1177" i="14"/>
  <c r="I1177" i="14" s="1"/>
  <c r="G1177" i="14"/>
  <c r="J1176" i="14"/>
  <c r="K1176" i="14" s="1"/>
  <c r="L1176" i="14" s="1"/>
  <c r="I1176" i="14"/>
  <c r="H1176" i="14"/>
  <c r="G1176" i="14"/>
  <c r="K1175" i="14"/>
  <c r="J1175" i="14"/>
  <c r="H1175" i="14"/>
  <c r="I1175" i="14" s="1"/>
  <c r="G1175" i="14"/>
  <c r="L1175" i="14" s="1"/>
  <c r="L1174" i="14"/>
  <c r="J1174" i="14"/>
  <c r="K1174" i="14" s="1"/>
  <c r="H1174" i="14"/>
  <c r="I1174" i="14" s="1"/>
  <c r="G1174" i="14"/>
  <c r="J1173" i="14"/>
  <c r="K1173" i="14" s="1"/>
  <c r="H1173" i="14"/>
  <c r="I1173" i="14" s="1"/>
  <c r="G1173" i="14"/>
  <c r="J1172" i="14"/>
  <c r="K1172" i="14" s="1"/>
  <c r="L1172" i="14" s="1"/>
  <c r="I1172" i="14"/>
  <c r="H1172" i="14"/>
  <c r="G1172" i="14"/>
  <c r="K1171" i="14"/>
  <c r="J1171" i="14"/>
  <c r="H1171" i="14"/>
  <c r="I1171" i="14" s="1"/>
  <c r="G1171" i="14"/>
  <c r="L1170" i="14"/>
  <c r="J1170" i="14"/>
  <c r="K1170" i="14" s="1"/>
  <c r="H1170" i="14"/>
  <c r="I1170" i="14" s="1"/>
  <c r="G1170" i="14"/>
  <c r="J1169" i="14"/>
  <c r="K1169" i="14" s="1"/>
  <c r="H1169" i="14"/>
  <c r="I1169" i="14" s="1"/>
  <c r="G1169" i="14"/>
  <c r="L1169" i="14" s="1"/>
  <c r="J1168" i="14"/>
  <c r="K1168" i="14" s="1"/>
  <c r="L1168" i="14" s="1"/>
  <c r="I1168" i="14"/>
  <c r="H1168" i="14"/>
  <c r="G1168" i="14"/>
  <c r="K1167" i="14"/>
  <c r="J1167" i="14"/>
  <c r="H1167" i="14"/>
  <c r="I1167" i="14" s="1"/>
  <c r="G1167" i="14"/>
  <c r="L1167" i="14" s="1"/>
  <c r="L1166" i="14"/>
  <c r="J1166" i="14"/>
  <c r="K1166" i="14" s="1"/>
  <c r="H1166" i="14"/>
  <c r="I1166" i="14" s="1"/>
  <c r="G1166" i="14"/>
  <c r="J1165" i="14"/>
  <c r="K1165" i="14" s="1"/>
  <c r="H1165" i="14"/>
  <c r="I1165" i="14" s="1"/>
  <c r="G1165" i="14"/>
  <c r="L1165" i="14" s="1"/>
  <c r="J1164" i="14"/>
  <c r="K1164" i="14" s="1"/>
  <c r="L1164" i="14" s="1"/>
  <c r="I1164" i="14"/>
  <c r="H1164" i="14"/>
  <c r="G1164" i="14"/>
  <c r="K1163" i="14"/>
  <c r="J1163" i="14"/>
  <c r="H1163" i="14"/>
  <c r="I1163" i="14" s="1"/>
  <c r="G1163" i="14"/>
  <c r="L1162" i="14"/>
  <c r="J1162" i="14"/>
  <c r="K1162" i="14" s="1"/>
  <c r="H1162" i="14"/>
  <c r="I1162" i="14" s="1"/>
  <c r="G1162" i="14"/>
  <c r="J1161" i="14"/>
  <c r="K1161" i="14" s="1"/>
  <c r="L1161" i="14" s="1"/>
  <c r="I1161" i="14"/>
  <c r="H1161" i="14"/>
  <c r="G1161" i="14"/>
  <c r="K1160" i="14"/>
  <c r="J1160" i="14"/>
  <c r="H1160" i="14"/>
  <c r="I1160" i="14" s="1"/>
  <c r="G1160" i="14"/>
  <c r="J1159" i="14"/>
  <c r="K1159" i="14" s="1"/>
  <c r="L1159" i="14" s="1"/>
  <c r="I1159" i="14"/>
  <c r="H1159" i="14"/>
  <c r="G1159" i="14"/>
  <c r="K1158" i="14"/>
  <c r="J1158" i="14"/>
  <c r="H1158" i="14"/>
  <c r="I1158" i="14" s="1"/>
  <c r="G1158" i="14"/>
  <c r="J1157" i="14"/>
  <c r="K1157" i="14" s="1"/>
  <c r="L1157" i="14" s="1"/>
  <c r="I1157" i="14"/>
  <c r="H1157" i="14"/>
  <c r="G1157" i="14"/>
  <c r="K1156" i="14"/>
  <c r="J1156" i="14"/>
  <c r="H1156" i="14"/>
  <c r="I1156" i="14" s="1"/>
  <c r="G1156" i="14"/>
  <c r="J1155" i="14"/>
  <c r="K1155" i="14" s="1"/>
  <c r="L1155" i="14" s="1"/>
  <c r="I1155" i="14"/>
  <c r="H1155" i="14"/>
  <c r="G1155" i="14"/>
  <c r="K1154" i="14"/>
  <c r="J1154" i="14"/>
  <c r="H1154" i="14"/>
  <c r="I1154" i="14" s="1"/>
  <c r="G1154" i="14"/>
  <c r="J1153" i="14"/>
  <c r="K1153" i="14" s="1"/>
  <c r="L1153" i="14" s="1"/>
  <c r="I1153" i="14"/>
  <c r="H1153" i="14"/>
  <c r="G1153" i="14"/>
  <c r="K1152" i="14"/>
  <c r="J1152" i="14"/>
  <c r="H1152" i="14"/>
  <c r="I1152" i="14" s="1"/>
  <c r="G1152" i="14"/>
  <c r="L1152" i="14" s="1"/>
  <c r="J1151" i="14"/>
  <c r="K1151" i="14" s="1"/>
  <c r="L1151" i="14" s="1"/>
  <c r="H1151" i="14"/>
  <c r="I1151" i="14" s="1"/>
  <c r="G1151" i="14"/>
  <c r="J1150" i="14"/>
  <c r="K1150" i="14" s="1"/>
  <c r="H1150" i="14"/>
  <c r="I1150" i="14" s="1"/>
  <c r="G1150" i="14"/>
  <c r="L1150" i="14" s="1"/>
  <c r="J1149" i="14"/>
  <c r="K1149" i="14" s="1"/>
  <c r="L1149" i="14" s="1"/>
  <c r="H1149" i="14"/>
  <c r="I1149" i="14" s="1"/>
  <c r="G1149" i="14"/>
  <c r="J1148" i="14"/>
  <c r="K1148" i="14" s="1"/>
  <c r="H1148" i="14"/>
  <c r="I1148" i="14" s="1"/>
  <c r="G1148" i="14"/>
  <c r="J1147" i="14"/>
  <c r="K1147" i="14" s="1"/>
  <c r="L1147" i="14" s="1"/>
  <c r="H1147" i="14"/>
  <c r="I1147" i="14" s="1"/>
  <c r="G1147" i="14"/>
  <c r="J1146" i="14"/>
  <c r="K1146" i="14" s="1"/>
  <c r="H1146" i="14"/>
  <c r="I1146" i="14" s="1"/>
  <c r="G1146" i="14"/>
  <c r="L1146" i="14" s="1"/>
  <c r="J1145" i="14"/>
  <c r="K1145" i="14" s="1"/>
  <c r="L1145" i="14" s="1"/>
  <c r="H1145" i="14"/>
  <c r="I1145" i="14" s="1"/>
  <c r="G1145" i="14"/>
  <c r="J1144" i="14"/>
  <c r="K1144" i="14" s="1"/>
  <c r="H1144" i="14"/>
  <c r="I1144" i="14" s="1"/>
  <c r="G1144" i="14"/>
  <c r="J1143" i="14"/>
  <c r="K1143" i="14" s="1"/>
  <c r="L1143" i="14" s="1"/>
  <c r="H1143" i="14"/>
  <c r="I1143" i="14" s="1"/>
  <c r="G1143" i="14"/>
  <c r="J1142" i="14"/>
  <c r="K1142" i="14" s="1"/>
  <c r="H1142" i="14"/>
  <c r="I1142" i="14" s="1"/>
  <c r="G1142" i="14"/>
  <c r="L1142" i="14" s="1"/>
  <c r="J1141" i="14"/>
  <c r="K1141" i="14" s="1"/>
  <c r="L1141" i="14" s="1"/>
  <c r="H1141" i="14"/>
  <c r="I1141" i="14" s="1"/>
  <c r="G1141" i="14"/>
  <c r="J1140" i="14"/>
  <c r="K1140" i="14" s="1"/>
  <c r="H1140" i="14"/>
  <c r="I1140" i="14" s="1"/>
  <c r="G1140" i="14"/>
  <c r="L1140" i="14" s="1"/>
  <c r="J1139" i="14"/>
  <c r="K1139" i="14" s="1"/>
  <c r="L1139" i="14" s="1"/>
  <c r="H1139" i="14"/>
  <c r="I1139" i="14" s="1"/>
  <c r="G1139" i="14"/>
  <c r="J1138" i="14"/>
  <c r="K1138" i="14" s="1"/>
  <c r="H1138" i="14"/>
  <c r="I1138" i="14" s="1"/>
  <c r="G1138" i="14"/>
  <c r="L1138" i="14" s="1"/>
  <c r="J1137" i="14"/>
  <c r="K1137" i="14" s="1"/>
  <c r="L1137" i="14" s="1"/>
  <c r="H1137" i="14"/>
  <c r="I1137" i="14" s="1"/>
  <c r="G1137" i="14"/>
  <c r="J1136" i="14"/>
  <c r="K1136" i="14" s="1"/>
  <c r="H1136" i="14"/>
  <c r="I1136" i="14" s="1"/>
  <c r="G1136" i="14"/>
  <c r="J1135" i="14"/>
  <c r="K1135" i="14" s="1"/>
  <c r="L1135" i="14" s="1"/>
  <c r="H1135" i="14"/>
  <c r="I1135" i="14" s="1"/>
  <c r="G1135" i="14"/>
  <c r="J1134" i="14"/>
  <c r="K1134" i="14" s="1"/>
  <c r="H1134" i="14"/>
  <c r="I1134" i="14" s="1"/>
  <c r="G1134" i="14"/>
  <c r="L1134" i="14" s="1"/>
  <c r="J1133" i="14"/>
  <c r="K1133" i="14" s="1"/>
  <c r="L1133" i="14" s="1"/>
  <c r="H1133" i="14"/>
  <c r="I1133" i="14" s="1"/>
  <c r="G1133" i="14"/>
  <c r="J1132" i="14"/>
  <c r="K1132" i="14" s="1"/>
  <c r="H1132" i="14"/>
  <c r="I1132" i="14" s="1"/>
  <c r="G1132" i="14"/>
  <c r="J1131" i="14"/>
  <c r="K1131" i="14" s="1"/>
  <c r="L1131" i="14" s="1"/>
  <c r="H1131" i="14"/>
  <c r="I1131" i="14" s="1"/>
  <c r="G1131" i="14"/>
  <c r="J1130" i="14"/>
  <c r="K1130" i="14" s="1"/>
  <c r="H1130" i="14"/>
  <c r="I1130" i="14" s="1"/>
  <c r="G1130" i="14"/>
  <c r="L1130" i="14" s="1"/>
  <c r="J1129" i="14"/>
  <c r="K1129" i="14" s="1"/>
  <c r="L1129" i="14" s="1"/>
  <c r="H1129" i="14"/>
  <c r="I1129" i="14" s="1"/>
  <c r="G1129" i="14"/>
  <c r="J1128" i="14"/>
  <c r="K1128" i="14" s="1"/>
  <c r="H1128" i="14"/>
  <c r="I1128" i="14" s="1"/>
  <c r="G1128" i="14"/>
  <c r="J1127" i="14"/>
  <c r="K1127" i="14" s="1"/>
  <c r="L1127" i="14" s="1"/>
  <c r="H1127" i="14"/>
  <c r="I1127" i="14" s="1"/>
  <c r="G1127" i="14"/>
  <c r="J1126" i="14"/>
  <c r="K1126" i="14" s="1"/>
  <c r="H1126" i="14"/>
  <c r="I1126" i="14" s="1"/>
  <c r="G1126" i="14"/>
  <c r="L1126" i="14" s="1"/>
  <c r="J1125" i="14"/>
  <c r="K1125" i="14" s="1"/>
  <c r="L1125" i="14" s="1"/>
  <c r="H1125" i="14"/>
  <c r="I1125" i="14" s="1"/>
  <c r="G1125" i="14"/>
  <c r="J1124" i="14"/>
  <c r="K1124" i="14" s="1"/>
  <c r="H1124" i="14"/>
  <c r="I1124" i="14" s="1"/>
  <c r="G1124" i="14"/>
  <c r="J1123" i="14"/>
  <c r="K1123" i="14" s="1"/>
  <c r="L1123" i="14" s="1"/>
  <c r="H1123" i="14"/>
  <c r="I1123" i="14" s="1"/>
  <c r="G1123" i="14"/>
  <c r="J1122" i="14"/>
  <c r="K1122" i="14" s="1"/>
  <c r="H1122" i="14"/>
  <c r="I1122" i="14" s="1"/>
  <c r="G1122" i="14"/>
  <c r="L1122" i="14" s="1"/>
  <c r="J1121" i="14"/>
  <c r="K1121" i="14" s="1"/>
  <c r="L1121" i="14" s="1"/>
  <c r="H1121" i="14"/>
  <c r="I1121" i="14" s="1"/>
  <c r="G1121" i="14"/>
  <c r="J1120" i="14"/>
  <c r="K1120" i="14" s="1"/>
  <c r="H1120" i="14"/>
  <c r="I1120" i="14" s="1"/>
  <c r="G1120" i="14"/>
  <c r="J1119" i="14"/>
  <c r="K1119" i="14" s="1"/>
  <c r="L1119" i="14" s="1"/>
  <c r="H1119" i="14"/>
  <c r="I1119" i="14" s="1"/>
  <c r="G1119" i="14"/>
  <c r="J1118" i="14"/>
  <c r="K1118" i="14" s="1"/>
  <c r="H1118" i="14"/>
  <c r="I1118" i="14" s="1"/>
  <c r="G1118" i="14"/>
  <c r="L1118" i="14" s="1"/>
  <c r="J1117" i="14"/>
  <c r="K1117" i="14" s="1"/>
  <c r="L1117" i="14" s="1"/>
  <c r="H1117" i="14"/>
  <c r="I1117" i="14" s="1"/>
  <c r="G1117" i="14"/>
  <c r="J1116" i="14"/>
  <c r="K1116" i="14" s="1"/>
  <c r="H1116" i="14"/>
  <c r="I1116" i="14" s="1"/>
  <c r="G1116" i="14"/>
  <c r="J1115" i="14"/>
  <c r="K1115" i="14" s="1"/>
  <c r="L1115" i="14" s="1"/>
  <c r="H1115" i="14"/>
  <c r="I1115" i="14" s="1"/>
  <c r="G1115" i="14"/>
  <c r="J1114" i="14"/>
  <c r="K1114" i="14" s="1"/>
  <c r="H1114" i="14"/>
  <c r="I1114" i="14" s="1"/>
  <c r="G1114" i="14"/>
  <c r="L1114" i="14" s="1"/>
  <c r="J1113" i="14"/>
  <c r="K1113" i="14" s="1"/>
  <c r="L1113" i="14" s="1"/>
  <c r="H1113" i="14"/>
  <c r="I1113" i="14" s="1"/>
  <c r="G1113" i="14"/>
  <c r="J1112" i="14"/>
  <c r="K1112" i="14" s="1"/>
  <c r="H1112" i="14"/>
  <c r="I1112" i="14" s="1"/>
  <c r="G1112" i="14"/>
  <c r="J1111" i="14"/>
  <c r="K1111" i="14" s="1"/>
  <c r="L1111" i="14" s="1"/>
  <c r="H1111" i="14"/>
  <c r="I1111" i="14" s="1"/>
  <c r="G1111" i="14"/>
  <c r="J1110" i="14"/>
  <c r="K1110" i="14" s="1"/>
  <c r="H1110" i="14"/>
  <c r="I1110" i="14" s="1"/>
  <c r="G1110" i="14"/>
  <c r="L1110" i="14" s="1"/>
  <c r="J1109" i="14"/>
  <c r="K1109" i="14" s="1"/>
  <c r="L1109" i="14" s="1"/>
  <c r="H1109" i="14"/>
  <c r="I1109" i="14" s="1"/>
  <c r="G1109" i="14"/>
  <c r="J1108" i="14"/>
  <c r="K1108" i="14" s="1"/>
  <c r="H1108" i="14"/>
  <c r="I1108" i="14" s="1"/>
  <c r="G1108" i="14"/>
  <c r="J1107" i="14"/>
  <c r="K1107" i="14" s="1"/>
  <c r="L1107" i="14" s="1"/>
  <c r="H1107" i="14"/>
  <c r="I1107" i="14" s="1"/>
  <c r="G1107" i="14"/>
  <c r="J1106" i="14"/>
  <c r="K1106" i="14" s="1"/>
  <c r="H1106" i="14"/>
  <c r="I1106" i="14" s="1"/>
  <c r="G1106" i="14"/>
  <c r="L1106" i="14" s="1"/>
  <c r="J1105" i="14"/>
  <c r="K1105" i="14" s="1"/>
  <c r="L1105" i="14" s="1"/>
  <c r="H1105" i="14"/>
  <c r="I1105" i="14" s="1"/>
  <c r="G1105" i="14"/>
  <c r="J1104" i="14"/>
  <c r="K1104" i="14" s="1"/>
  <c r="H1104" i="14"/>
  <c r="I1104" i="14" s="1"/>
  <c r="G1104" i="14"/>
  <c r="J1103" i="14"/>
  <c r="K1103" i="14" s="1"/>
  <c r="L1103" i="14" s="1"/>
  <c r="H1103" i="14"/>
  <c r="I1103" i="14" s="1"/>
  <c r="G1103" i="14"/>
  <c r="J1102" i="14"/>
  <c r="K1102" i="14" s="1"/>
  <c r="H1102" i="14"/>
  <c r="I1102" i="14" s="1"/>
  <c r="G1102" i="14"/>
  <c r="L1102" i="14" s="1"/>
  <c r="J1101" i="14"/>
  <c r="K1101" i="14" s="1"/>
  <c r="L1101" i="14" s="1"/>
  <c r="H1101" i="14"/>
  <c r="I1101" i="14" s="1"/>
  <c r="G1101" i="14"/>
  <c r="J1100" i="14"/>
  <c r="K1100" i="14" s="1"/>
  <c r="H1100" i="14"/>
  <c r="I1100" i="14" s="1"/>
  <c r="G1100" i="14"/>
  <c r="J1099" i="14"/>
  <c r="K1099" i="14" s="1"/>
  <c r="L1099" i="14" s="1"/>
  <c r="H1099" i="14"/>
  <c r="I1099" i="14" s="1"/>
  <c r="G1099" i="14"/>
  <c r="J1098" i="14"/>
  <c r="K1098" i="14" s="1"/>
  <c r="H1098" i="14"/>
  <c r="I1098" i="14" s="1"/>
  <c r="G1098" i="14"/>
  <c r="L1098" i="14" s="1"/>
  <c r="J1097" i="14"/>
  <c r="K1097" i="14" s="1"/>
  <c r="L1097" i="14" s="1"/>
  <c r="H1097" i="14"/>
  <c r="I1097" i="14" s="1"/>
  <c r="G1097" i="14"/>
  <c r="J1096" i="14"/>
  <c r="K1096" i="14" s="1"/>
  <c r="H1096" i="14"/>
  <c r="I1096" i="14" s="1"/>
  <c r="G1096" i="14"/>
  <c r="J1095" i="14"/>
  <c r="K1095" i="14" s="1"/>
  <c r="L1095" i="14" s="1"/>
  <c r="H1095" i="14"/>
  <c r="I1095" i="14" s="1"/>
  <c r="G1095" i="14"/>
  <c r="J1094" i="14"/>
  <c r="K1094" i="14" s="1"/>
  <c r="H1094" i="14"/>
  <c r="I1094" i="14" s="1"/>
  <c r="G1094" i="14"/>
  <c r="L1094" i="14" s="1"/>
  <c r="J1093" i="14"/>
  <c r="K1093" i="14" s="1"/>
  <c r="L1093" i="14" s="1"/>
  <c r="H1093" i="14"/>
  <c r="I1093" i="14" s="1"/>
  <c r="G1093" i="14"/>
  <c r="J1092" i="14"/>
  <c r="K1092" i="14" s="1"/>
  <c r="H1092" i="14"/>
  <c r="I1092" i="14" s="1"/>
  <c r="G1092" i="14"/>
  <c r="J1091" i="14"/>
  <c r="K1091" i="14" s="1"/>
  <c r="L1091" i="14" s="1"/>
  <c r="H1091" i="14"/>
  <c r="I1091" i="14" s="1"/>
  <c r="G1091" i="14"/>
  <c r="J1090" i="14"/>
  <c r="K1090" i="14" s="1"/>
  <c r="H1090" i="14"/>
  <c r="I1090" i="14" s="1"/>
  <c r="G1090" i="14"/>
  <c r="L1090" i="14" s="1"/>
  <c r="J1089" i="14"/>
  <c r="K1089" i="14" s="1"/>
  <c r="L1089" i="14" s="1"/>
  <c r="H1089" i="14"/>
  <c r="I1089" i="14" s="1"/>
  <c r="G1089" i="14"/>
  <c r="J1088" i="14"/>
  <c r="K1088" i="14" s="1"/>
  <c r="H1088" i="14"/>
  <c r="I1088" i="14" s="1"/>
  <c r="G1088" i="14"/>
  <c r="J1087" i="14"/>
  <c r="K1087" i="14" s="1"/>
  <c r="L1087" i="14" s="1"/>
  <c r="H1087" i="14"/>
  <c r="I1087" i="14" s="1"/>
  <c r="G1087" i="14"/>
  <c r="J1086" i="14"/>
  <c r="K1086" i="14" s="1"/>
  <c r="H1086" i="14"/>
  <c r="I1086" i="14" s="1"/>
  <c r="G1086" i="14"/>
  <c r="L1086" i="14" s="1"/>
  <c r="J1085" i="14"/>
  <c r="K1085" i="14" s="1"/>
  <c r="L1085" i="14" s="1"/>
  <c r="H1085" i="14"/>
  <c r="I1085" i="14" s="1"/>
  <c r="G1085" i="14"/>
  <c r="J1084" i="14"/>
  <c r="K1084" i="14" s="1"/>
  <c r="H1084" i="14"/>
  <c r="I1084" i="14" s="1"/>
  <c r="G1084" i="14"/>
  <c r="J1083" i="14"/>
  <c r="K1083" i="14" s="1"/>
  <c r="L1083" i="14" s="1"/>
  <c r="H1083" i="14"/>
  <c r="I1083" i="14" s="1"/>
  <c r="G1083" i="14"/>
  <c r="J1082" i="14"/>
  <c r="K1082" i="14" s="1"/>
  <c r="H1082" i="14"/>
  <c r="I1082" i="14" s="1"/>
  <c r="G1082" i="14"/>
  <c r="L1082" i="14" s="1"/>
  <c r="J1081" i="14"/>
  <c r="K1081" i="14" s="1"/>
  <c r="L1081" i="14" s="1"/>
  <c r="H1081" i="14"/>
  <c r="I1081" i="14" s="1"/>
  <c r="G1081" i="14"/>
  <c r="J1080" i="14"/>
  <c r="K1080" i="14" s="1"/>
  <c r="H1080" i="14"/>
  <c r="I1080" i="14" s="1"/>
  <c r="G1080" i="14"/>
  <c r="J1079" i="14"/>
  <c r="K1079" i="14" s="1"/>
  <c r="L1079" i="14" s="1"/>
  <c r="H1079" i="14"/>
  <c r="I1079" i="14" s="1"/>
  <c r="G1079" i="14"/>
  <c r="J1078" i="14"/>
  <c r="K1078" i="14" s="1"/>
  <c r="H1078" i="14"/>
  <c r="I1078" i="14" s="1"/>
  <c r="G1078" i="14"/>
  <c r="L1078" i="14" s="1"/>
  <c r="J1077" i="14"/>
  <c r="K1077" i="14" s="1"/>
  <c r="L1077" i="14" s="1"/>
  <c r="H1077" i="14"/>
  <c r="I1077" i="14" s="1"/>
  <c r="G1077" i="14"/>
  <c r="J1076" i="14"/>
  <c r="K1076" i="14" s="1"/>
  <c r="H1076" i="14"/>
  <c r="I1076" i="14" s="1"/>
  <c r="G1076" i="14"/>
  <c r="L1076" i="14" s="1"/>
  <c r="J1075" i="14"/>
  <c r="K1075" i="14" s="1"/>
  <c r="L1075" i="14" s="1"/>
  <c r="H1075" i="14"/>
  <c r="I1075" i="14" s="1"/>
  <c r="G1075" i="14"/>
  <c r="J1074" i="14"/>
  <c r="K1074" i="14" s="1"/>
  <c r="H1074" i="14"/>
  <c r="I1074" i="14" s="1"/>
  <c r="G1074" i="14"/>
  <c r="J1073" i="14"/>
  <c r="K1073" i="14" s="1"/>
  <c r="L1073" i="14" s="1"/>
  <c r="H1073" i="14"/>
  <c r="I1073" i="14" s="1"/>
  <c r="G1073" i="14"/>
  <c r="J1072" i="14"/>
  <c r="K1072" i="14" s="1"/>
  <c r="H1072" i="14"/>
  <c r="I1072" i="14" s="1"/>
  <c r="G1072" i="14"/>
  <c r="L1072" i="14" s="1"/>
  <c r="J1071" i="14"/>
  <c r="K1071" i="14" s="1"/>
  <c r="L1071" i="14" s="1"/>
  <c r="H1071" i="14"/>
  <c r="I1071" i="14" s="1"/>
  <c r="G1071" i="14"/>
  <c r="J1070" i="14"/>
  <c r="K1070" i="14" s="1"/>
  <c r="H1070" i="14"/>
  <c r="I1070" i="14" s="1"/>
  <c r="G1070" i="14"/>
  <c r="L1070" i="14" s="1"/>
  <c r="J1069" i="14"/>
  <c r="K1069" i="14" s="1"/>
  <c r="L1069" i="14" s="1"/>
  <c r="H1069" i="14"/>
  <c r="I1069" i="14" s="1"/>
  <c r="G1069" i="14"/>
  <c r="J1068" i="14"/>
  <c r="K1068" i="14" s="1"/>
  <c r="L1068" i="14" s="1"/>
  <c r="H1068" i="14"/>
  <c r="I1068" i="14" s="1"/>
  <c r="G1068" i="14"/>
  <c r="J1067" i="14"/>
  <c r="K1067" i="14" s="1"/>
  <c r="L1067" i="14" s="1"/>
  <c r="H1067" i="14"/>
  <c r="I1067" i="14" s="1"/>
  <c r="G1067" i="14"/>
  <c r="J1066" i="14"/>
  <c r="K1066" i="14" s="1"/>
  <c r="H1066" i="14"/>
  <c r="I1066" i="14" s="1"/>
  <c r="G1066" i="14"/>
  <c r="L1066" i="14" s="1"/>
  <c r="J1065" i="14"/>
  <c r="K1065" i="14" s="1"/>
  <c r="L1065" i="14" s="1"/>
  <c r="H1065" i="14"/>
  <c r="I1065" i="14" s="1"/>
  <c r="G1065" i="14"/>
  <c r="L1064" i="14"/>
  <c r="J1064" i="14"/>
  <c r="K1064" i="14" s="1"/>
  <c r="H1064" i="14"/>
  <c r="I1064" i="14" s="1"/>
  <c r="G1064" i="14"/>
  <c r="J1063" i="14"/>
  <c r="K1063" i="14" s="1"/>
  <c r="L1063" i="14" s="1"/>
  <c r="H1063" i="14"/>
  <c r="I1063" i="14" s="1"/>
  <c r="G1063" i="14"/>
  <c r="J1062" i="14"/>
  <c r="K1062" i="14" s="1"/>
  <c r="H1062" i="14"/>
  <c r="I1062" i="14" s="1"/>
  <c r="G1062" i="14"/>
  <c r="L1062" i="14" s="1"/>
  <c r="J1061" i="14"/>
  <c r="K1061" i="14" s="1"/>
  <c r="L1061" i="14" s="1"/>
  <c r="H1061" i="14"/>
  <c r="I1061" i="14" s="1"/>
  <c r="G1061" i="14"/>
  <c r="J1060" i="14"/>
  <c r="K1060" i="14" s="1"/>
  <c r="H1060" i="14"/>
  <c r="I1060" i="14" s="1"/>
  <c r="G1060" i="14"/>
  <c r="J1059" i="14"/>
  <c r="K1059" i="14" s="1"/>
  <c r="L1059" i="14" s="1"/>
  <c r="H1059" i="14"/>
  <c r="I1059" i="14" s="1"/>
  <c r="G1059" i="14"/>
  <c r="J1058" i="14"/>
  <c r="K1058" i="14" s="1"/>
  <c r="I334" i="13" s="1"/>
  <c r="J334" i="13" s="1"/>
  <c r="H1058" i="14"/>
  <c r="I1058" i="14" s="1"/>
  <c r="G1058" i="14"/>
  <c r="J1057" i="14"/>
  <c r="K1057" i="14" s="1"/>
  <c r="L1057" i="14" s="1"/>
  <c r="H1057" i="14"/>
  <c r="I1057" i="14" s="1"/>
  <c r="G1057" i="14"/>
  <c r="J1056" i="14"/>
  <c r="K1056" i="14" s="1"/>
  <c r="H1056" i="14"/>
  <c r="I1056" i="14" s="1"/>
  <c r="G1056" i="14"/>
  <c r="L1056" i="14" s="1"/>
  <c r="J1055" i="14"/>
  <c r="K1055" i="14" s="1"/>
  <c r="L1055" i="14" s="1"/>
  <c r="H1055" i="14"/>
  <c r="I1055" i="14" s="1"/>
  <c r="G1055" i="14"/>
  <c r="J1054" i="14"/>
  <c r="K1054" i="14" s="1"/>
  <c r="H1054" i="14"/>
  <c r="I1054" i="14" s="1"/>
  <c r="G1054" i="14"/>
  <c r="L1054" i="14" s="1"/>
  <c r="J1053" i="14"/>
  <c r="K1053" i="14" s="1"/>
  <c r="L1053" i="14" s="1"/>
  <c r="H1053" i="14"/>
  <c r="I1053" i="14" s="1"/>
  <c r="G1053" i="14"/>
  <c r="J1052" i="14"/>
  <c r="K1052" i="14" s="1"/>
  <c r="L1052" i="14" s="1"/>
  <c r="H1052" i="14"/>
  <c r="I1052" i="14" s="1"/>
  <c r="G1052" i="14"/>
  <c r="J1051" i="14"/>
  <c r="K1051" i="14" s="1"/>
  <c r="L1051" i="14" s="1"/>
  <c r="H1051" i="14"/>
  <c r="I1051" i="14" s="1"/>
  <c r="G1051" i="14"/>
  <c r="J1050" i="14"/>
  <c r="K1050" i="14" s="1"/>
  <c r="H1050" i="14"/>
  <c r="I1050" i="14" s="1"/>
  <c r="G1050" i="14"/>
  <c r="L1050" i="14" s="1"/>
  <c r="J1049" i="14"/>
  <c r="K1049" i="14" s="1"/>
  <c r="L1049" i="14" s="1"/>
  <c r="H1049" i="14"/>
  <c r="I1049" i="14" s="1"/>
  <c r="G1049" i="14"/>
  <c r="L1048" i="14"/>
  <c r="J1048" i="14"/>
  <c r="K1048" i="14" s="1"/>
  <c r="H1048" i="14"/>
  <c r="I1048" i="14" s="1"/>
  <c r="G1048" i="14"/>
  <c r="J1047" i="14"/>
  <c r="K1047" i="14" s="1"/>
  <c r="L1047" i="14" s="1"/>
  <c r="H1047" i="14"/>
  <c r="I1047" i="14" s="1"/>
  <c r="G1047" i="14"/>
  <c r="J1046" i="14"/>
  <c r="K1046" i="14" s="1"/>
  <c r="H1046" i="14"/>
  <c r="I1046" i="14" s="1"/>
  <c r="G1046" i="14"/>
  <c r="L1046" i="14" s="1"/>
  <c r="J1045" i="14"/>
  <c r="K1045" i="14" s="1"/>
  <c r="L1045" i="14" s="1"/>
  <c r="H1045" i="14"/>
  <c r="I1045" i="14" s="1"/>
  <c r="G1045" i="14"/>
  <c r="J1044" i="14"/>
  <c r="K1044" i="14" s="1"/>
  <c r="H1044" i="14"/>
  <c r="I1044" i="14" s="1"/>
  <c r="G1044" i="14"/>
  <c r="L1044" i="14" s="1"/>
  <c r="J1043" i="14"/>
  <c r="K1043" i="14" s="1"/>
  <c r="L1043" i="14" s="1"/>
  <c r="H1043" i="14"/>
  <c r="I1043" i="14" s="1"/>
  <c r="G1043" i="14"/>
  <c r="J1042" i="14"/>
  <c r="K1042" i="14" s="1"/>
  <c r="H1042" i="14"/>
  <c r="I1042" i="14" s="1"/>
  <c r="G1042" i="14"/>
  <c r="J1041" i="14"/>
  <c r="K1041" i="14" s="1"/>
  <c r="L1041" i="14" s="1"/>
  <c r="H1041" i="14"/>
  <c r="I1041" i="14" s="1"/>
  <c r="G1041" i="14"/>
  <c r="J1040" i="14"/>
  <c r="K1040" i="14" s="1"/>
  <c r="H1040" i="14"/>
  <c r="I1040" i="14" s="1"/>
  <c r="G1040" i="14"/>
  <c r="L1040" i="14" s="1"/>
  <c r="J1039" i="14"/>
  <c r="K1039" i="14" s="1"/>
  <c r="L1039" i="14" s="1"/>
  <c r="H1039" i="14"/>
  <c r="I1039" i="14" s="1"/>
  <c r="G1039" i="14"/>
  <c r="J1038" i="14"/>
  <c r="K1038" i="14" s="1"/>
  <c r="H1038" i="14"/>
  <c r="I1038" i="14" s="1"/>
  <c r="G1038" i="14"/>
  <c r="L1038" i="14" s="1"/>
  <c r="K1037" i="14"/>
  <c r="I328" i="13" s="1"/>
  <c r="J1037" i="14"/>
  <c r="H1037" i="14"/>
  <c r="I1037" i="14" s="1"/>
  <c r="G1037" i="14"/>
  <c r="J1036" i="14"/>
  <c r="K1036" i="14" s="1"/>
  <c r="I1036" i="14"/>
  <c r="H1036" i="14"/>
  <c r="G1036" i="14"/>
  <c r="K1035" i="14"/>
  <c r="J1035" i="14"/>
  <c r="H1035" i="14"/>
  <c r="I1035" i="14" s="1"/>
  <c r="G1035" i="14"/>
  <c r="J1034" i="14"/>
  <c r="K1034" i="14" s="1"/>
  <c r="I1034" i="14"/>
  <c r="H1034" i="14"/>
  <c r="G1034" i="14"/>
  <c r="K1033" i="14"/>
  <c r="J1033" i="14"/>
  <c r="H1033" i="14"/>
  <c r="I1033" i="14" s="1"/>
  <c r="G1033" i="14"/>
  <c r="J1032" i="14"/>
  <c r="K1032" i="14" s="1"/>
  <c r="I327" i="13" s="1"/>
  <c r="I1032" i="14"/>
  <c r="H1032" i="14"/>
  <c r="G1032" i="14"/>
  <c r="K1031" i="14"/>
  <c r="J1031" i="14"/>
  <c r="H1031" i="14"/>
  <c r="I1031" i="14" s="1"/>
  <c r="G1031" i="14"/>
  <c r="J1030" i="14"/>
  <c r="K1030" i="14" s="1"/>
  <c r="I326" i="13" s="1"/>
  <c r="I1030" i="14"/>
  <c r="H1030" i="14"/>
  <c r="G1030" i="14"/>
  <c r="K1029" i="14"/>
  <c r="J1029" i="14"/>
  <c r="H1029" i="14"/>
  <c r="I1029" i="14" s="1"/>
  <c r="G1029" i="14"/>
  <c r="J1028" i="14"/>
  <c r="K1028" i="14" s="1"/>
  <c r="I1028" i="14"/>
  <c r="H1028" i="14"/>
  <c r="G1028" i="14"/>
  <c r="K1027" i="14"/>
  <c r="I325" i="13" s="1"/>
  <c r="J325" i="13" s="1"/>
  <c r="J1027" i="14"/>
  <c r="H1027" i="14"/>
  <c r="I1027" i="14" s="1"/>
  <c r="G1027" i="14"/>
  <c r="J1026" i="14"/>
  <c r="K1026" i="14" s="1"/>
  <c r="I1026" i="14"/>
  <c r="H1026" i="14"/>
  <c r="G1026" i="14"/>
  <c r="K1025" i="14"/>
  <c r="J1025" i="14"/>
  <c r="H1025" i="14"/>
  <c r="I1025" i="14" s="1"/>
  <c r="G1025" i="14"/>
  <c r="J1024" i="14"/>
  <c r="K1024" i="14" s="1"/>
  <c r="I1024" i="14"/>
  <c r="H1024" i="14"/>
  <c r="G1024" i="14"/>
  <c r="K1023" i="14"/>
  <c r="I324" i="13" s="1"/>
  <c r="J1023" i="14"/>
  <c r="H1023" i="14"/>
  <c r="I1023" i="14" s="1"/>
  <c r="G1023" i="14"/>
  <c r="J1022" i="14"/>
  <c r="K1022" i="14" s="1"/>
  <c r="I323" i="13" s="1"/>
  <c r="I1022" i="14"/>
  <c r="H1022" i="14"/>
  <c r="G1022" i="14"/>
  <c r="K1021" i="14"/>
  <c r="I322" i="13" s="1"/>
  <c r="J1021" i="14"/>
  <c r="H1021" i="14"/>
  <c r="I1021" i="14" s="1"/>
  <c r="G1021" i="14"/>
  <c r="J1020" i="14"/>
  <c r="K1020" i="14" s="1"/>
  <c r="I1020" i="14"/>
  <c r="H1020" i="14"/>
  <c r="G1020" i="14"/>
  <c r="K1019" i="14"/>
  <c r="J1019" i="14"/>
  <c r="H1019" i="14"/>
  <c r="I1019" i="14" s="1"/>
  <c r="G1019" i="14"/>
  <c r="J1018" i="14"/>
  <c r="K1018" i="14" s="1"/>
  <c r="I321" i="13" s="1"/>
  <c r="J321" i="13" s="1"/>
  <c r="I1018" i="14"/>
  <c r="H1018" i="14"/>
  <c r="G1018" i="14"/>
  <c r="K1017" i="14"/>
  <c r="J1017" i="14"/>
  <c r="H1017" i="14"/>
  <c r="I1017" i="14" s="1"/>
  <c r="G1017" i="14"/>
  <c r="J1016" i="14"/>
  <c r="K1016" i="14" s="1"/>
  <c r="I1016" i="14"/>
  <c r="H1016" i="14"/>
  <c r="G1016" i="14"/>
  <c r="K1015" i="14"/>
  <c r="J1015" i="14"/>
  <c r="H1015" i="14"/>
  <c r="I1015" i="14" s="1"/>
  <c r="G1015" i="14"/>
  <c r="J1014" i="14"/>
  <c r="K1014" i="14" s="1"/>
  <c r="I1014" i="14"/>
  <c r="H1014" i="14"/>
  <c r="G1014" i="14"/>
  <c r="K1013" i="14"/>
  <c r="I320" i="13" s="1"/>
  <c r="J1013" i="14"/>
  <c r="H1013" i="14"/>
  <c r="I1013" i="14" s="1"/>
  <c r="G1013" i="14"/>
  <c r="J1012" i="14"/>
  <c r="K1012" i="14" s="1"/>
  <c r="I1012" i="14"/>
  <c r="H1012" i="14"/>
  <c r="G1012" i="14"/>
  <c r="K1011" i="14"/>
  <c r="J1011" i="14"/>
  <c r="H1011" i="14"/>
  <c r="I1011" i="14" s="1"/>
  <c r="G1011" i="14"/>
  <c r="J1010" i="14"/>
  <c r="K1010" i="14" s="1"/>
  <c r="I1010" i="14"/>
  <c r="H1010" i="14"/>
  <c r="G1010" i="14"/>
  <c r="K1009" i="14"/>
  <c r="I319" i="13" s="1"/>
  <c r="J1009" i="14"/>
  <c r="H1009" i="14"/>
  <c r="I1009" i="14" s="1"/>
  <c r="G1009" i="14"/>
  <c r="J1008" i="14"/>
  <c r="K1008" i="14" s="1"/>
  <c r="L1008" i="14" s="1"/>
  <c r="I1008" i="14"/>
  <c r="H1008" i="14"/>
  <c r="G1008" i="14"/>
  <c r="K1007" i="14"/>
  <c r="J1007" i="14"/>
  <c r="H1007" i="14"/>
  <c r="I1007" i="14" s="1"/>
  <c r="G1007" i="14"/>
  <c r="J1006" i="14"/>
  <c r="K1006" i="14" s="1"/>
  <c r="L1006" i="14" s="1"/>
  <c r="I1006" i="14"/>
  <c r="H1006" i="14"/>
  <c r="G1006" i="14"/>
  <c r="K1005" i="14"/>
  <c r="J1005" i="14"/>
  <c r="H1005" i="14"/>
  <c r="I1005" i="14" s="1"/>
  <c r="G1005" i="14"/>
  <c r="J1004" i="14"/>
  <c r="K1004" i="14" s="1"/>
  <c r="L1004" i="14" s="1"/>
  <c r="I1004" i="14"/>
  <c r="H1004" i="14"/>
  <c r="G1004" i="14"/>
  <c r="K1003" i="14"/>
  <c r="J1003" i="14"/>
  <c r="H1003" i="14"/>
  <c r="I1003" i="14" s="1"/>
  <c r="G1003" i="14"/>
  <c r="J1002" i="14"/>
  <c r="K1002" i="14" s="1"/>
  <c r="L1002" i="14" s="1"/>
  <c r="I1002" i="14"/>
  <c r="H1002" i="14"/>
  <c r="G1002" i="14"/>
  <c r="K1001" i="14"/>
  <c r="J1001" i="14"/>
  <c r="H1001" i="14"/>
  <c r="I1001" i="14" s="1"/>
  <c r="G1001" i="14"/>
  <c r="J1000" i="14"/>
  <c r="K1000" i="14" s="1"/>
  <c r="L1000" i="14" s="1"/>
  <c r="I1000" i="14"/>
  <c r="H1000" i="14"/>
  <c r="G1000" i="14"/>
  <c r="K999" i="14"/>
  <c r="J999" i="14"/>
  <c r="H999" i="14"/>
  <c r="I999" i="14" s="1"/>
  <c r="G999" i="14"/>
  <c r="J998" i="14"/>
  <c r="K998" i="14" s="1"/>
  <c r="L998" i="14" s="1"/>
  <c r="I998" i="14"/>
  <c r="H998" i="14"/>
  <c r="G998" i="14"/>
  <c r="K997" i="14"/>
  <c r="I315" i="13" s="1"/>
  <c r="J997" i="14"/>
  <c r="H997" i="14"/>
  <c r="I997" i="14" s="1"/>
  <c r="G997" i="14"/>
  <c r="J996" i="14"/>
  <c r="K996" i="14" s="1"/>
  <c r="L996" i="14" s="1"/>
  <c r="I996" i="14"/>
  <c r="H996" i="14"/>
  <c r="G996" i="14"/>
  <c r="K995" i="14"/>
  <c r="J995" i="14"/>
  <c r="H995" i="14"/>
  <c r="I995" i="14" s="1"/>
  <c r="G995" i="14"/>
  <c r="J994" i="14"/>
  <c r="K994" i="14" s="1"/>
  <c r="L994" i="14" s="1"/>
  <c r="I994" i="14"/>
  <c r="H994" i="14"/>
  <c r="G994" i="14"/>
  <c r="K993" i="14"/>
  <c r="J993" i="14"/>
  <c r="H993" i="14"/>
  <c r="I993" i="14" s="1"/>
  <c r="G993" i="14"/>
  <c r="J992" i="14"/>
  <c r="K992" i="14" s="1"/>
  <c r="L992" i="14" s="1"/>
  <c r="I992" i="14"/>
  <c r="H992" i="14"/>
  <c r="G992" i="14"/>
  <c r="K991" i="14"/>
  <c r="J991" i="14"/>
  <c r="H991" i="14"/>
  <c r="I991" i="14" s="1"/>
  <c r="G991" i="14"/>
  <c r="J990" i="14"/>
  <c r="K990" i="14" s="1"/>
  <c r="L990" i="14" s="1"/>
  <c r="I990" i="14"/>
  <c r="H990" i="14"/>
  <c r="G990" i="14"/>
  <c r="K989" i="14"/>
  <c r="J989" i="14"/>
  <c r="H989" i="14"/>
  <c r="I989" i="14" s="1"/>
  <c r="G989" i="14"/>
  <c r="J988" i="14"/>
  <c r="K988" i="14" s="1"/>
  <c r="L988" i="14" s="1"/>
  <c r="I988" i="14"/>
  <c r="H988" i="14"/>
  <c r="G988" i="14"/>
  <c r="K987" i="14"/>
  <c r="J987" i="14"/>
  <c r="H987" i="14"/>
  <c r="I987" i="14" s="1"/>
  <c r="G987" i="14"/>
  <c r="H313" i="13" s="1"/>
  <c r="J986" i="14"/>
  <c r="K986" i="14" s="1"/>
  <c r="L986" i="14" s="1"/>
  <c r="I986" i="14"/>
  <c r="H986" i="14"/>
  <c r="G986" i="14"/>
  <c r="K985" i="14"/>
  <c r="J985" i="14"/>
  <c r="H985" i="14"/>
  <c r="I985" i="14" s="1"/>
  <c r="G985" i="14"/>
  <c r="L985" i="14" s="1"/>
  <c r="J984" i="14"/>
  <c r="K984" i="14" s="1"/>
  <c r="L984" i="14" s="1"/>
  <c r="I984" i="14"/>
  <c r="H984" i="14"/>
  <c r="G984" i="14"/>
  <c r="K983" i="14"/>
  <c r="J983" i="14"/>
  <c r="H983" i="14"/>
  <c r="I983" i="14" s="1"/>
  <c r="G983" i="14"/>
  <c r="L983" i="14" s="1"/>
  <c r="J982" i="14"/>
  <c r="K982" i="14" s="1"/>
  <c r="L982" i="14" s="1"/>
  <c r="I982" i="14"/>
  <c r="H982" i="14"/>
  <c r="G982" i="14"/>
  <c r="K981" i="14"/>
  <c r="J981" i="14"/>
  <c r="H981" i="14"/>
  <c r="I981" i="14" s="1"/>
  <c r="G981" i="14"/>
  <c r="L981" i="14" s="1"/>
  <c r="J980" i="14"/>
  <c r="K980" i="14" s="1"/>
  <c r="L980" i="14" s="1"/>
  <c r="I980" i="14"/>
  <c r="H980" i="14"/>
  <c r="G980" i="14"/>
  <c r="K979" i="14"/>
  <c r="J979" i="14"/>
  <c r="H979" i="14"/>
  <c r="I979" i="14" s="1"/>
  <c r="G979" i="14"/>
  <c r="L979" i="14" s="1"/>
  <c r="J978" i="14"/>
  <c r="K978" i="14" s="1"/>
  <c r="L978" i="14" s="1"/>
  <c r="I978" i="14"/>
  <c r="H978" i="14"/>
  <c r="G978" i="14"/>
  <c r="K977" i="14"/>
  <c r="J977" i="14"/>
  <c r="H977" i="14"/>
  <c r="I977" i="14" s="1"/>
  <c r="G977" i="14"/>
  <c r="L977" i="14" s="1"/>
  <c r="J976" i="14"/>
  <c r="K976" i="14" s="1"/>
  <c r="L976" i="14" s="1"/>
  <c r="I976" i="14"/>
  <c r="H976" i="14"/>
  <c r="G976" i="14"/>
  <c r="K975" i="14"/>
  <c r="J975" i="14"/>
  <c r="H975" i="14"/>
  <c r="I975" i="14" s="1"/>
  <c r="G975" i="14"/>
  <c r="L975" i="14" s="1"/>
  <c r="J974" i="14"/>
  <c r="K974" i="14" s="1"/>
  <c r="L974" i="14" s="1"/>
  <c r="I974" i="14"/>
  <c r="H974" i="14"/>
  <c r="G974" i="14"/>
  <c r="K973" i="14"/>
  <c r="J973" i="14"/>
  <c r="H973" i="14"/>
  <c r="I973" i="14" s="1"/>
  <c r="G973" i="14"/>
  <c r="L973" i="14" s="1"/>
  <c r="J972" i="14"/>
  <c r="K972" i="14" s="1"/>
  <c r="L972" i="14" s="1"/>
  <c r="I972" i="14"/>
  <c r="H972" i="14"/>
  <c r="G972" i="14"/>
  <c r="K971" i="14"/>
  <c r="J971" i="14"/>
  <c r="H971" i="14"/>
  <c r="I971" i="14" s="1"/>
  <c r="G971" i="14"/>
  <c r="L971" i="14" s="1"/>
  <c r="J970" i="14"/>
  <c r="K970" i="14" s="1"/>
  <c r="L970" i="14" s="1"/>
  <c r="I970" i="14"/>
  <c r="H970" i="14"/>
  <c r="G970" i="14"/>
  <c r="K969" i="14"/>
  <c r="J969" i="14"/>
  <c r="H969" i="14"/>
  <c r="I969" i="14" s="1"/>
  <c r="G969" i="14"/>
  <c r="L969" i="14" s="1"/>
  <c r="J968" i="14"/>
  <c r="K968" i="14" s="1"/>
  <c r="L968" i="14" s="1"/>
  <c r="I968" i="14"/>
  <c r="H968" i="14"/>
  <c r="G968" i="14"/>
  <c r="K967" i="14"/>
  <c r="J967" i="14"/>
  <c r="H967" i="14"/>
  <c r="I967" i="14" s="1"/>
  <c r="G967" i="14"/>
  <c r="L967" i="14" s="1"/>
  <c r="J966" i="14"/>
  <c r="K966" i="14" s="1"/>
  <c r="L966" i="14" s="1"/>
  <c r="I966" i="14"/>
  <c r="H966" i="14"/>
  <c r="G966" i="14"/>
  <c r="K965" i="14"/>
  <c r="J965" i="14"/>
  <c r="H965" i="14"/>
  <c r="I965" i="14" s="1"/>
  <c r="G965" i="14"/>
  <c r="L965" i="14" s="1"/>
  <c r="J964" i="14"/>
  <c r="K964" i="14" s="1"/>
  <c r="L964" i="14" s="1"/>
  <c r="I964" i="14"/>
  <c r="H964" i="14"/>
  <c r="G964" i="14"/>
  <c r="K963" i="14"/>
  <c r="J963" i="14"/>
  <c r="H963" i="14"/>
  <c r="I963" i="14" s="1"/>
  <c r="G963" i="14"/>
  <c r="L963" i="14" s="1"/>
  <c r="J962" i="14"/>
  <c r="K962" i="14" s="1"/>
  <c r="L962" i="14" s="1"/>
  <c r="I962" i="14"/>
  <c r="H962" i="14"/>
  <c r="G962" i="14"/>
  <c r="K961" i="14"/>
  <c r="J961" i="14"/>
  <c r="H961" i="14"/>
  <c r="I961" i="14" s="1"/>
  <c r="G961" i="14"/>
  <c r="L961" i="14" s="1"/>
  <c r="J960" i="14"/>
  <c r="K960" i="14" s="1"/>
  <c r="L960" i="14" s="1"/>
  <c r="I960" i="14"/>
  <c r="H960" i="14"/>
  <c r="G960" i="14"/>
  <c r="K959" i="14"/>
  <c r="J959" i="14"/>
  <c r="H959" i="14"/>
  <c r="I959" i="14" s="1"/>
  <c r="G959" i="14"/>
  <c r="L959" i="14" s="1"/>
  <c r="J958" i="14"/>
  <c r="K958" i="14" s="1"/>
  <c r="L958" i="14" s="1"/>
  <c r="I958" i="14"/>
  <c r="H958" i="14"/>
  <c r="G958" i="14"/>
  <c r="K957" i="14"/>
  <c r="J957" i="14"/>
  <c r="H957" i="14"/>
  <c r="I957" i="14" s="1"/>
  <c r="G957" i="14"/>
  <c r="J956" i="14"/>
  <c r="K956" i="14" s="1"/>
  <c r="L956" i="14" s="1"/>
  <c r="I956" i="14"/>
  <c r="H956" i="14"/>
  <c r="G956" i="14"/>
  <c r="K955" i="14"/>
  <c r="J955" i="14"/>
  <c r="H955" i="14"/>
  <c r="I955" i="14" s="1"/>
  <c r="G955" i="14"/>
  <c r="L955" i="14" s="1"/>
  <c r="J954" i="14"/>
  <c r="K954" i="14" s="1"/>
  <c r="L954" i="14" s="1"/>
  <c r="I954" i="14"/>
  <c r="H954" i="14"/>
  <c r="G954" i="14"/>
  <c r="K953" i="14"/>
  <c r="J953" i="14"/>
  <c r="H953" i="14"/>
  <c r="I953" i="14" s="1"/>
  <c r="G953" i="14"/>
  <c r="L953" i="14" s="1"/>
  <c r="J952" i="14"/>
  <c r="K952" i="14" s="1"/>
  <c r="L952" i="14" s="1"/>
  <c r="I952" i="14"/>
  <c r="H952" i="14"/>
  <c r="G952" i="14"/>
  <c r="K951" i="14"/>
  <c r="J951" i="14"/>
  <c r="H951" i="14"/>
  <c r="I951" i="14" s="1"/>
  <c r="G951" i="14"/>
  <c r="L951" i="14" s="1"/>
  <c r="J950" i="14"/>
  <c r="K950" i="14" s="1"/>
  <c r="L950" i="14" s="1"/>
  <c r="I950" i="14"/>
  <c r="H950" i="14"/>
  <c r="G950" i="14"/>
  <c r="K949" i="14"/>
  <c r="J949" i="14"/>
  <c r="H949" i="14"/>
  <c r="I949" i="14" s="1"/>
  <c r="G949" i="14"/>
  <c r="L949" i="14" s="1"/>
  <c r="J948" i="14"/>
  <c r="K948" i="14" s="1"/>
  <c r="L948" i="14" s="1"/>
  <c r="I948" i="14"/>
  <c r="H948" i="14"/>
  <c r="G948" i="14"/>
  <c r="K947" i="14"/>
  <c r="J947" i="14"/>
  <c r="H947" i="14"/>
  <c r="I947" i="14" s="1"/>
  <c r="G947" i="14"/>
  <c r="L947" i="14" s="1"/>
  <c r="J946" i="14"/>
  <c r="K946" i="14" s="1"/>
  <c r="L946" i="14" s="1"/>
  <c r="I946" i="14"/>
  <c r="H946" i="14"/>
  <c r="G946" i="14"/>
  <c r="K945" i="14"/>
  <c r="J945" i="14"/>
  <c r="H945" i="14"/>
  <c r="I945" i="14" s="1"/>
  <c r="G945" i="14"/>
  <c r="L945" i="14" s="1"/>
  <c r="J944" i="14"/>
  <c r="K944" i="14" s="1"/>
  <c r="L944" i="14" s="1"/>
  <c r="I944" i="14"/>
  <c r="H944" i="14"/>
  <c r="G944" i="14"/>
  <c r="K943" i="14"/>
  <c r="J943" i="14"/>
  <c r="H943" i="14"/>
  <c r="I943" i="14" s="1"/>
  <c r="G943" i="14"/>
  <c r="L943" i="14" s="1"/>
  <c r="J942" i="14"/>
  <c r="K942" i="14" s="1"/>
  <c r="L942" i="14" s="1"/>
  <c r="I942" i="14"/>
  <c r="H942" i="14"/>
  <c r="G942" i="14"/>
  <c r="K941" i="14"/>
  <c r="J941" i="14"/>
  <c r="H941" i="14"/>
  <c r="I941" i="14" s="1"/>
  <c r="G941" i="14"/>
  <c r="L941" i="14" s="1"/>
  <c r="J940" i="14"/>
  <c r="K940" i="14" s="1"/>
  <c r="L940" i="14" s="1"/>
  <c r="I940" i="14"/>
  <c r="H940" i="14"/>
  <c r="G940" i="14"/>
  <c r="K939" i="14"/>
  <c r="J939" i="14"/>
  <c r="H939" i="14"/>
  <c r="I939" i="14" s="1"/>
  <c r="G939" i="14"/>
  <c r="L939" i="14" s="1"/>
  <c r="J938" i="14"/>
  <c r="K938" i="14" s="1"/>
  <c r="L938" i="14" s="1"/>
  <c r="I938" i="14"/>
  <c r="H938" i="14"/>
  <c r="G938" i="14"/>
  <c r="K937" i="14"/>
  <c r="J937" i="14"/>
  <c r="H937" i="14"/>
  <c r="I937" i="14" s="1"/>
  <c r="G937" i="14"/>
  <c r="L937" i="14" s="1"/>
  <c r="J936" i="14"/>
  <c r="K936" i="14" s="1"/>
  <c r="L936" i="14" s="1"/>
  <c r="I936" i="14"/>
  <c r="H936" i="14"/>
  <c r="G936" i="14"/>
  <c r="K935" i="14"/>
  <c r="J935" i="14"/>
  <c r="H935" i="14"/>
  <c r="I935" i="14" s="1"/>
  <c r="G935" i="14"/>
  <c r="L935" i="14" s="1"/>
  <c r="J934" i="14"/>
  <c r="K934" i="14" s="1"/>
  <c r="L934" i="14" s="1"/>
  <c r="I934" i="14"/>
  <c r="H934" i="14"/>
  <c r="G934" i="14"/>
  <c r="K933" i="14"/>
  <c r="J933" i="14"/>
  <c r="H933" i="14"/>
  <c r="I933" i="14" s="1"/>
  <c r="G933" i="14"/>
  <c r="L933" i="14" s="1"/>
  <c r="L932" i="14"/>
  <c r="J932" i="14"/>
  <c r="K932" i="14" s="1"/>
  <c r="H932" i="14"/>
  <c r="I932" i="14" s="1"/>
  <c r="G932" i="14"/>
  <c r="J931" i="14"/>
  <c r="K931" i="14" s="1"/>
  <c r="H931" i="14"/>
  <c r="I931" i="14" s="1"/>
  <c r="G931" i="14"/>
  <c r="L931" i="14" s="1"/>
  <c r="J930" i="14"/>
  <c r="K930" i="14" s="1"/>
  <c r="L930" i="14" s="1"/>
  <c r="I930" i="14"/>
  <c r="H930" i="14"/>
  <c r="G930" i="14"/>
  <c r="K929" i="14"/>
  <c r="J929" i="14"/>
  <c r="H929" i="14"/>
  <c r="I929" i="14" s="1"/>
  <c r="G929" i="14"/>
  <c r="L929" i="14" s="1"/>
  <c r="L928" i="14"/>
  <c r="J928" i="14"/>
  <c r="K928" i="14" s="1"/>
  <c r="H928" i="14"/>
  <c r="I928" i="14" s="1"/>
  <c r="G928" i="14"/>
  <c r="J927" i="14"/>
  <c r="K927" i="14" s="1"/>
  <c r="H927" i="14"/>
  <c r="I927" i="14" s="1"/>
  <c r="G927" i="14"/>
  <c r="L927" i="14" s="1"/>
  <c r="J926" i="14"/>
  <c r="K926" i="14" s="1"/>
  <c r="L926" i="14" s="1"/>
  <c r="I926" i="14"/>
  <c r="H926" i="14"/>
  <c r="G926" i="14"/>
  <c r="K925" i="14"/>
  <c r="J925" i="14"/>
  <c r="H925" i="14"/>
  <c r="I925" i="14" s="1"/>
  <c r="G925" i="14"/>
  <c r="L925" i="14" s="1"/>
  <c r="L924" i="14"/>
  <c r="J924" i="14"/>
  <c r="K924" i="14" s="1"/>
  <c r="H924" i="14"/>
  <c r="I924" i="14" s="1"/>
  <c r="G924" i="14"/>
  <c r="J923" i="14"/>
  <c r="K923" i="14" s="1"/>
  <c r="H923" i="14"/>
  <c r="I923" i="14" s="1"/>
  <c r="G923" i="14"/>
  <c r="J922" i="14"/>
  <c r="K922" i="14" s="1"/>
  <c r="L922" i="14" s="1"/>
  <c r="I922" i="14"/>
  <c r="H922" i="14"/>
  <c r="G922" i="14"/>
  <c r="K921" i="14"/>
  <c r="J921" i="14"/>
  <c r="H921" i="14"/>
  <c r="I921" i="14" s="1"/>
  <c r="G921" i="14"/>
  <c r="L920" i="14"/>
  <c r="J920" i="14"/>
  <c r="K920" i="14" s="1"/>
  <c r="H920" i="14"/>
  <c r="I920" i="14" s="1"/>
  <c r="G920" i="14"/>
  <c r="J919" i="14"/>
  <c r="K919" i="14" s="1"/>
  <c r="H919" i="14"/>
  <c r="I919" i="14" s="1"/>
  <c r="G919" i="14"/>
  <c r="J918" i="14"/>
  <c r="K918" i="14" s="1"/>
  <c r="L918" i="14" s="1"/>
  <c r="I918" i="14"/>
  <c r="H918" i="14"/>
  <c r="G918" i="14"/>
  <c r="K917" i="14"/>
  <c r="J917" i="14"/>
  <c r="H917" i="14"/>
  <c r="I917" i="14" s="1"/>
  <c r="G917" i="14"/>
  <c r="L917" i="14" s="1"/>
  <c r="L916" i="14"/>
  <c r="J916" i="14"/>
  <c r="K916" i="14" s="1"/>
  <c r="H916" i="14"/>
  <c r="I916" i="14" s="1"/>
  <c r="G916" i="14"/>
  <c r="J915" i="14"/>
  <c r="K915" i="14" s="1"/>
  <c r="H915" i="14"/>
  <c r="I915" i="14" s="1"/>
  <c r="G915" i="14"/>
  <c r="L915" i="14" s="1"/>
  <c r="J914" i="14"/>
  <c r="K914" i="14" s="1"/>
  <c r="L914" i="14" s="1"/>
  <c r="I914" i="14"/>
  <c r="H914" i="14"/>
  <c r="G914" i="14"/>
  <c r="K913" i="14"/>
  <c r="J913" i="14"/>
  <c r="H913" i="14"/>
  <c r="I913" i="14" s="1"/>
  <c r="G913" i="14"/>
  <c r="L913" i="14" s="1"/>
  <c r="L912" i="14"/>
  <c r="J912" i="14"/>
  <c r="K912" i="14" s="1"/>
  <c r="H912" i="14"/>
  <c r="I912" i="14" s="1"/>
  <c r="G912" i="14"/>
  <c r="J911" i="14"/>
  <c r="K911" i="14" s="1"/>
  <c r="H911" i="14"/>
  <c r="I911" i="14" s="1"/>
  <c r="G911" i="14"/>
  <c r="L911" i="14" s="1"/>
  <c r="J910" i="14"/>
  <c r="K910" i="14" s="1"/>
  <c r="L910" i="14" s="1"/>
  <c r="I910" i="14"/>
  <c r="H910" i="14"/>
  <c r="G910" i="14"/>
  <c r="K909" i="14"/>
  <c r="J909" i="14"/>
  <c r="H909" i="14"/>
  <c r="I909" i="14" s="1"/>
  <c r="G909" i="14"/>
  <c r="L909" i="14" s="1"/>
  <c r="L908" i="14"/>
  <c r="J908" i="14"/>
  <c r="K908" i="14" s="1"/>
  <c r="H908" i="14"/>
  <c r="I908" i="14" s="1"/>
  <c r="G908" i="14"/>
  <c r="J907" i="14"/>
  <c r="K907" i="14" s="1"/>
  <c r="H907" i="14"/>
  <c r="I907" i="14" s="1"/>
  <c r="G907" i="14"/>
  <c r="J906" i="14"/>
  <c r="K906" i="14" s="1"/>
  <c r="L906" i="14" s="1"/>
  <c r="I906" i="14"/>
  <c r="H906" i="14"/>
  <c r="G906" i="14"/>
  <c r="K905" i="14"/>
  <c r="J905" i="14"/>
  <c r="H905" i="14"/>
  <c r="I905" i="14" s="1"/>
  <c r="G905" i="14"/>
  <c r="L904" i="14"/>
  <c r="J904" i="14"/>
  <c r="K904" i="14" s="1"/>
  <c r="H904" i="14"/>
  <c r="I904" i="14" s="1"/>
  <c r="G904" i="14"/>
  <c r="J903" i="14"/>
  <c r="K903" i="14" s="1"/>
  <c r="H903" i="14"/>
  <c r="I903" i="14" s="1"/>
  <c r="G903" i="14"/>
  <c r="J902" i="14"/>
  <c r="K902" i="14" s="1"/>
  <c r="L902" i="14" s="1"/>
  <c r="I902" i="14"/>
  <c r="H902" i="14"/>
  <c r="G902" i="14"/>
  <c r="K901" i="14"/>
  <c r="J901" i="14"/>
  <c r="H901" i="14"/>
  <c r="I901" i="14" s="1"/>
  <c r="G901" i="14"/>
  <c r="L901" i="14" s="1"/>
  <c r="L900" i="14"/>
  <c r="J900" i="14"/>
  <c r="K900" i="14" s="1"/>
  <c r="H900" i="14"/>
  <c r="I900" i="14" s="1"/>
  <c r="G900" i="14"/>
  <c r="J899" i="14"/>
  <c r="K899" i="14" s="1"/>
  <c r="H899" i="14"/>
  <c r="I899" i="14" s="1"/>
  <c r="G899" i="14"/>
  <c r="L899" i="14" s="1"/>
  <c r="J898" i="14"/>
  <c r="K898" i="14" s="1"/>
  <c r="L898" i="14" s="1"/>
  <c r="I898" i="14"/>
  <c r="H898" i="14"/>
  <c r="G898" i="14"/>
  <c r="K897" i="14"/>
  <c r="J897" i="14"/>
  <c r="H897" i="14"/>
  <c r="I897" i="14" s="1"/>
  <c r="G897" i="14"/>
  <c r="L897" i="14" s="1"/>
  <c r="L896" i="14"/>
  <c r="J896" i="14"/>
  <c r="K896" i="14" s="1"/>
  <c r="H896" i="14"/>
  <c r="I896" i="14" s="1"/>
  <c r="G896" i="14"/>
  <c r="J895" i="14"/>
  <c r="K895" i="14" s="1"/>
  <c r="H895" i="14"/>
  <c r="I895" i="14" s="1"/>
  <c r="G895" i="14"/>
  <c r="L895" i="14" s="1"/>
  <c r="J894" i="14"/>
  <c r="K894" i="14" s="1"/>
  <c r="L894" i="14" s="1"/>
  <c r="I894" i="14"/>
  <c r="H894" i="14"/>
  <c r="G894" i="14"/>
  <c r="K893" i="14"/>
  <c r="J893" i="14"/>
  <c r="H893" i="14"/>
  <c r="I893" i="14" s="1"/>
  <c r="G893" i="14"/>
  <c r="L893" i="14" s="1"/>
  <c r="L892" i="14"/>
  <c r="J892" i="14"/>
  <c r="K892" i="14" s="1"/>
  <c r="H892" i="14"/>
  <c r="I892" i="14" s="1"/>
  <c r="G892" i="14"/>
  <c r="J891" i="14"/>
  <c r="K891" i="14" s="1"/>
  <c r="H891" i="14"/>
  <c r="I891" i="14" s="1"/>
  <c r="G891" i="14"/>
  <c r="J890" i="14"/>
  <c r="K890" i="14" s="1"/>
  <c r="L890" i="14" s="1"/>
  <c r="I890" i="14"/>
  <c r="H890" i="14"/>
  <c r="G890" i="14"/>
  <c r="K889" i="14"/>
  <c r="J889" i="14"/>
  <c r="H889" i="14"/>
  <c r="I889" i="14" s="1"/>
  <c r="G889" i="14"/>
  <c r="L888" i="14"/>
  <c r="J888" i="14"/>
  <c r="K888" i="14" s="1"/>
  <c r="H888" i="14"/>
  <c r="I888" i="14" s="1"/>
  <c r="G888" i="14"/>
  <c r="J887" i="14"/>
  <c r="K887" i="14" s="1"/>
  <c r="H887" i="14"/>
  <c r="I887" i="14" s="1"/>
  <c r="G887" i="14"/>
  <c r="J886" i="14"/>
  <c r="K886" i="14" s="1"/>
  <c r="L886" i="14" s="1"/>
  <c r="I886" i="14"/>
  <c r="H886" i="14"/>
  <c r="G886" i="14"/>
  <c r="K885" i="14"/>
  <c r="J885" i="14"/>
  <c r="H885" i="14"/>
  <c r="I885" i="14" s="1"/>
  <c r="G885" i="14"/>
  <c r="L885" i="14" s="1"/>
  <c r="L884" i="14"/>
  <c r="J884" i="14"/>
  <c r="K884" i="14" s="1"/>
  <c r="H884" i="14"/>
  <c r="I884" i="14" s="1"/>
  <c r="G884" i="14"/>
  <c r="J883" i="14"/>
  <c r="K883" i="14" s="1"/>
  <c r="H883" i="14"/>
  <c r="I883" i="14" s="1"/>
  <c r="G883" i="14"/>
  <c r="L883" i="14" s="1"/>
  <c r="J882" i="14"/>
  <c r="K882" i="14" s="1"/>
  <c r="L882" i="14" s="1"/>
  <c r="I882" i="14"/>
  <c r="H882" i="14"/>
  <c r="G882" i="14"/>
  <c r="K881" i="14"/>
  <c r="J881" i="14"/>
  <c r="H881" i="14"/>
  <c r="I881" i="14" s="1"/>
  <c r="G881" i="14"/>
  <c r="L881" i="14" s="1"/>
  <c r="L880" i="14"/>
  <c r="J880" i="14"/>
  <c r="K880" i="14" s="1"/>
  <c r="H880" i="14"/>
  <c r="I880" i="14" s="1"/>
  <c r="G880" i="14"/>
  <c r="J879" i="14"/>
  <c r="K879" i="14" s="1"/>
  <c r="H879" i="14"/>
  <c r="I879" i="14" s="1"/>
  <c r="G879" i="14"/>
  <c r="L879" i="14" s="1"/>
  <c r="J878" i="14"/>
  <c r="K878" i="14" s="1"/>
  <c r="L878" i="14" s="1"/>
  <c r="I878" i="14"/>
  <c r="H878" i="14"/>
  <c r="G878" i="14"/>
  <c r="K877" i="14"/>
  <c r="J877" i="14"/>
  <c r="H877" i="14"/>
  <c r="I877" i="14" s="1"/>
  <c r="G877" i="14"/>
  <c r="L877" i="14" s="1"/>
  <c r="L876" i="14"/>
  <c r="J876" i="14"/>
  <c r="K876" i="14" s="1"/>
  <c r="H876" i="14"/>
  <c r="I876" i="14" s="1"/>
  <c r="G876" i="14"/>
  <c r="J875" i="14"/>
  <c r="K875" i="14" s="1"/>
  <c r="H875" i="14"/>
  <c r="I875" i="14" s="1"/>
  <c r="G875" i="14"/>
  <c r="J874" i="14"/>
  <c r="K874" i="14" s="1"/>
  <c r="L874" i="14" s="1"/>
  <c r="I874" i="14"/>
  <c r="H874" i="14"/>
  <c r="G874" i="14"/>
  <c r="K873" i="14"/>
  <c r="J873" i="14"/>
  <c r="H873" i="14"/>
  <c r="I873" i="14" s="1"/>
  <c r="G873" i="14"/>
  <c r="L872" i="14"/>
  <c r="J872" i="14"/>
  <c r="K872" i="14" s="1"/>
  <c r="H872" i="14"/>
  <c r="I872" i="14" s="1"/>
  <c r="G872" i="14"/>
  <c r="J871" i="14"/>
  <c r="K871" i="14" s="1"/>
  <c r="H871" i="14"/>
  <c r="I871" i="14" s="1"/>
  <c r="G871" i="14"/>
  <c r="J870" i="14"/>
  <c r="K870" i="14" s="1"/>
  <c r="L870" i="14" s="1"/>
  <c r="I870" i="14"/>
  <c r="H870" i="14"/>
  <c r="G870" i="14"/>
  <c r="K869" i="14"/>
  <c r="J869" i="14"/>
  <c r="H869" i="14"/>
  <c r="I869" i="14" s="1"/>
  <c r="G869" i="14"/>
  <c r="L869" i="14" s="1"/>
  <c r="L868" i="14"/>
  <c r="J868" i="14"/>
  <c r="K868" i="14" s="1"/>
  <c r="H868" i="14"/>
  <c r="I868" i="14" s="1"/>
  <c r="G868" i="14"/>
  <c r="J867" i="14"/>
  <c r="K867" i="14" s="1"/>
  <c r="H867" i="14"/>
  <c r="I867" i="14" s="1"/>
  <c r="G867" i="14"/>
  <c r="L867" i="14" s="1"/>
  <c r="J866" i="14"/>
  <c r="K866" i="14" s="1"/>
  <c r="L866" i="14" s="1"/>
  <c r="I866" i="14"/>
  <c r="H866" i="14"/>
  <c r="G866" i="14"/>
  <c r="K865" i="14"/>
  <c r="J865" i="14"/>
  <c r="H865" i="14"/>
  <c r="I865" i="14" s="1"/>
  <c r="G865" i="14"/>
  <c r="L865" i="14" s="1"/>
  <c r="L864" i="14"/>
  <c r="J864" i="14"/>
  <c r="K864" i="14" s="1"/>
  <c r="H864" i="14"/>
  <c r="I864" i="14" s="1"/>
  <c r="G864" i="14"/>
  <c r="J863" i="14"/>
  <c r="K863" i="14" s="1"/>
  <c r="H863" i="14"/>
  <c r="I863" i="14" s="1"/>
  <c r="G863" i="14"/>
  <c r="L863" i="14" s="1"/>
  <c r="J862" i="14"/>
  <c r="K862" i="14" s="1"/>
  <c r="L862" i="14" s="1"/>
  <c r="I862" i="14"/>
  <c r="H862" i="14"/>
  <c r="G862" i="14"/>
  <c r="K861" i="14"/>
  <c r="J861" i="14"/>
  <c r="H861" i="14"/>
  <c r="I861" i="14" s="1"/>
  <c r="G861" i="14"/>
  <c r="L861" i="14" s="1"/>
  <c r="L860" i="14"/>
  <c r="J860" i="14"/>
  <c r="K860" i="14" s="1"/>
  <c r="H860" i="14"/>
  <c r="I860" i="14" s="1"/>
  <c r="G860" i="14"/>
  <c r="J859" i="14"/>
  <c r="K859" i="14" s="1"/>
  <c r="H859" i="14"/>
  <c r="I859" i="14" s="1"/>
  <c r="G859" i="14"/>
  <c r="J858" i="14"/>
  <c r="K858" i="14" s="1"/>
  <c r="L858" i="14" s="1"/>
  <c r="I858" i="14"/>
  <c r="H858" i="14"/>
  <c r="G858" i="14"/>
  <c r="K857" i="14"/>
  <c r="J857" i="14"/>
  <c r="H857" i="14"/>
  <c r="I857" i="14" s="1"/>
  <c r="G857" i="14"/>
  <c r="L856" i="14"/>
  <c r="J856" i="14"/>
  <c r="K856" i="14" s="1"/>
  <c r="H856" i="14"/>
  <c r="I856" i="14" s="1"/>
  <c r="G856" i="14"/>
  <c r="J855" i="14"/>
  <c r="K855" i="14" s="1"/>
  <c r="H855" i="14"/>
  <c r="I855" i="14" s="1"/>
  <c r="G855" i="14"/>
  <c r="J854" i="14"/>
  <c r="K854" i="14" s="1"/>
  <c r="L854" i="14" s="1"/>
  <c r="I854" i="14"/>
  <c r="H854" i="14"/>
  <c r="G854" i="14"/>
  <c r="K853" i="14"/>
  <c r="J853" i="14"/>
  <c r="H853" i="14"/>
  <c r="I853" i="14" s="1"/>
  <c r="G853" i="14"/>
  <c r="L853" i="14" s="1"/>
  <c r="L852" i="14"/>
  <c r="J852" i="14"/>
  <c r="K852" i="14" s="1"/>
  <c r="H852" i="14"/>
  <c r="I852" i="14" s="1"/>
  <c r="G852" i="14"/>
  <c r="J851" i="14"/>
  <c r="K851" i="14" s="1"/>
  <c r="H851" i="14"/>
  <c r="I851" i="14" s="1"/>
  <c r="G851" i="14"/>
  <c r="L851" i="14" s="1"/>
  <c r="J850" i="14"/>
  <c r="K850" i="14" s="1"/>
  <c r="L850" i="14" s="1"/>
  <c r="I850" i="14"/>
  <c r="H850" i="14"/>
  <c r="G850" i="14"/>
  <c r="K849" i="14"/>
  <c r="J849" i="14"/>
  <c r="H849" i="14"/>
  <c r="I849" i="14" s="1"/>
  <c r="G849" i="14"/>
  <c r="L849" i="14" s="1"/>
  <c r="L848" i="14"/>
  <c r="J848" i="14"/>
  <c r="K848" i="14" s="1"/>
  <c r="H848" i="14"/>
  <c r="I848" i="14" s="1"/>
  <c r="G848" i="14"/>
  <c r="J847" i="14"/>
  <c r="K847" i="14" s="1"/>
  <c r="H847" i="14"/>
  <c r="I847" i="14" s="1"/>
  <c r="G847" i="14"/>
  <c r="L847" i="14" s="1"/>
  <c r="J846" i="14"/>
  <c r="K846" i="14" s="1"/>
  <c r="L846" i="14" s="1"/>
  <c r="I846" i="14"/>
  <c r="H846" i="14"/>
  <c r="G846" i="14"/>
  <c r="K845" i="14"/>
  <c r="J845" i="14"/>
  <c r="H845" i="14"/>
  <c r="I845" i="14" s="1"/>
  <c r="G845" i="14"/>
  <c r="L845" i="14" s="1"/>
  <c r="L844" i="14"/>
  <c r="J844" i="14"/>
  <c r="K844" i="14" s="1"/>
  <c r="H844" i="14"/>
  <c r="I844" i="14" s="1"/>
  <c r="G844" i="14"/>
  <c r="J843" i="14"/>
  <c r="K843" i="14" s="1"/>
  <c r="H843" i="14"/>
  <c r="I843" i="14" s="1"/>
  <c r="G843" i="14"/>
  <c r="J842" i="14"/>
  <c r="K842" i="14" s="1"/>
  <c r="L842" i="14" s="1"/>
  <c r="I842" i="14"/>
  <c r="H842" i="14"/>
  <c r="G842" i="14"/>
  <c r="K841" i="14"/>
  <c r="J841" i="14"/>
  <c r="H841" i="14"/>
  <c r="I841" i="14" s="1"/>
  <c r="G841" i="14"/>
  <c r="L840" i="14"/>
  <c r="J840" i="14"/>
  <c r="K840" i="14" s="1"/>
  <c r="H840" i="14"/>
  <c r="I840" i="14" s="1"/>
  <c r="G840" i="14"/>
  <c r="J839" i="14"/>
  <c r="K839" i="14" s="1"/>
  <c r="H839" i="14"/>
  <c r="I839" i="14" s="1"/>
  <c r="G839" i="14"/>
  <c r="J838" i="14"/>
  <c r="K838" i="14" s="1"/>
  <c r="L838" i="14" s="1"/>
  <c r="I838" i="14"/>
  <c r="H838" i="14"/>
  <c r="G838" i="14"/>
  <c r="K837" i="14"/>
  <c r="J837" i="14"/>
  <c r="H837" i="14"/>
  <c r="I837" i="14" s="1"/>
  <c r="G837" i="14"/>
  <c r="L837" i="14" s="1"/>
  <c r="L836" i="14"/>
  <c r="J836" i="14"/>
  <c r="K836" i="14" s="1"/>
  <c r="H836" i="14"/>
  <c r="I836" i="14" s="1"/>
  <c r="G836" i="14"/>
  <c r="J835" i="14"/>
  <c r="K835" i="14" s="1"/>
  <c r="H835" i="14"/>
  <c r="I835" i="14" s="1"/>
  <c r="G835" i="14"/>
  <c r="L835" i="14" s="1"/>
  <c r="J834" i="14"/>
  <c r="K834" i="14" s="1"/>
  <c r="L834" i="14" s="1"/>
  <c r="I834" i="14"/>
  <c r="H834" i="14"/>
  <c r="G834" i="14"/>
  <c r="K833" i="14"/>
  <c r="J833" i="14"/>
  <c r="H833" i="14"/>
  <c r="I833" i="14" s="1"/>
  <c r="G833" i="14"/>
  <c r="L833" i="14" s="1"/>
  <c r="L832" i="14"/>
  <c r="J832" i="14"/>
  <c r="K832" i="14" s="1"/>
  <c r="H832" i="14"/>
  <c r="I832" i="14" s="1"/>
  <c r="G832" i="14"/>
  <c r="J831" i="14"/>
  <c r="K831" i="14" s="1"/>
  <c r="H831" i="14"/>
  <c r="I831" i="14" s="1"/>
  <c r="G831" i="14"/>
  <c r="L831" i="14" s="1"/>
  <c r="J830" i="14"/>
  <c r="K830" i="14" s="1"/>
  <c r="L830" i="14" s="1"/>
  <c r="I830" i="14"/>
  <c r="H830" i="14"/>
  <c r="G830" i="14"/>
  <c r="K829" i="14"/>
  <c r="J829" i="14"/>
  <c r="H829" i="14"/>
  <c r="I829" i="14" s="1"/>
  <c r="G829" i="14"/>
  <c r="L829" i="14" s="1"/>
  <c r="L828" i="14"/>
  <c r="J828" i="14"/>
  <c r="K828" i="14" s="1"/>
  <c r="H828" i="14"/>
  <c r="I828" i="14" s="1"/>
  <c r="G828" i="14"/>
  <c r="J827" i="14"/>
  <c r="K827" i="14" s="1"/>
  <c r="H827" i="14"/>
  <c r="I827" i="14" s="1"/>
  <c r="G827" i="14"/>
  <c r="J826" i="14"/>
  <c r="K826" i="14" s="1"/>
  <c r="L826" i="14" s="1"/>
  <c r="I826" i="14"/>
  <c r="H826" i="14"/>
  <c r="G826" i="14"/>
  <c r="K825" i="14"/>
  <c r="J825" i="14"/>
  <c r="H825" i="14"/>
  <c r="I825" i="14" s="1"/>
  <c r="G825" i="14"/>
  <c r="L824" i="14"/>
  <c r="J824" i="14"/>
  <c r="K824" i="14" s="1"/>
  <c r="H824" i="14"/>
  <c r="I824" i="14" s="1"/>
  <c r="G824" i="14"/>
  <c r="J823" i="14"/>
  <c r="K823" i="14" s="1"/>
  <c r="H823" i="14"/>
  <c r="I823" i="14" s="1"/>
  <c r="G823" i="14"/>
  <c r="J822" i="14"/>
  <c r="K822" i="14" s="1"/>
  <c r="L822" i="14" s="1"/>
  <c r="I822" i="14"/>
  <c r="H822" i="14"/>
  <c r="G822" i="14"/>
  <c r="K821" i="14"/>
  <c r="J821" i="14"/>
  <c r="H821" i="14"/>
  <c r="I821" i="14" s="1"/>
  <c r="G821" i="14"/>
  <c r="L821" i="14" s="1"/>
  <c r="L820" i="14"/>
  <c r="J820" i="14"/>
  <c r="K820" i="14" s="1"/>
  <c r="H820" i="14"/>
  <c r="I820" i="14" s="1"/>
  <c r="G820" i="14"/>
  <c r="J819" i="14"/>
  <c r="K819" i="14" s="1"/>
  <c r="H819" i="14"/>
  <c r="I819" i="14" s="1"/>
  <c r="G819" i="14"/>
  <c r="L819" i="14" s="1"/>
  <c r="J818" i="14"/>
  <c r="K818" i="14" s="1"/>
  <c r="L818" i="14" s="1"/>
  <c r="I818" i="14"/>
  <c r="H818" i="14"/>
  <c r="G818" i="14"/>
  <c r="K817" i="14"/>
  <c r="J817" i="14"/>
  <c r="H817" i="14"/>
  <c r="I817" i="14" s="1"/>
  <c r="G817" i="14"/>
  <c r="L817" i="14" s="1"/>
  <c r="L816" i="14"/>
  <c r="J816" i="14"/>
  <c r="K816" i="14" s="1"/>
  <c r="H816" i="14"/>
  <c r="I816" i="14" s="1"/>
  <c r="G816" i="14"/>
  <c r="J815" i="14"/>
  <c r="K815" i="14" s="1"/>
  <c r="H815" i="14"/>
  <c r="I815" i="14" s="1"/>
  <c r="G815" i="14"/>
  <c r="L815" i="14" s="1"/>
  <c r="J814" i="14"/>
  <c r="K814" i="14" s="1"/>
  <c r="L814" i="14" s="1"/>
  <c r="I814" i="14"/>
  <c r="H814" i="14"/>
  <c r="G814" i="14"/>
  <c r="K813" i="14"/>
  <c r="J813" i="14"/>
  <c r="H813" i="14"/>
  <c r="I813" i="14" s="1"/>
  <c r="G813" i="14"/>
  <c r="L813" i="14" s="1"/>
  <c r="L812" i="14"/>
  <c r="J812" i="14"/>
  <c r="K812" i="14" s="1"/>
  <c r="H812" i="14"/>
  <c r="I812" i="14" s="1"/>
  <c r="G812" i="14"/>
  <c r="J811" i="14"/>
  <c r="K811" i="14" s="1"/>
  <c r="H811" i="14"/>
  <c r="I811" i="14" s="1"/>
  <c r="G811" i="14"/>
  <c r="J810" i="14"/>
  <c r="K810" i="14" s="1"/>
  <c r="L810" i="14" s="1"/>
  <c r="I810" i="14"/>
  <c r="H810" i="14"/>
  <c r="G810" i="14"/>
  <c r="K809" i="14"/>
  <c r="J809" i="14"/>
  <c r="H809" i="14"/>
  <c r="I809" i="14" s="1"/>
  <c r="G809" i="14"/>
  <c r="L808" i="14"/>
  <c r="J808" i="14"/>
  <c r="K808" i="14" s="1"/>
  <c r="H808" i="14"/>
  <c r="I808" i="14" s="1"/>
  <c r="G808" i="14"/>
  <c r="J807" i="14"/>
  <c r="K807" i="14" s="1"/>
  <c r="H807" i="14"/>
  <c r="I807" i="14" s="1"/>
  <c r="G807" i="14"/>
  <c r="J806" i="14"/>
  <c r="K806" i="14" s="1"/>
  <c r="L806" i="14" s="1"/>
  <c r="I806" i="14"/>
  <c r="H806" i="14"/>
  <c r="G806" i="14"/>
  <c r="K805" i="14"/>
  <c r="J805" i="14"/>
  <c r="H805" i="14"/>
  <c r="I805" i="14" s="1"/>
  <c r="G805" i="14"/>
  <c r="L805" i="14" s="1"/>
  <c r="L804" i="14"/>
  <c r="J804" i="14"/>
  <c r="K804" i="14" s="1"/>
  <c r="H804" i="14"/>
  <c r="I804" i="14" s="1"/>
  <c r="G804" i="14"/>
  <c r="J803" i="14"/>
  <c r="K803" i="14" s="1"/>
  <c r="H803" i="14"/>
  <c r="I803" i="14" s="1"/>
  <c r="G803" i="14"/>
  <c r="L803" i="14" s="1"/>
  <c r="J802" i="14"/>
  <c r="K802" i="14" s="1"/>
  <c r="L802" i="14" s="1"/>
  <c r="I802" i="14"/>
  <c r="H802" i="14"/>
  <c r="G802" i="14"/>
  <c r="K801" i="14"/>
  <c r="J801" i="14"/>
  <c r="H801" i="14"/>
  <c r="I801" i="14" s="1"/>
  <c r="G801" i="14"/>
  <c r="L801" i="14" s="1"/>
  <c r="L800" i="14"/>
  <c r="J800" i="14"/>
  <c r="K800" i="14" s="1"/>
  <c r="H800" i="14"/>
  <c r="I800" i="14" s="1"/>
  <c r="G800" i="14"/>
  <c r="J799" i="14"/>
  <c r="K799" i="14" s="1"/>
  <c r="H799" i="14"/>
  <c r="I799" i="14" s="1"/>
  <c r="G799" i="14"/>
  <c r="L799" i="14" s="1"/>
  <c r="J798" i="14"/>
  <c r="K798" i="14" s="1"/>
  <c r="L798" i="14" s="1"/>
  <c r="I798" i="14"/>
  <c r="H798" i="14"/>
  <c r="G798" i="14"/>
  <c r="K797" i="14"/>
  <c r="J797" i="14"/>
  <c r="H797" i="14"/>
  <c r="I797" i="14" s="1"/>
  <c r="G797" i="14"/>
  <c r="L797" i="14" s="1"/>
  <c r="L796" i="14"/>
  <c r="J796" i="14"/>
  <c r="K796" i="14" s="1"/>
  <c r="H796" i="14"/>
  <c r="I796" i="14" s="1"/>
  <c r="G796" i="14"/>
  <c r="J795" i="14"/>
  <c r="K795" i="14" s="1"/>
  <c r="H795" i="14"/>
  <c r="I795" i="14" s="1"/>
  <c r="G795" i="14"/>
  <c r="J794" i="14"/>
  <c r="K794" i="14" s="1"/>
  <c r="L794" i="14" s="1"/>
  <c r="I794" i="14"/>
  <c r="H794" i="14"/>
  <c r="G794" i="14"/>
  <c r="K793" i="14"/>
  <c r="J793" i="14"/>
  <c r="H793" i="14"/>
  <c r="I793" i="14" s="1"/>
  <c r="G793" i="14"/>
  <c r="L792" i="14"/>
  <c r="J792" i="14"/>
  <c r="K792" i="14" s="1"/>
  <c r="H792" i="14"/>
  <c r="I792" i="14" s="1"/>
  <c r="G792" i="14"/>
  <c r="J791" i="14"/>
  <c r="K791" i="14" s="1"/>
  <c r="H791" i="14"/>
  <c r="I791" i="14" s="1"/>
  <c r="G791" i="14"/>
  <c r="J790" i="14"/>
  <c r="K790" i="14" s="1"/>
  <c r="L790" i="14" s="1"/>
  <c r="I790" i="14"/>
  <c r="H790" i="14"/>
  <c r="G790" i="14"/>
  <c r="K789" i="14"/>
  <c r="J789" i="14"/>
  <c r="H789" i="14"/>
  <c r="I789" i="14" s="1"/>
  <c r="G789" i="14"/>
  <c r="L789" i="14" s="1"/>
  <c r="L788" i="14"/>
  <c r="J788" i="14"/>
  <c r="K788" i="14" s="1"/>
  <c r="H788" i="14"/>
  <c r="I788" i="14" s="1"/>
  <c r="G788" i="14"/>
  <c r="J787" i="14"/>
  <c r="K787" i="14" s="1"/>
  <c r="H787" i="14"/>
  <c r="I787" i="14" s="1"/>
  <c r="G787" i="14"/>
  <c r="L787" i="14" s="1"/>
  <c r="J786" i="14"/>
  <c r="K786" i="14" s="1"/>
  <c r="L786" i="14" s="1"/>
  <c r="I786" i="14"/>
  <c r="H786" i="14"/>
  <c r="G786" i="14"/>
  <c r="K785" i="14"/>
  <c r="J785" i="14"/>
  <c r="H785" i="14"/>
  <c r="I785" i="14" s="1"/>
  <c r="G785" i="14"/>
  <c r="L785" i="14" s="1"/>
  <c r="L784" i="14"/>
  <c r="J784" i="14"/>
  <c r="K784" i="14" s="1"/>
  <c r="H784" i="14"/>
  <c r="I784" i="14" s="1"/>
  <c r="G784" i="14"/>
  <c r="J783" i="14"/>
  <c r="K783" i="14" s="1"/>
  <c r="H783" i="14"/>
  <c r="I783" i="14" s="1"/>
  <c r="G783" i="14"/>
  <c r="L783" i="14" s="1"/>
  <c r="J782" i="14"/>
  <c r="K782" i="14" s="1"/>
  <c r="L782" i="14" s="1"/>
  <c r="I782" i="14"/>
  <c r="H782" i="14"/>
  <c r="G782" i="14"/>
  <c r="K781" i="14"/>
  <c r="J781" i="14"/>
  <c r="H781" i="14"/>
  <c r="I781" i="14" s="1"/>
  <c r="G781" i="14"/>
  <c r="L781" i="14" s="1"/>
  <c r="L780" i="14"/>
  <c r="J780" i="14"/>
  <c r="K780" i="14" s="1"/>
  <c r="H780" i="14"/>
  <c r="I780" i="14" s="1"/>
  <c r="G780" i="14"/>
  <c r="J779" i="14"/>
  <c r="K779" i="14" s="1"/>
  <c r="H779" i="14"/>
  <c r="I779" i="14" s="1"/>
  <c r="G779" i="14"/>
  <c r="J778" i="14"/>
  <c r="K778" i="14" s="1"/>
  <c r="L778" i="14" s="1"/>
  <c r="I778" i="14"/>
  <c r="H778" i="14"/>
  <c r="G778" i="14"/>
  <c r="K777" i="14"/>
  <c r="J777" i="14"/>
  <c r="H777" i="14"/>
  <c r="I777" i="14" s="1"/>
  <c r="G777" i="14"/>
  <c r="L776" i="14"/>
  <c r="J776" i="14"/>
  <c r="K776" i="14" s="1"/>
  <c r="H776" i="14"/>
  <c r="I776" i="14" s="1"/>
  <c r="G776" i="14"/>
  <c r="J775" i="14"/>
  <c r="K775" i="14" s="1"/>
  <c r="H775" i="14"/>
  <c r="I775" i="14" s="1"/>
  <c r="G775" i="14"/>
  <c r="J774" i="14"/>
  <c r="K774" i="14" s="1"/>
  <c r="L774" i="14" s="1"/>
  <c r="I774" i="14"/>
  <c r="H774" i="14"/>
  <c r="G774" i="14"/>
  <c r="K773" i="14"/>
  <c r="J773" i="14"/>
  <c r="H773" i="14"/>
  <c r="I773" i="14" s="1"/>
  <c r="G773" i="14"/>
  <c r="L773" i="14" s="1"/>
  <c r="L772" i="14"/>
  <c r="J772" i="14"/>
  <c r="K772" i="14" s="1"/>
  <c r="H772" i="14"/>
  <c r="I772" i="14" s="1"/>
  <c r="G772" i="14"/>
  <c r="J771" i="14"/>
  <c r="K771" i="14" s="1"/>
  <c r="H771" i="14"/>
  <c r="I771" i="14" s="1"/>
  <c r="G771" i="14"/>
  <c r="L771" i="14" s="1"/>
  <c r="J770" i="14"/>
  <c r="K770" i="14" s="1"/>
  <c r="L770" i="14" s="1"/>
  <c r="I770" i="14"/>
  <c r="H770" i="14"/>
  <c r="G770" i="14"/>
  <c r="K769" i="14"/>
  <c r="J769" i="14"/>
  <c r="H769" i="14"/>
  <c r="I769" i="14" s="1"/>
  <c r="G769" i="14"/>
  <c r="L769" i="14" s="1"/>
  <c r="L768" i="14"/>
  <c r="J768" i="14"/>
  <c r="K768" i="14" s="1"/>
  <c r="H768" i="14"/>
  <c r="I768" i="14" s="1"/>
  <c r="G768" i="14"/>
  <c r="J767" i="14"/>
  <c r="K767" i="14" s="1"/>
  <c r="H767" i="14"/>
  <c r="I767" i="14" s="1"/>
  <c r="G767" i="14"/>
  <c r="L767" i="14" s="1"/>
  <c r="J766" i="14"/>
  <c r="K766" i="14" s="1"/>
  <c r="L766" i="14" s="1"/>
  <c r="I766" i="14"/>
  <c r="H766" i="14"/>
  <c r="G766" i="14"/>
  <c r="K765" i="14"/>
  <c r="J765" i="14"/>
  <c r="H765" i="14"/>
  <c r="I765" i="14" s="1"/>
  <c r="G765" i="14"/>
  <c r="L765" i="14" s="1"/>
  <c r="L764" i="14"/>
  <c r="J764" i="14"/>
  <c r="K764" i="14" s="1"/>
  <c r="H764" i="14"/>
  <c r="I764" i="14" s="1"/>
  <c r="G764" i="14"/>
  <c r="J763" i="14"/>
  <c r="K763" i="14" s="1"/>
  <c r="H763" i="14"/>
  <c r="I763" i="14" s="1"/>
  <c r="G763" i="14"/>
  <c r="J762" i="14"/>
  <c r="K762" i="14" s="1"/>
  <c r="L762" i="14" s="1"/>
  <c r="I762" i="14"/>
  <c r="H762" i="14"/>
  <c r="G762" i="14"/>
  <c r="K761" i="14"/>
  <c r="J761" i="14"/>
  <c r="H761" i="14"/>
  <c r="I761" i="14" s="1"/>
  <c r="G761" i="14"/>
  <c r="L760" i="14"/>
  <c r="J760" i="14"/>
  <c r="K760" i="14" s="1"/>
  <c r="H760" i="14"/>
  <c r="I760" i="14" s="1"/>
  <c r="G760" i="14"/>
  <c r="J759" i="14"/>
  <c r="K759" i="14" s="1"/>
  <c r="H759" i="14"/>
  <c r="I759" i="14" s="1"/>
  <c r="G759" i="14"/>
  <c r="J758" i="14"/>
  <c r="K758" i="14" s="1"/>
  <c r="L758" i="14" s="1"/>
  <c r="I758" i="14"/>
  <c r="H758" i="14"/>
  <c r="G758" i="14"/>
  <c r="K757" i="14"/>
  <c r="J757" i="14"/>
  <c r="H757" i="14"/>
  <c r="I757" i="14" s="1"/>
  <c r="G757" i="14"/>
  <c r="L757" i="14" s="1"/>
  <c r="L756" i="14"/>
  <c r="J756" i="14"/>
  <c r="K756" i="14" s="1"/>
  <c r="H756" i="14"/>
  <c r="I756" i="14" s="1"/>
  <c r="G756" i="14"/>
  <c r="J755" i="14"/>
  <c r="K755" i="14" s="1"/>
  <c r="H755" i="14"/>
  <c r="I755" i="14" s="1"/>
  <c r="G755" i="14"/>
  <c r="L755" i="14" s="1"/>
  <c r="J754" i="14"/>
  <c r="K754" i="14" s="1"/>
  <c r="L754" i="14" s="1"/>
  <c r="I754" i="14"/>
  <c r="H754" i="14"/>
  <c r="G754" i="14"/>
  <c r="K753" i="14"/>
  <c r="J753" i="14"/>
  <c r="H753" i="14"/>
  <c r="I753" i="14" s="1"/>
  <c r="G753" i="14"/>
  <c r="L753" i="14" s="1"/>
  <c r="L752" i="14"/>
  <c r="J752" i="14"/>
  <c r="K752" i="14" s="1"/>
  <c r="H752" i="14"/>
  <c r="I752" i="14" s="1"/>
  <c r="G752" i="14"/>
  <c r="J751" i="14"/>
  <c r="K751" i="14" s="1"/>
  <c r="H751" i="14"/>
  <c r="I751" i="14" s="1"/>
  <c r="G751" i="14"/>
  <c r="L751" i="14" s="1"/>
  <c r="J750" i="14"/>
  <c r="K750" i="14" s="1"/>
  <c r="L750" i="14" s="1"/>
  <c r="I750" i="14"/>
  <c r="H750" i="14"/>
  <c r="G750" i="14"/>
  <c r="K749" i="14"/>
  <c r="J749" i="14"/>
  <c r="H749" i="14"/>
  <c r="I749" i="14" s="1"/>
  <c r="G749" i="14"/>
  <c r="L749" i="14" s="1"/>
  <c r="L748" i="14"/>
  <c r="J748" i="14"/>
  <c r="K748" i="14" s="1"/>
  <c r="H748" i="14"/>
  <c r="I748" i="14" s="1"/>
  <c r="G748" i="14"/>
  <c r="J747" i="14"/>
  <c r="K747" i="14" s="1"/>
  <c r="H747" i="14"/>
  <c r="I747" i="14" s="1"/>
  <c r="G747" i="14"/>
  <c r="J746" i="14"/>
  <c r="K746" i="14" s="1"/>
  <c r="L746" i="14" s="1"/>
  <c r="I746" i="14"/>
  <c r="H746" i="14"/>
  <c r="G746" i="14"/>
  <c r="K745" i="14"/>
  <c r="J745" i="14"/>
  <c r="H745" i="14"/>
  <c r="I745" i="14" s="1"/>
  <c r="G745" i="14"/>
  <c r="L744" i="14"/>
  <c r="J744" i="14"/>
  <c r="K744" i="14" s="1"/>
  <c r="H744" i="14"/>
  <c r="I744" i="14" s="1"/>
  <c r="G744" i="14"/>
  <c r="J743" i="14"/>
  <c r="K743" i="14" s="1"/>
  <c r="H743" i="14"/>
  <c r="I743" i="14" s="1"/>
  <c r="G743" i="14"/>
  <c r="J742" i="14"/>
  <c r="K742" i="14" s="1"/>
  <c r="L742" i="14" s="1"/>
  <c r="I742" i="14"/>
  <c r="H742" i="14"/>
  <c r="G742" i="14"/>
  <c r="K741" i="14"/>
  <c r="J741" i="14"/>
  <c r="H741" i="14"/>
  <c r="I741" i="14" s="1"/>
  <c r="G741" i="14"/>
  <c r="L741" i="14" s="1"/>
  <c r="L740" i="14"/>
  <c r="J740" i="14"/>
  <c r="K740" i="14" s="1"/>
  <c r="H740" i="14"/>
  <c r="I740" i="14" s="1"/>
  <c r="G740" i="14"/>
  <c r="J739" i="14"/>
  <c r="K739" i="14" s="1"/>
  <c r="H739" i="14"/>
  <c r="I739" i="14" s="1"/>
  <c r="G739" i="14"/>
  <c r="L739" i="14" s="1"/>
  <c r="J738" i="14"/>
  <c r="K738" i="14" s="1"/>
  <c r="L738" i="14" s="1"/>
  <c r="I738" i="14"/>
  <c r="H738" i="14"/>
  <c r="G738" i="14"/>
  <c r="K737" i="14"/>
  <c r="J737" i="14"/>
  <c r="H737" i="14"/>
  <c r="I737" i="14" s="1"/>
  <c r="G737" i="14"/>
  <c r="L737" i="14" s="1"/>
  <c r="L736" i="14"/>
  <c r="J736" i="14"/>
  <c r="K736" i="14" s="1"/>
  <c r="H736" i="14"/>
  <c r="I736" i="14" s="1"/>
  <c r="G736" i="14"/>
  <c r="J735" i="14"/>
  <c r="K735" i="14" s="1"/>
  <c r="H735" i="14"/>
  <c r="I735" i="14" s="1"/>
  <c r="G735" i="14"/>
  <c r="L735" i="14" s="1"/>
  <c r="J734" i="14"/>
  <c r="K734" i="14" s="1"/>
  <c r="L734" i="14" s="1"/>
  <c r="I734" i="14"/>
  <c r="H734" i="14"/>
  <c r="G734" i="14"/>
  <c r="K733" i="14"/>
  <c r="J733" i="14"/>
  <c r="H733" i="14"/>
  <c r="I733" i="14" s="1"/>
  <c r="G733" i="14"/>
  <c r="L733" i="14" s="1"/>
  <c r="L732" i="14"/>
  <c r="J732" i="14"/>
  <c r="K732" i="14" s="1"/>
  <c r="H732" i="14"/>
  <c r="I732" i="14" s="1"/>
  <c r="G732" i="14"/>
  <c r="J731" i="14"/>
  <c r="K731" i="14" s="1"/>
  <c r="H731" i="14"/>
  <c r="I731" i="14" s="1"/>
  <c r="G731" i="14"/>
  <c r="J730" i="14"/>
  <c r="K730" i="14" s="1"/>
  <c r="L730" i="14" s="1"/>
  <c r="I730" i="14"/>
  <c r="H730" i="14"/>
  <c r="G730" i="14"/>
  <c r="K729" i="14"/>
  <c r="J729" i="14"/>
  <c r="H729" i="14"/>
  <c r="I729" i="14" s="1"/>
  <c r="G729" i="14"/>
  <c r="L728" i="14"/>
  <c r="J728" i="14"/>
  <c r="K728" i="14" s="1"/>
  <c r="H728" i="14"/>
  <c r="I728" i="14" s="1"/>
  <c r="G728" i="14"/>
  <c r="J727" i="14"/>
  <c r="K727" i="14" s="1"/>
  <c r="L727" i="14" s="1"/>
  <c r="I727" i="14"/>
  <c r="H727" i="14"/>
  <c r="G727" i="14"/>
  <c r="K726" i="14"/>
  <c r="J726" i="14"/>
  <c r="H726" i="14"/>
  <c r="I726" i="14" s="1"/>
  <c r="G726" i="14"/>
  <c r="J725" i="14"/>
  <c r="K725" i="14" s="1"/>
  <c r="L725" i="14" s="1"/>
  <c r="I725" i="14"/>
  <c r="H725" i="14"/>
  <c r="G725" i="14"/>
  <c r="K724" i="14"/>
  <c r="J724" i="14"/>
  <c r="H724" i="14"/>
  <c r="I724" i="14" s="1"/>
  <c r="G724" i="14"/>
  <c r="J723" i="14"/>
  <c r="K723" i="14" s="1"/>
  <c r="L723" i="14" s="1"/>
  <c r="I723" i="14"/>
  <c r="H723" i="14"/>
  <c r="G723" i="14"/>
  <c r="K722" i="14"/>
  <c r="J722" i="14"/>
  <c r="H722" i="14"/>
  <c r="I722" i="14" s="1"/>
  <c r="G722" i="14"/>
  <c r="J721" i="14"/>
  <c r="K721" i="14" s="1"/>
  <c r="L721" i="14" s="1"/>
  <c r="I721" i="14"/>
  <c r="H721" i="14"/>
  <c r="G721" i="14"/>
  <c r="K720" i="14"/>
  <c r="J720" i="14"/>
  <c r="H720" i="14"/>
  <c r="I720" i="14" s="1"/>
  <c r="G720" i="14"/>
  <c r="J719" i="14"/>
  <c r="K719" i="14" s="1"/>
  <c r="L719" i="14" s="1"/>
  <c r="I719" i="14"/>
  <c r="H719" i="14"/>
  <c r="G719" i="14"/>
  <c r="K718" i="14"/>
  <c r="J718" i="14"/>
  <c r="H718" i="14"/>
  <c r="I718" i="14" s="1"/>
  <c r="G718" i="14"/>
  <c r="J717" i="14"/>
  <c r="K717" i="14" s="1"/>
  <c r="L717" i="14" s="1"/>
  <c r="I717" i="14"/>
  <c r="H717" i="14"/>
  <c r="G717" i="14"/>
  <c r="K716" i="14"/>
  <c r="J716" i="14"/>
  <c r="H716" i="14"/>
  <c r="I716" i="14" s="1"/>
  <c r="G716" i="14"/>
  <c r="J715" i="14"/>
  <c r="K715" i="14" s="1"/>
  <c r="L715" i="14" s="1"/>
  <c r="I715" i="14"/>
  <c r="H715" i="14"/>
  <c r="G715" i="14"/>
  <c r="K714" i="14"/>
  <c r="J714" i="14"/>
  <c r="H714" i="14"/>
  <c r="I714" i="14" s="1"/>
  <c r="G714" i="14"/>
  <c r="J713" i="14"/>
  <c r="K713" i="14" s="1"/>
  <c r="L713" i="14" s="1"/>
  <c r="I713" i="14"/>
  <c r="H713" i="14"/>
  <c r="G713" i="14"/>
  <c r="K712" i="14"/>
  <c r="J712" i="14"/>
  <c r="H712" i="14"/>
  <c r="I712" i="14" s="1"/>
  <c r="G712" i="14"/>
  <c r="J711" i="14"/>
  <c r="K711" i="14" s="1"/>
  <c r="L711" i="14" s="1"/>
  <c r="I711" i="14"/>
  <c r="H711" i="14"/>
  <c r="G711" i="14"/>
  <c r="K710" i="14"/>
  <c r="J710" i="14"/>
  <c r="H710" i="14"/>
  <c r="I710" i="14" s="1"/>
  <c r="G710" i="14"/>
  <c r="J709" i="14"/>
  <c r="K709" i="14" s="1"/>
  <c r="L709" i="14" s="1"/>
  <c r="I709" i="14"/>
  <c r="H709" i="14"/>
  <c r="G709" i="14"/>
  <c r="K708" i="14"/>
  <c r="J708" i="14"/>
  <c r="H708" i="14"/>
  <c r="I708" i="14" s="1"/>
  <c r="G708" i="14"/>
  <c r="J707" i="14"/>
  <c r="K707" i="14" s="1"/>
  <c r="L707" i="14" s="1"/>
  <c r="I707" i="14"/>
  <c r="H707" i="14"/>
  <c r="G707" i="14"/>
  <c r="K706" i="14"/>
  <c r="J706" i="14"/>
  <c r="H706" i="14"/>
  <c r="I706" i="14" s="1"/>
  <c r="G706" i="14"/>
  <c r="J705" i="14"/>
  <c r="K705" i="14" s="1"/>
  <c r="L705" i="14" s="1"/>
  <c r="I705" i="14"/>
  <c r="H705" i="14"/>
  <c r="G705" i="14"/>
  <c r="K704" i="14"/>
  <c r="J704" i="14"/>
  <c r="H704" i="14"/>
  <c r="I704" i="14" s="1"/>
  <c r="G704" i="14"/>
  <c r="J703" i="14"/>
  <c r="K703" i="14" s="1"/>
  <c r="L703" i="14" s="1"/>
  <c r="I703" i="14"/>
  <c r="H703" i="14"/>
  <c r="G703" i="14"/>
  <c r="K702" i="14"/>
  <c r="J702" i="14"/>
  <c r="H702" i="14"/>
  <c r="I702" i="14" s="1"/>
  <c r="G702" i="14"/>
  <c r="J701" i="14"/>
  <c r="K701" i="14" s="1"/>
  <c r="L701" i="14" s="1"/>
  <c r="I701" i="14"/>
  <c r="H701" i="14"/>
  <c r="G701" i="14"/>
  <c r="K700" i="14"/>
  <c r="J700" i="14"/>
  <c r="H700" i="14"/>
  <c r="I700" i="14" s="1"/>
  <c r="G700" i="14"/>
  <c r="J699" i="14"/>
  <c r="K699" i="14" s="1"/>
  <c r="L699" i="14" s="1"/>
  <c r="I699" i="14"/>
  <c r="H699" i="14"/>
  <c r="G699" i="14"/>
  <c r="K698" i="14"/>
  <c r="J698" i="14"/>
  <c r="H698" i="14"/>
  <c r="I698" i="14" s="1"/>
  <c r="G698" i="14"/>
  <c r="J697" i="14"/>
  <c r="K697" i="14" s="1"/>
  <c r="L697" i="14" s="1"/>
  <c r="I697" i="14"/>
  <c r="H697" i="14"/>
  <c r="G697" i="14"/>
  <c r="K696" i="14"/>
  <c r="J696" i="14"/>
  <c r="H696" i="14"/>
  <c r="I696" i="14" s="1"/>
  <c r="G696" i="14"/>
  <c r="J695" i="14"/>
  <c r="K695" i="14" s="1"/>
  <c r="L695" i="14" s="1"/>
  <c r="I695" i="14"/>
  <c r="H695" i="14"/>
  <c r="G695" i="14"/>
  <c r="K694" i="14"/>
  <c r="J694" i="14"/>
  <c r="H694" i="14"/>
  <c r="I694" i="14" s="1"/>
  <c r="G694" i="14"/>
  <c r="J693" i="14"/>
  <c r="K693" i="14" s="1"/>
  <c r="L693" i="14" s="1"/>
  <c r="I693" i="14"/>
  <c r="H693" i="14"/>
  <c r="G693" i="14"/>
  <c r="K692" i="14"/>
  <c r="J692" i="14"/>
  <c r="H692" i="14"/>
  <c r="I692" i="14" s="1"/>
  <c r="G692" i="14"/>
  <c r="J691" i="14"/>
  <c r="K691" i="14" s="1"/>
  <c r="L691" i="14" s="1"/>
  <c r="I691" i="14"/>
  <c r="H691" i="14"/>
  <c r="G691" i="14"/>
  <c r="K690" i="14"/>
  <c r="J690" i="14"/>
  <c r="H690" i="14"/>
  <c r="I690" i="14" s="1"/>
  <c r="G690" i="14"/>
  <c r="J689" i="14"/>
  <c r="K689" i="14" s="1"/>
  <c r="L689" i="14" s="1"/>
  <c r="I689" i="14"/>
  <c r="H689" i="14"/>
  <c r="G689" i="14"/>
  <c r="K688" i="14"/>
  <c r="J688" i="14"/>
  <c r="H688" i="14"/>
  <c r="I688" i="14" s="1"/>
  <c r="G688" i="14"/>
  <c r="J687" i="14"/>
  <c r="K687" i="14" s="1"/>
  <c r="L687" i="14" s="1"/>
  <c r="I687" i="14"/>
  <c r="H687" i="14"/>
  <c r="G687" i="14"/>
  <c r="K686" i="14"/>
  <c r="J686" i="14"/>
  <c r="H686" i="14"/>
  <c r="I686" i="14" s="1"/>
  <c r="G686" i="14"/>
  <c r="J685" i="14"/>
  <c r="K685" i="14" s="1"/>
  <c r="L685" i="14" s="1"/>
  <c r="I685" i="14"/>
  <c r="H685" i="14"/>
  <c r="G685" i="14"/>
  <c r="K684" i="14"/>
  <c r="J684" i="14"/>
  <c r="H684" i="14"/>
  <c r="I684" i="14" s="1"/>
  <c r="G684" i="14"/>
  <c r="J683" i="14"/>
  <c r="K683" i="14" s="1"/>
  <c r="L683" i="14" s="1"/>
  <c r="I683" i="14"/>
  <c r="H683" i="14"/>
  <c r="G683" i="14"/>
  <c r="K682" i="14"/>
  <c r="J682" i="14"/>
  <c r="H682" i="14"/>
  <c r="I682" i="14" s="1"/>
  <c r="G682" i="14"/>
  <c r="J681" i="14"/>
  <c r="K681" i="14" s="1"/>
  <c r="L681" i="14" s="1"/>
  <c r="I681" i="14"/>
  <c r="H681" i="14"/>
  <c r="G681" i="14"/>
  <c r="K680" i="14"/>
  <c r="J680" i="14"/>
  <c r="H680" i="14"/>
  <c r="I680" i="14" s="1"/>
  <c r="G680" i="14"/>
  <c r="J679" i="14"/>
  <c r="K679" i="14" s="1"/>
  <c r="L679" i="14" s="1"/>
  <c r="I679" i="14"/>
  <c r="H679" i="14"/>
  <c r="G679" i="14"/>
  <c r="K678" i="14"/>
  <c r="J678" i="14"/>
  <c r="H678" i="14"/>
  <c r="I678" i="14" s="1"/>
  <c r="G678" i="14"/>
  <c r="J677" i="14"/>
  <c r="K677" i="14" s="1"/>
  <c r="L677" i="14" s="1"/>
  <c r="I677" i="14"/>
  <c r="H677" i="14"/>
  <c r="G677" i="14"/>
  <c r="K676" i="14"/>
  <c r="J676" i="14"/>
  <c r="H676" i="14"/>
  <c r="I676" i="14" s="1"/>
  <c r="G676" i="14"/>
  <c r="J675" i="14"/>
  <c r="K675" i="14" s="1"/>
  <c r="L675" i="14" s="1"/>
  <c r="I675" i="14"/>
  <c r="H675" i="14"/>
  <c r="G675" i="14"/>
  <c r="K674" i="14"/>
  <c r="J674" i="14"/>
  <c r="H674" i="14"/>
  <c r="I674" i="14" s="1"/>
  <c r="G674" i="14"/>
  <c r="J673" i="14"/>
  <c r="K673" i="14" s="1"/>
  <c r="L673" i="14" s="1"/>
  <c r="I673" i="14"/>
  <c r="H673" i="14"/>
  <c r="G673" i="14"/>
  <c r="K672" i="14"/>
  <c r="J672" i="14"/>
  <c r="H672" i="14"/>
  <c r="I672" i="14" s="1"/>
  <c r="G672" i="14"/>
  <c r="J671" i="14"/>
  <c r="K671" i="14" s="1"/>
  <c r="L671" i="14" s="1"/>
  <c r="I671" i="14"/>
  <c r="H671" i="14"/>
  <c r="G671" i="14"/>
  <c r="K670" i="14"/>
  <c r="J670" i="14"/>
  <c r="H670" i="14"/>
  <c r="I670" i="14" s="1"/>
  <c r="G670" i="14"/>
  <c r="J669" i="14"/>
  <c r="K669" i="14" s="1"/>
  <c r="L669" i="14" s="1"/>
  <c r="I669" i="14"/>
  <c r="H669" i="14"/>
  <c r="G669" i="14"/>
  <c r="K668" i="14"/>
  <c r="J668" i="14"/>
  <c r="H668" i="14"/>
  <c r="I668" i="14" s="1"/>
  <c r="G668" i="14"/>
  <c r="J667" i="14"/>
  <c r="K667" i="14" s="1"/>
  <c r="L667" i="14" s="1"/>
  <c r="I667" i="14"/>
  <c r="H667" i="14"/>
  <c r="G667" i="14"/>
  <c r="K666" i="14"/>
  <c r="J666" i="14"/>
  <c r="H666" i="14"/>
  <c r="I666" i="14" s="1"/>
  <c r="G666" i="14"/>
  <c r="J665" i="14"/>
  <c r="K665" i="14" s="1"/>
  <c r="L665" i="14" s="1"/>
  <c r="I665" i="14"/>
  <c r="H665" i="14"/>
  <c r="G665" i="14"/>
  <c r="K664" i="14"/>
  <c r="J664" i="14"/>
  <c r="H664" i="14"/>
  <c r="I664" i="14" s="1"/>
  <c r="G664" i="14"/>
  <c r="J663" i="14"/>
  <c r="K663" i="14" s="1"/>
  <c r="L663" i="14" s="1"/>
  <c r="I663" i="14"/>
  <c r="H663" i="14"/>
  <c r="G663" i="14"/>
  <c r="K662" i="14"/>
  <c r="J662" i="14"/>
  <c r="H662" i="14"/>
  <c r="I662" i="14" s="1"/>
  <c r="G662" i="14"/>
  <c r="J661" i="14"/>
  <c r="K661" i="14" s="1"/>
  <c r="L661" i="14" s="1"/>
  <c r="I661" i="14"/>
  <c r="H661" i="14"/>
  <c r="G661" i="14"/>
  <c r="K660" i="14"/>
  <c r="J660" i="14"/>
  <c r="H660" i="14"/>
  <c r="I660" i="14" s="1"/>
  <c r="G660" i="14"/>
  <c r="J659" i="14"/>
  <c r="K659" i="14" s="1"/>
  <c r="L659" i="14" s="1"/>
  <c r="I659" i="14"/>
  <c r="H659" i="14"/>
  <c r="G659" i="14"/>
  <c r="K658" i="14"/>
  <c r="J658" i="14"/>
  <c r="H658" i="14"/>
  <c r="I658" i="14" s="1"/>
  <c r="G658" i="14"/>
  <c r="J657" i="14"/>
  <c r="K657" i="14" s="1"/>
  <c r="L657" i="14" s="1"/>
  <c r="I657" i="14"/>
  <c r="H657" i="14"/>
  <c r="G657" i="14"/>
  <c r="K656" i="14"/>
  <c r="J656" i="14"/>
  <c r="H656" i="14"/>
  <c r="I656" i="14" s="1"/>
  <c r="G656" i="14"/>
  <c r="J655" i="14"/>
  <c r="K655" i="14" s="1"/>
  <c r="L655" i="14" s="1"/>
  <c r="I655" i="14"/>
  <c r="H655" i="14"/>
  <c r="G655" i="14"/>
  <c r="K654" i="14"/>
  <c r="J654" i="14"/>
  <c r="H654" i="14"/>
  <c r="I654" i="14" s="1"/>
  <c r="G654" i="14"/>
  <c r="J653" i="14"/>
  <c r="K653" i="14" s="1"/>
  <c r="L653" i="14" s="1"/>
  <c r="I653" i="14"/>
  <c r="H653" i="14"/>
  <c r="G653" i="14"/>
  <c r="K652" i="14"/>
  <c r="J652" i="14"/>
  <c r="H652" i="14"/>
  <c r="I652" i="14" s="1"/>
  <c r="G652" i="14"/>
  <c r="J651" i="14"/>
  <c r="K651" i="14" s="1"/>
  <c r="L651" i="14" s="1"/>
  <c r="I651" i="14"/>
  <c r="H651" i="14"/>
  <c r="G651" i="14"/>
  <c r="K650" i="14"/>
  <c r="J650" i="14"/>
  <c r="H650" i="14"/>
  <c r="I650" i="14" s="1"/>
  <c r="G650" i="14"/>
  <c r="J649" i="14"/>
  <c r="K649" i="14" s="1"/>
  <c r="L649" i="14" s="1"/>
  <c r="I649" i="14"/>
  <c r="H649" i="14"/>
  <c r="G649" i="14"/>
  <c r="K648" i="14"/>
  <c r="J648" i="14"/>
  <c r="H648" i="14"/>
  <c r="I648" i="14" s="1"/>
  <c r="G648" i="14"/>
  <c r="L647" i="14"/>
  <c r="J647" i="14"/>
  <c r="K647" i="14" s="1"/>
  <c r="I647" i="14"/>
  <c r="H647" i="14"/>
  <c r="G647" i="14"/>
  <c r="K646" i="14"/>
  <c r="J646" i="14"/>
  <c r="H646" i="14"/>
  <c r="I646" i="14" s="1"/>
  <c r="G646" i="14"/>
  <c r="L646" i="14" s="1"/>
  <c r="L645" i="14"/>
  <c r="J645" i="14"/>
  <c r="K645" i="14" s="1"/>
  <c r="I645" i="14"/>
  <c r="H645" i="14"/>
  <c r="G645" i="14"/>
  <c r="K644" i="14"/>
  <c r="J644" i="14"/>
  <c r="H644" i="14"/>
  <c r="I644" i="14" s="1"/>
  <c r="G644" i="14"/>
  <c r="L644" i="14" s="1"/>
  <c r="L643" i="14"/>
  <c r="J643" i="14"/>
  <c r="K643" i="14" s="1"/>
  <c r="I643" i="14"/>
  <c r="H643" i="14"/>
  <c r="G643" i="14"/>
  <c r="K642" i="14"/>
  <c r="J642" i="14"/>
  <c r="H642" i="14"/>
  <c r="I642" i="14" s="1"/>
  <c r="G642" i="14"/>
  <c r="L642" i="14" s="1"/>
  <c r="L641" i="14"/>
  <c r="J641" i="14"/>
  <c r="K641" i="14" s="1"/>
  <c r="I641" i="14"/>
  <c r="H641" i="14"/>
  <c r="G641" i="14"/>
  <c r="K640" i="14"/>
  <c r="J640" i="14"/>
  <c r="H640" i="14"/>
  <c r="I640" i="14" s="1"/>
  <c r="G640" i="14"/>
  <c r="L639" i="14"/>
  <c r="J639" i="14"/>
  <c r="K639" i="14" s="1"/>
  <c r="I639" i="14"/>
  <c r="H639" i="14"/>
  <c r="G639" i="14"/>
  <c r="K638" i="14"/>
  <c r="J638" i="14"/>
  <c r="H638" i="14"/>
  <c r="I638" i="14" s="1"/>
  <c r="G638" i="14"/>
  <c r="L638" i="14" s="1"/>
  <c r="L637" i="14"/>
  <c r="J637" i="14"/>
  <c r="K637" i="14" s="1"/>
  <c r="I637" i="14"/>
  <c r="H637" i="14"/>
  <c r="G637" i="14"/>
  <c r="K636" i="14"/>
  <c r="J636" i="14"/>
  <c r="H636" i="14"/>
  <c r="I636" i="14" s="1"/>
  <c r="G636" i="14"/>
  <c r="L636" i="14" s="1"/>
  <c r="L635" i="14"/>
  <c r="J635" i="14"/>
  <c r="K635" i="14" s="1"/>
  <c r="I635" i="14"/>
  <c r="H635" i="14"/>
  <c r="G635" i="14"/>
  <c r="K634" i="14"/>
  <c r="J634" i="14"/>
  <c r="H634" i="14"/>
  <c r="I634" i="14" s="1"/>
  <c r="G634" i="14"/>
  <c r="L634" i="14" s="1"/>
  <c r="L633" i="14"/>
  <c r="J633" i="14"/>
  <c r="K633" i="14" s="1"/>
  <c r="I633" i="14"/>
  <c r="H633" i="14"/>
  <c r="G633" i="14"/>
  <c r="K632" i="14"/>
  <c r="J632" i="14"/>
  <c r="H632" i="14"/>
  <c r="I632" i="14" s="1"/>
  <c r="G632" i="14"/>
  <c r="L631" i="14"/>
  <c r="J631" i="14"/>
  <c r="K631" i="14" s="1"/>
  <c r="I631" i="14"/>
  <c r="H631" i="14"/>
  <c r="G631" i="14"/>
  <c r="K630" i="14"/>
  <c r="J630" i="14"/>
  <c r="H630" i="14"/>
  <c r="I630" i="14" s="1"/>
  <c r="G630" i="14"/>
  <c r="L630" i="14" s="1"/>
  <c r="L629" i="14"/>
  <c r="J629" i="14"/>
  <c r="K629" i="14" s="1"/>
  <c r="I629" i="14"/>
  <c r="H629" i="14"/>
  <c r="G629" i="14"/>
  <c r="K628" i="14"/>
  <c r="J628" i="14"/>
  <c r="H628" i="14"/>
  <c r="I628" i="14" s="1"/>
  <c r="G628" i="14"/>
  <c r="L628" i="14" s="1"/>
  <c r="L627" i="14"/>
  <c r="J627" i="14"/>
  <c r="K627" i="14" s="1"/>
  <c r="I627" i="14"/>
  <c r="H627" i="14"/>
  <c r="G627" i="14"/>
  <c r="K626" i="14"/>
  <c r="J626" i="14"/>
  <c r="H626" i="14"/>
  <c r="I626" i="14" s="1"/>
  <c r="G626" i="14"/>
  <c r="L626" i="14" s="1"/>
  <c r="L625" i="14"/>
  <c r="J625" i="14"/>
  <c r="K625" i="14" s="1"/>
  <c r="I625" i="14"/>
  <c r="H625" i="14"/>
  <c r="G625" i="14"/>
  <c r="K624" i="14"/>
  <c r="J624" i="14"/>
  <c r="H624" i="14"/>
  <c r="I624" i="14" s="1"/>
  <c r="G624" i="14"/>
  <c r="L623" i="14"/>
  <c r="J623" i="14"/>
  <c r="K623" i="14" s="1"/>
  <c r="I623" i="14"/>
  <c r="H623" i="14"/>
  <c r="G623" i="14"/>
  <c r="K622" i="14"/>
  <c r="J622" i="14"/>
  <c r="H622" i="14"/>
  <c r="I622" i="14" s="1"/>
  <c r="G622" i="14"/>
  <c r="L622" i="14" s="1"/>
  <c r="L621" i="14"/>
  <c r="J621" i="14"/>
  <c r="K621" i="14" s="1"/>
  <c r="I621" i="14"/>
  <c r="H621" i="14"/>
  <c r="G621" i="14"/>
  <c r="K620" i="14"/>
  <c r="J620" i="14"/>
  <c r="H620" i="14"/>
  <c r="I620" i="14" s="1"/>
  <c r="G620" i="14"/>
  <c r="L620" i="14" s="1"/>
  <c r="L619" i="14"/>
  <c r="J619" i="14"/>
  <c r="K619" i="14" s="1"/>
  <c r="I619" i="14"/>
  <c r="H619" i="14"/>
  <c r="G619" i="14"/>
  <c r="K618" i="14"/>
  <c r="J618" i="14"/>
  <c r="H618" i="14"/>
  <c r="I618" i="14" s="1"/>
  <c r="G618" i="14"/>
  <c r="L618" i="14" s="1"/>
  <c r="L617" i="14"/>
  <c r="J617" i="14"/>
  <c r="K617" i="14" s="1"/>
  <c r="I617" i="14"/>
  <c r="H617" i="14"/>
  <c r="G617" i="14"/>
  <c r="K616" i="14"/>
  <c r="J616" i="14"/>
  <c r="H616" i="14"/>
  <c r="I616" i="14" s="1"/>
  <c r="G616" i="14"/>
  <c r="L615" i="14"/>
  <c r="J615" i="14"/>
  <c r="K615" i="14" s="1"/>
  <c r="I615" i="14"/>
  <c r="H615" i="14"/>
  <c r="G615" i="14"/>
  <c r="K614" i="14"/>
  <c r="J614" i="14"/>
  <c r="H614" i="14"/>
  <c r="I614" i="14" s="1"/>
  <c r="G614" i="14"/>
  <c r="L614" i="14" s="1"/>
  <c r="L613" i="14"/>
  <c r="J613" i="14"/>
  <c r="K613" i="14" s="1"/>
  <c r="I613" i="14"/>
  <c r="H613" i="14"/>
  <c r="G613" i="14"/>
  <c r="K612" i="14"/>
  <c r="J612" i="14"/>
  <c r="H612" i="14"/>
  <c r="I612" i="14" s="1"/>
  <c r="G612" i="14"/>
  <c r="L612" i="14" s="1"/>
  <c r="L611" i="14"/>
  <c r="J611" i="14"/>
  <c r="K611" i="14" s="1"/>
  <c r="I611" i="14"/>
  <c r="H611" i="14"/>
  <c r="G611" i="14"/>
  <c r="K610" i="14"/>
  <c r="J610" i="14"/>
  <c r="H610" i="14"/>
  <c r="I610" i="14" s="1"/>
  <c r="G610" i="14"/>
  <c r="L610" i="14" s="1"/>
  <c r="L609" i="14"/>
  <c r="J609" i="14"/>
  <c r="K609" i="14" s="1"/>
  <c r="I609" i="14"/>
  <c r="H609" i="14"/>
  <c r="G609" i="14"/>
  <c r="K608" i="14"/>
  <c r="J608" i="14"/>
  <c r="H608" i="14"/>
  <c r="I608" i="14" s="1"/>
  <c r="G608" i="14"/>
  <c r="L607" i="14"/>
  <c r="J607" i="14"/>
  <c r="K607" i="14" s="1"/>
  <c r="I607" i="14"/>
  <c r="H607" i="14"/>
  <c r="G607" i="14"/>
  <c r="K606" i="14"/>
  <c r="J606" i="14"/>
  <c r="H606" i="14"/>
  <c r="I606" i="14" s="1"/>
  <c r="G606" i="14"/>
  <c r="L606" i="14" s="1"/>
  <c r="L605" i="14"/>
  <c r="J605" i="14"/>
  <c r="K605" i="14" s="1"/>
  <c r="I605" i="14"/>
  <c r="H605" i="14"/>
  <c r="G605" i="14"/>
  <c r="K604" i="14"/>
  <c r="J604" i="14"/>
  <c r="H604" i="14"/>
  <c r="I604" i="14" s="1"/>
  <c r="G604" i="14"/>
  <c r="L604" i="14" s="1"/>
  <c r="L603" i="14"/>
  <c r="J603" i="14"/>
  <c r="K603" i="14" s="1"/>
  <c r="I603" i="14"/>
  <c r="H603" i="14"/>
  <c r="G603" i="14"/>
  <c r="K602" i="14"/>
  <c r="J602" i="14"/>
  <c r="H602" i="14"/>
  <c r="I602" i="14" s="1"/>
  <c r="G602" i="14"/>
  <c r="L602" i="14" s="1"/>
  <c r="L601" i="14"/>
  <c r="J601" i="14"/>
  <c r="K601" i="14" s="1"/>
  <c r="I601" i="14"/>
  <c r="H601" i="14"/>
  <c r="G601" i="14"/>
  <c r="K600" i="14"/>
  <c r="J600" i="14"/>
  <c r="H600" i="14"/>
  <c r="I600" i="14" s="1"/>
  <c r="G600" i="14"/>
  <c r="L599" i="14"/>
  <c r="J599" i="14"/>
  <c r="K599" i="14" s="1"/>
  <c r="I599" i="14"/>
  <c r="H599" i="14"/>
  <c r="G599" i="14"/>
  <c r="K598" i="14"/>
  <c r="J598" i="14"/>
  <c r="H598" i="14"/>
  <c r="I598" i="14" s="1"/>
  <c r="G598" i="14"/>
  <c r="L598" i="14" s="1"/>
  <c r="L597" i="14"/>
  <c r="J597" i="14"/>
  <c r="K597" i="14" s="1"/>
  <c r="I597" i="14"/>
  <c r="H597" i="14"/>
  <c r="G597" i="14"/>
  <c r="K596" i="14"/>
  <c r="J596" i="14"/>
  <c r="H596" i="14"/>
  <c r="I596" i="14" s="1"/>
  <c r="G596" i="14"/>
  <c r="L596" i="14" s="1"/>
  <c r="L595" i="14"/>
  <c r="J595" i="14"/>
  <c r="K595" i="14" s="1"/>
  <c r="I595" i="14"/>
  <c r="H595" i="14"/>
  <c r="G595" i="14"/>
  <c r="K594" i="14"/>
  <c r="J594" i="14"/>
  <c r="H594" i="14"/>
  <c r="I594" i="14" s="1"/>
  <c r="G594" i="14"/>
  <c r="L594" i="14" s="1"/>
  <c r="L593" i="14"/>
  <c r="J593" i="14"/>
  <c r="K593" i="14" s="1"/>
  <c r="I593" i="14"/>
  <c r="H593" i="14"/>
  <c r="G593" i="14"/>
  <c r="K592" i="14"/>
  <c r="J592" i="14"/>
  <c r="H592" i="14"/>
  <c r="I592" i="14" s="1"/>
  <c r="G592" i="14"/>
  <c r="L591" i="14"/>
  <c r="J591" i="14"/>
  <c r="K591" i="14" s="1"/>
  <c r="I591" i="14"/>
  <c r="H591" i="14"/>
  <c r="G591" i="14"/>
  <c r="K590" i="14"/>
  <c r="J590" i="14"/>
  <c r="H590" i="14"/>
  <c r="I590" i="14" s="1"/>
  <c r="G590" i="14"/>
  <c r="L590" i="14" s="1"/>
  <c r="L589" i="14"/>
  <c r="J589" i="14"/>
  <c r="K589" i="14" s="1"/>
  <c r="I589" i="14"/>
  <c r="H589" i="14"/>
  <c r="G589" i="14"/>
  <c r="K588" i="14"/>
  <c r="J588" i="14"/>
  <c r="H588" i="14"/>
  <c r="I588" i="14" s="1"/>
  <c r="G588" i="14"/>
  <c r="L588" i="14" s="1"/>
  <c r="L587" i="14"/>
  <c r="J587" i="14"/>
  <c r="K587" i="14" s="1"/>
  <c r="I587" i="14"/>
  <c r="H587" i="14"/>
  <c r="G587" i="14"/>
  <c r="K586" i="14"/>
  <c r="J586" i="14"/>
  <c r="H586" i="14"/>
  <c r="I586" i="14" s="1"/>
  <c r="G586" i="14"/>
  <c r="L586" i="14" s="1"/>
  <c r="L585" i="14"/>
  <c r="J585" i="14"/>
  <c r="K585" i="14" s="1"/>
  <c r="I585" i="14"/>
  <c r="H585" i="14"/>
  <c r="G585" i="14"/>
  <c r="K584" i="14"/>
  <c r="J584" i="14"/>
  <c r="H584" i="14"/>
  <c r="I584" i="14" s="1"/>
  <c r="G584" i="14"/>
  <c r="L583" i="14"/>
  <c r="J583" i="14"/>
  <c r="K583" i="14" s="1"/>
  <c r="I583" i="14"/>
  <c r="H583" i="14"/>
  <c r="G583" i="14"/>
  <c r="K582" i="14"/>
  <c r="J582" i="14"/>
  <c r="H582" i="14"/>
  <c r="I582" i="14" s="1"/>
  <c r="G582" i="14"/>
  <c r="L582" i="14" s="1"/>
  <c r="L581" i="14"/>
  <c r="J581" i="14"/>
  <c r="K581" i="14" s="1"/>
  <c r="I581" i="14"/>
  <c r="H581" i="14"/>
  <c r="G581" i="14"/>
  <c r="K580" i="14"/>
  <c r="J580" i="14"/>
  <c r="H580" i="14"/>
  <c r="I580" i="14" s="1"/>
  <c r="G580" i="14"/>
  <c r="L580" i="14" s="1"/>
  <c r="L579" i="14"/>
  <c r="J579" i="14"/>
  <c r="K579" i="14" s="1"/>
  <c r="I579" i="14"/>
  <c r="H579" i="14"/>
  <c r="G579" i="14"/>
  <c r="K578" i="14"/>
  <c r="J578" i="14"/>
  <c r="H578" i="14"/>
  <c r="I578" i="14" s="1"/>
  <c r="G578" i="14"/>
  <c r="L578" i="14" s="1"/>
  <c r="L577" i="14"/>
  <c r="J577" i="14"/>
  <c r="K577" i="14" s="1"/>
  <c r="I577" i="14"/>
  <c r="H577" i="14"/>
  <c r="G577" i="14"/>
  <c r="K576" i="14"/>
  <c r="J576" i="14"/>
  <c r="H576" i="14"/>
  <c r="I576" i="14" s="1"/>
  <c r="G576" i="14"/>
  <c r="L575" i="14"/>
  <c r="J575" i="14"/>
  <c r="K575" i="14" s="1"/>
  <c r="I575" i="14"/>
  <c r="H575" i="14"/>
  <c r="G575" i="14"/>
  <c r="K574" i="14"/>
  <c r="J574" i="14"/>
  <c r="H574" i="14"/>
  <c r="I574" i="14" s="1"/>
  <c r="G574" i="14"/>
  <c r="L574" i="14" s="1"/>
  <c r="L573" i="14"/>
  <c r="J573" i="14"/>
  <c r="K573" i="14" s="1"/>
  <c r="I573" i="14"/>
  <c r="H573" i="14"/>
  <c r="G573" i="14"/>
  <c r="K572" i="14"/>
  <c r="J572" i="14"/>
  <c r="H572" i="14"/>
  <c r="I572" i="14" s="1"/>
  <c r="G572" i="14"/>
  <c r="L572" i="14" s="1"/>
  <c r="L571" i="14"/>
  <c r="J571" i="14"/>
  <c r="K571" i="14" s="1"/>
  <c r="I571" i="14"/>
  <c r="H571" i="14"/>
  <c r="G571" i="14"/>
  <c r="K570" i="14"/>
  <c r="J570" i="14"/>
  <c r="H570" i="14"/>
  <c r="I570" i="14" s="1"/>
  <c r="G570" i="14"/>
  <c r="L570" i="14" s="1"/>
  <c r="L569" i="14"/>
  <c r="J569" i="14"/>
  <c r="K569" i="14" s="1"/>
  <c r="I569" i="14"/>
  <c r="H569" i="14"/>
  <c r="G569" i="14"/>
  <c r="K568" i="14"/>
  <c r="J568" i="14"/>
  <c r="H568" i="14"/>
  <c r="I568" i="14" s="1"/>
  <c r="G568" i="14"/>
  <c r="L567" i="14"/>
  <c r="J567" i="14"/>
  <c r="K567" i="14" s="1"/>
  <c r="I567" i="14"/>
  <c r="H567" i="14"/>
  <c r="G567" i="14"/>
  <c r="K566" i="14"/>
  <c r="J566" i="14"/>
  <c r="H566" i="14"/>
  <c r="I566" i="14" s="1"/>
  <c r="G566" i="14"/>
  <c r="L566" i="14" s="1"/>
  <c r="L565" i="14"/>
  <c r="J565" i="14"/>
  <c r="K565" i="14" s="1"/>
  <c r="I565" i="14"/>
  <c r="H565" i="14"/>
  <c r="G565" i="14"/>
  <c r="K564" i="14"/>
  <c r="J564" i="14"/>
  <c r="H564" i="14"/>
  <c r="I564" i="14" s="1"/>
  <c r="G564" i="14"/>
  <c r="L564" i="14" s="1"/>
  <c r="L563" i="14"/>
  <c r="J563" i="14"/>
  <c r="K563" i="14" s="1"/>
  <c r="I563" i="14"/>
  <c r="H563" i="14"/>
  <c r="G563" i="14"/>
  <c r="K562" i="14"/>
  <c r="J562" i="14"/>
  <c r="H562" i="14"/>
  <c r="I562" i="14" s="1"/>
  <c r="G562" i="14"/>
  <c r="L562" i="14" s="1"/>
  <c r="L561" i="14"/>
  <c r="J561" i="14"/>
  <c r="K561" i="14" s="1"/>
  <c r="I561" i="14"/>
  <c r="H561" i="14"/>
  <c r="G561" i="14"/>
  <c r="K560" i="14"/>
  <c r="J560" i="14"/>
  <c r="H560" i="14"/>
  <c r="I560" i="14" s="1"/>
  <c r="G560" i="14"/>
  <c r="L559" i="14"/>
  <c r="J559" i="14"/>
  <c r="K559" i="14" s="1"/>
  <c r="I559" i="14"/>
  <c r="H559" i="14"/>
  <c r="G559" i="14"/>
  <c r="K558" i="14"/>
  <c r="J558" i="14"/>
  <c r="H558" i="14"/>
  <c r="I558" i="14" s="1"/>
  <c r="G558" i="14"/>
  <c r="L558" i="14" s="1"/>
  <c r="L557" i="14"/>
  <c r="J557" i="14"/>
  <c r="K557" i="14" s="1"/>
  <c r="I557" i="14"/>
  <c r="H557" i="14"/>
  <c r="G557" i="14"/>
  <c r="K556" i="14"/>
  <c r="J556" i="14"/>
  <c r="H556" i="14"/>
  <c r="I556" i="14" s="1"/>
  <c r="G556" i="14"/>
  <c r="L556" i="14" s="1"/>
  <c r="L555" i="14"/>
  <c r="J555" i="14"/>
  <c r="K555" i="14" s="1"/>
  <c r="I555" i="14"/>
  <c r="H555" i="14"/>
  <c r="G555" i="14"/>
  <c r="K554" i="14"/>
  <c r="J554" i="14"/>
  <c r="H554" i="14"/>
  <c r="I554" i="14" s="1"/>
  <c r="G554" i="14"/>
  <c r="L554" i="14" s="1"/>
  <c r="L553" i="14"/>
  <c r="J553" i="14"/>
  <c r="K553" i="14" s="1"/>
  <c r="I553" i="14"/>
  <c r="H553" i="14"/>
  <c r="G553" i="14"/>
  <c r="K552" i="14"/>
  <c r="J552" i="14"/>
  <c r="H552" i="14"/>
  <c r="I552" i="14" s="1"/>
  <c r="G552" i="14"/>
  <c r="L551" i="14"/>
  <c r="J551" i="14"/>
  <c r="K551" i="14" s="1"/>
  <c r="I551" i="14"/>
  <c r="H551" i="14"/>
  <c r="G551" i="14"/>
  <c r="K550" i="14"/>
  <c r="J550" i="14"/>
  <c r="H550" i="14"/>
  <c r="I550" i="14" s="1"/>
  <c r="G550" i="14"/>
  <c r="L550" i="14" s="1"/>
  <c r="L549" i="14"/>
  <c r="J549" i="14"/>
  <c r="K549" i="14" s="1"/>
  <c r="I549" i="14"/>
  <c r="H549" i="14"/>
  <c r="G549" i="14"/>
  <c r="K548" i="14"/>
  <c r="J548" i="14"/>
  <c r="H548" i="14"/>
  <c r="I548" i="14" s="1"/>
  <c r="G548" i="14"/>
  <c r="L548" i="14" s="1"/>
  <c r="L547" i="14"/>
  <c r="J547" i="14"/>
  <c r="K547" i="14" s="1"/>
  <c r="I547" i="14"/>
  <c r="H547" i="14"/>
  <c r="G547" i="14"/>
  <c r="K546" i="14"/>
  <c r="J546" i="14"/>
  <c r="H546" i="14"/>
  <c r="I546" i="14" s="1"/>
  <c r="G546" i="14"/>
  <c r="L546" i="14" s="1"/>
  <c r="L545" i="14"/>
  <c r="J545" i="14"/>
  <c r="K545" i="14" s="1"/>
  <c r="I545" i="14"/>
  <c r="H545" i="14"/>
  <c r="G545" i="14"/>
  <c r="K544" i="14"/>
  <c r="J544" i="14"/>
  <c r="H544" i="14"/>
  <c r="I544" i="14" s="1"/>
  <c r="G544" i="14"/>
  <c r="L543" i="14"/>
  <c r="J543" i="14"/>
  <c r="K543" i="14" s="1"/>
  <c r="I543" i="14"/>
  <c r="H543" i="14"/>
  <c r="G543" i="14"/>
  <c r="K542" i="14"/>
  <c r="J542" i="14"/>
  <c r="H542" i="14"/>
  <c r="I542" i="14" s="1"/>
  <c r="G542" i="14"/>
  <c r="L542" i="14" s="1"/>
  <c r="L541" i="14"/>
  <c r="J541" i="14"/>
  <c r="K541" i="14" s="1"/>
  <c r="I541" i="14"/>
  <c r="H541" i="14"/>
  <c r="G541" i="14"/>
  <c r="K540" i="14"/>
  <c r="J540" i="14"/>
  <c r="H540" i="14"/>
  <c r="I540" i="14" s="1"/>
  <c r="G540" i="14"/>
  <c r="L540" i="14" s="1"/>
  <c r="L539" i="14"/>
  <c r="J539" i="14"/>
  <c r="K539" i="14" s="1"/>
  <c r="I539" i="14"/>
  <c r="H539" i="14"/>
  <c r="G539" i="14"/>
  <c r="K538" i="14"/>
  <c r="J538" i="14"/>
  <c r="H538" i="14"/>
  <c r="I538" i="14" s="1"/>
  <c r="G538" i="14"/>
  <c r="L538" i="14" s="1"/>
  <c r="L537" i="14"/>
  <c r="J537" i="14"/>
  <c r="K537" i="14" s="1"/>
  <c r="I537" i="14"/>
  <c r="H537" i="14"/>
  <c r="G537" i="14"/>
  <c r="K536" i="14"/>
  <c r="J536" i="14"/>
  <c r="H536" i="14"/>
  <c r="I536" i="14" s="1"/>
  <c r="G536" i="14"/>
  <c r="L535" i="14"/>
  <c r="J535" i="14"/>
  <c r="K535" i="14" s="1"/>
  <c r="I535" i="14"/>
  <c r="H535" i="14"/>
  <c r="G535" i="14"/>
  <c r="K534" i="14"/>
  <c r="J534" i="14"/>
  <c r="H534" i="14"/>
  <c r="I534" i="14" s="1"/>
  <c r="G534" i="14"/>
  <c r="L534" i="14" s="1"/>
  <c r="L533" i="14"/>
  <c r="J533" i="14"/>
  <c r="K533" i="14" s="1"/>
  <c r="I533" i="14"/>
  <c r="H533" i="14"/>
  <c r="G533" i="14"/>
  <c r="K532" i="14"/>
  <c r="J532" i="14"/>
  <c r="H532" i="14"/>
  <c r="I532" i="14" s="1"/>
  <c r="G532" i="14"/>
  <c r="L532" i="14" s="1"/>
  <c r="L531" i="14"/>
  <c r="J531" i="14"/>
  <c r="K531" i="14" s="1"/>
  <c r="I531" i="14"/>
  <c r="H531" i="14"/>
  <c r="G531" i="14"/>
  <c r="K530" i="14"/>
  <c r="J530" i="14"/>
  <c r="H530" i="14"/>
  <c r="I530" i="14" s="1"/>
  <c r="G530" i="14"/>
  <c r="L530" i="14" s="1"/>
  <c r="L529" i="14"/>
  <c r="J529" i="14"/>
  <c r="K529" i="14" s="1"/>
  <c r="I529" i="14"/>
  <c r="H529" i="14"/>
  <c r="G529" i="14"/>
  <c r="K528" i="14"/>
  <c r="J528" i="14"/>
  <c r="H528" i="14"/>
  <c r="I528" i="14" s="1"/>
  <c r="G528" i="14"/>
  <c r="L527" i="14"/>
  <c r="J527" i="14"/>
  <c r="K527" i="14" s="1"/>
  <c r="I527" i="14"/>
  <c r="H527" i="14"/>
  <c r="G527" i="14"/>
  <c r="K526" i="14"/>
  <c r="J526" i="14"/>
  <c r="H526" i="14"/>
  <c r="I526" i="14" s="1"/>
  <c r="G526" i="14"/>
  <c r="L526" i="14" s="1"/>
  <c r="L525" i="14"/>
  <c r="J525" i="14"/>
  <c r="K525" i="14" s="1"/>
  <c r="I525" i="14"/>
  <c r="H525" i="14"/>
  <c r="G525" i="14"/>
  <c r="K524" i="14"/>
  <c r="J524" i="14"/>
  <c r="H524" i="14"/>
  <c r="I524" i="14" s="1"/>
  <c r="G524" i="14"/>
  <c r="L524" i="14" s="1"/>
  <c r="L523" i="14"/>
  <c r="J523" i="14"/>
  <c r="K523" i="14" s="1"/>
  <c r="I523" i="14"/>
  <c r="H523" i="14"/>
  <c r="G523" i="14"/>
  <c r="K522" i="14"/>
  <c r="J522" i="14"/>
  <c r="H522" i="14"/>
  <c r="I522" i="14" s="1"/>
  <c r="G522" i="14"/>
  <c r="L522" i="14" s="1"/>
  <c r="L521" i="14"/>
  <c r="J521" i="14"/>
  <c r="K521" i="14" s="1"/>
  <c r="I521" i="14"/>
  <c r="H521" i="14"/>
  <c r="G521" i="14"/>
  <c r="K520" i="14"/>
  <c r="J520" i="14"/>
  <c r="H520" i="14"/>
  <c r="I520" i="14" s="1"/>
  <c r="G520" i="14"/>
  <c r="L519" i="14"/>
  <c r="J519" i="14"/>
  <c r="K519" i="14" s="1"/>
  <c r="I519" i="14"/>
  <c r="H519" i="14"/>
  <c r="G519" i="14"/>
  <c r="K518" i="14"/>
  <c r="J518" i="14"/>
  <c r="H518" i="14"/>
  <c r="I518" i="14" s="1"/>
  <c r="G518" i="14"/>
  <c r="L518" i="14" s="1"/>
  <c r="L517" i="14"/>
  <c r="J517" i="14"/>
  <c r="K517" i="14" s="1"/>
  <c r="I517" i="14"/>
  <c r="H517" i="14"/>
  <c r="G517" i="14"/>
  <c r="K516" i="14"/>
  <c r="J516" i="14"/>
  <c r="H516" i="14"/>
  <c r="I516" i="14" s="1"/>
  <c r="G516" i="14"/>
  <c r="L516" i="14" s="1"/>
  <c r="L515" i="14"/>
  <c r="J515" i="14"/>
  <c r="K515" i="14" s="1"/>
  <c r="I515" i="14"/>
  <c r="H515" i="14"/>
  <c r="G515" i="14"/>
  <c r="K514" i="14"/>
  <c r="J514" i="14"/>
  <c r="H514" i="14"/>
  <c r="I514" i="14" s="1"/>
  <c r="G514" i="14"/>
  <c r="L514" i="14" s="1"/>
  <c r="L513" i="14"/>
  <c r="J513" i="14"/>
  <c r="K513" i="14" s="1"/>
  <c r="I513" i="14"/>
  <c r="H513" i="14"/>
  <c r="G513" i="14"/>
  <c r="K512" i="14"/>
  <c r="J512" i="14"/>
  <c r="H512" i="14"/>
  <c r="I512" i="14" s="1"/>
  <c r="G512" i="14"/>
  <c r="L511" i="14"/>
  <c r="J511" i="14"/>
  <c r="K511" i="14" s="1"/>
  <c r="I511" i="14"/>
  <c r="H511" i="14"/>
  <c r="G511" i="14"/>
  <c r="K510" i="14"/>
  <c r="J510" i="14"/>
  <c r="H510" i="14"/>
  <c r="I510" i="14" s="1"/>
  <c r="G510" i="14"/>
  <c r="L510" i="14" s="1"/>
  <c r="L509" i="14"/>
  <c r="J509" i="14"/>
  <c r="K509" i="14" s="1"/>
  <c r="I509" i="14"/>
  <c r="H509" i="14"/>
  <c r="G509" i="14"/>
  <c r="K508" i="14"/>
  <c r="J508" i="14"/>
  <c r="H508" i="14"/>
  <c r="I508" i="14" s="1"/>
  <c r="G508" i="14"/>
  <c r="L508" i="14" s="1"/>
  <c r="L507" i="14"/>
  <c r="J507" i="14"/>
  <c r="K507" i="14" s="1"/>
  <c r="I507" i="14"/>
  <c r="H507" i="14"/>
  <c r="G507" i="14"/>
  <c r="K506" i="14"/>
  <c r="J506" i="14"/>
  <c r="H506" i="14"/>
  <c r="I506" i="14" s="1"/>
  <c r="G506" i="14"/>
  <c r="L506" i="14" s="1"/>
  <c r="L505" i="14"/>
  <c r="J505" i="14"/>
  <c r="K505" i="14" s="1"/>
  <c r="I505" i="14"/>
  <c r="H505" i="14"/>
  <c r="G505" i="14"/>
  <c r="K504" i="14"/>
  <c r="J504" i="14"/>
  <c r="H504" i="14"/>
  <c r="I504" i="14" s="1"/>
  <c r="G504" i="14"/>
  <c r="L503" i="14"/>
  <c r="J503" i="14"/>
  <c r="K503" i="14" s="1"/>
  <c r="I503" i="14"/>
  <c r="H503" i="14"/>
  <c r="G503" i="14"/>
  <c r="K502" i="14"/>
  <c r="J502" i="14"/>
  <c r="H502" i="14"/>
  <c r="I502" i="14" s="1"/>
  <c r="G502" i="14"/>
  <c r="L502" i="14" s="1"/>
  <c r="L501" i="14"/>
  <c r="J501" i="14"/>
  <c r="K501" i="14" s="1"/>
  <c r="I501" i="14"/>
  <c r="H501" i="14"/>
  <c r="G501" i="14"/>
  <c r="K500" i="14"/>
  <c r="J500" i="14"/>
  <c r="H500" i="14"/>
  <c r="I500" i="14" s="1"/>
  <c r="G500" i="14"/>
  <c r="L500" i="14" s="1"/>
  <c r="L499" i="14"/>
  <c r="J499" i="14"/>
  <c r="K499" i="14" s="1"/>
  <c r="I499" i="14"/>
  <c r="H499" i="14"/>
  <c r="G499" i="14"/>
  <c r="K498" i="14"/>
  <c r="J498" i="14"/>
  <c r="H498" i="14"/>
  <c r="I498" i="14" s="1"/>
  <c r="G498" i="14"/>
  <c r="L498" i="14" s="1"/>
  <c r="L497" i="14"/>
  <c r="J497" i="14"/>
  <c r="K497" i="14" s="1"/>
  <c r="I497" i="14"/>
  <c r="H497" i="14"/>
  <c r="G497" i="14"/>
  <c r="K496" i="14"/>
  <c r="J496" i="14"/>
  <c r="H496" i="14"/>
  <c r="I496" i="14" s="1"/>
  <c r="G496" i="14"/>
  <c r="L495" i="14"/>
  <c r="J495" i="14"/>
  <c r="K495" i="14" s="1"/>
  <c r="I495" i="14"/>
  <c r="H495" i="14"/>
  <c r="G495" i="14"/>
  <c r="K494" i="14"/>
  <c r="J494" i="14"/>
  <c r="H494" i="14"/>
  <c r="I494" i="14" s="1"/>
  <c r="G494" i="14"/>
  <c r="L494" i="14" s="1"/>
  <c r="L493" i="14"/>
  <c r="J493" i="14"/>
  <c r="K493" i="14" s="1"/>
  <c r="I493" i="14"/>
  <c r="H493" i="14"/>
  <c r="G493" i="14"/>
  <c r="K492" i="14"/>
  <c r="J492" i="14"/>
  <c r="H492" i="14"/>
  <c r="I492" i="14" s="1"/>
  <c r="G492" i="14"/>
  <c r="L492" i="14" s="1"/>
  <c r="L491" i="14"/>
  <c r="J491" i="14"/>
  <c r="K491" i="14" s="1"/>
  <c r="I491" i="14"/>
  <c r="H491" i="14"/>
  <c r="G491" i="14"/>
  <c r="K490" i="14"/>
  <c r="J490" i="14"/>
  <c r="H490" i="14"/>
  <c r="I490" i="14" s="1"/>
  <c r="G490" i="14"/>
  <c r="L490" i="14" s="1"/>
  <c r="L489" i="14"/>
  <c r="J489" i="14"/>
  <c r="K489" i="14" s="1"/>
  <c r="I489" i="14"/>
  <c r="H489" i="14"/>
  <c r="G489" i="14"/>
  <c r="K488" i="14"/>
  <c r="J488" i="14"/>
  <c r="H488" i="14"/>
  <c r="I488" i="14" s="1"/>
  <c r="G488" i="14"/>
  <c r="L487" i="14"/>
  <c r="J487" i="14"/>
  <c r="K487" i="14" s="1"/>
  <c r="I487" i="14"/>
  <c r="H487" i="14"/>
  <c r="G487" i="14"/>
  <c r="K486" i="14"/>
  <c r="J486" i="14"/>
  <c r="H486" i="14"/>
  <c r="I486" i="14" s="1"/>
  <c r="G486" i="14"/>
  <c r="L486" i="14" s="1"/>
  <c r="L485" i="14"/>
  <c r="J485" i="14"/>
  <c r="K485" i="14" s="1"/>
  <c r="I485" i="14"/>
  <c r="H485" i="14"/>
  <c r="G485" i="14"/>
  <c r="K484" i="14"/>
  <c r="J484" i="14"/>
  <c r="H484" i="14"/>
  <c r="I484" i="14" s="1"/>
  <c r="G484" i="14"/>
  <c r="L484" i="14" s="1"/>
  <c r="L483" i="14"/>
  <c r="J483" i="14"/>
  <c r="K483" i="14" s="1"/>
  <c r="I483" i="14"/>
  <c r="H483" i="14"/>
  <c r="G483" i="14"/>
  <c r="K482" i="14"/>
  <c r="J482" i="14"/>
  <c r="H482" i="14"/>
  <c r="I482" i="14" s="1"/>
  <c r="G482" i="14"/>
  <c r="L482" i="14" s="1"/>
  <c r="L481" i="14"/>
  <c r="J481" i="14"/>
  <c r="K481" i="14" s="1"/>
  <c r="I481" i="14"/>
  <c r="H481" i="14"/>
  <c r="G481" i="14"/>
  <c r="K480" i="14"/>
  <c r="J480" i="14"/>
  <c r="H480" i="14"/>
  <c r="I480" i="14" s="1"/>
  <c r="G480" i="14"/>
  <c r="L479" i="14"/>
  <c r="J479" i="14"/>
  <c r="K479" i="14" s="1"/>
  <c r="I479" i="14"/>
  <c r="H479" i="14"/>
  <c r="G479" i="14"/>
  <c r="K478" i="14"/>
  <c r="J478" i="14"/>
  <c r="H478" i="14"/>
  <c r="I478" i="14" s="1"/>
  <c r="G478" i="14"/>
  <c r="L478" i="14" s="1"/>
  <c r="L477" i="14"/>
  <c r="J477" i="14"/>
  <c r="K477" i="14" s="1"/>
  <c r="I477" i="14"/>
  <c r="H477" i="14"/>
  <c r="G477" i="14"/>
  <c r="K476" i="14"/>
  <c r="J476" i="14"/>
  <c r="H476" i="14"/>
  <c r="I476" i="14" s="1"/>
  <c r="G476" i="14"/>
  <c r="L476" i="14" s="1"/>
  <c r="L475" i="14"/>
  <c r="J475" i="14"/>
  <c r="K475" i="14" s="1"/>
  <c r="I475" i="14"/>
  <c r="H475" i="14"/>
  <c r="G475" i="14"/>
  <c r="K474" i="14"/>
  <c r="J474" i="14"/>
  <c r="H474" i="14"/>
  <c r="I474" i="14" s="1"/>
  <c r="G474" i="14"/>
  <c r="L474" i="14" s="1"/>
  <c r="L473" i="14"/>
  <c r="J473" i="14"/>
  <c r="K473" i="14" s="1"/>
  <c r="I473" i="14"/>
  <c r="H473" i="14"/>
  <c r="G473" i="14"/>
  <c r="K472" i="14"/>
  <c r="J472" i="14"/>
  <c r="H472" i="14"/>
  <c r="I472" i="14" s="1"/>
  <c r="G472" i="14"/>
  <c r="L471" i="14"/>
  <c r="J471" i="14"/>
  <c r="K471" i="14" s="1"/>
  <c r="I471" i="14"/>
  <c r="H471" i="14"/>
  <c r="G471" i="14"/>
  <c r="K470" i="14"/>
  <c r="J470" i="14"/>
  <c r="H470" i="14"/>
  <c r="I470" i="14" s="1"/>
  <c r="G470" i="14"/>
  <c r="L470" i="14" s="1"/>
  <c r="L469" i="14"/>
  <c r="J469" i="14"/>
  <c r="K469" i="14" s="1"/>
  <c r="I469" i="14"/>
  <c r="H469" i="14"/>
  <c r="G469" i="14"/>
  <c r="K468" i="14"/>
  <c r="J468" i="14"/>
  <c r="H468" i="14"/>
  <c r="I468" i="14" s="1"/>
  <c r="G468" i="14"/>
  <c r="L468" i="14" s="1"/>
  <c r="L467" i="14"/>
  <c r="J467" i="14"/>
  <c r="K467" i="14" s="1"/>
  <c r="I467" i="14"/>
  <c r="H467" i="14"/>
  <c r="G467" i="14"/>
  <c r="K466" i="14"/>
  <c r="J466" i="14"/>
  <c r="H466" i="14"/>
  <c r="I466" i="14" s="1"/>
  <c r="G466" i="14"/>
  <c r="L466" i="14" s="1"/>
  <c r="L465" i="14"/>
  <c r="J465" i="14"/>
  <c r="K465" i="14" s="1"/>
  <c r="I465" i="14"/>
  <c r="H465" i="14"/>
  <c r="G465" i="14"/>
  <c r="K464" i="14"/>
  <c r="J464" i="14"/>
  <c r="H464" i="14"/>
  <c r="I464" i="14" s="1"/>
  <c r="G464" i="14"/>
  <c r="L463" i="14"/>
  <c r="J463" i="14"/>
  <c r="K463" i="14" s="1"/>
  <c r="I463" i="14"/>
  <c r="H463" i="14"/>
  <c r="G463" i="14"/>
  <c r="K462" i="14"/>
  <c r="J462" i="14"/>
  <c r="H462" i="14"/>
  <c r="I462" i="14" s="1"/>
  <c r="G462" i="14"/>
  <c r="L462" i="14" s="1"/>
  <c r="L461" i="14"/>
  <c r="J461" i="14"/>
  <c r="K461" i="14" s="1"/>
  <c r="I461" i="14"/>
  <c r="H461" i="14"/>
  <c r="G461" i="14"/>
  <c r="K460" i="14"/>
  <c r="J460" i="14"/>
  <c r="H460" i="14"/>
  <c r="I460" i="14" s="1"/>
  <c r="G460" i="14"/>
  <c r="L460" i="14" s="1"/>
  <c r="L459" i="14"/>
  <c r="J459" i="14"/>
  <c r="K459" i="14" s="1"/>
  <c r="I459" i="14"/>
  <c r="H459" i="14"/>
  <c r="G459" i="14"/>
  <c r="K458" i="14"/>
  <c r="J458" i="14"/>
  <c r="H458" i="14"/>
  <c r="I458" i="14" s="1"/>
  <c r="G458" i="14"/>
  <c r="L458" i="14" s="1"/>
  <c r="L457" i="14"/>
  <c r="J457" i="14"/>
  <c r="K457" i="14" s="1"/>
  <c r="I457" i="14"/>
  <c r="H457" i="14"/>
  <c r="G457" i="14"/>
  <c r="K456" i="14"/>
  <c r="J456" i="14"/>
  <c r="H456" i="14"/>
  <c r="I456" i="14" s="1"/>
  <c r="G456" i="14"/>
  <c r="L455" i="14"/>
  <c r="J455" i="14"/>
  <c r="K455" i="14" s="1"/>
  <c r="I455" i="14"/>
  <c r="H455" i="14"/>
  <c r="G455" i="14"/>
  <c r="K454" i="14"/>
  <c r="J454" i="14"/>
  <c r="H454" i="14"/>
  <c r="I454" i="14" s="1"/>
  <c r="G454" i="14"/>
  <c r="L454" i="14" s="1"/>
  <c r="L453" i="14"/>
  <c r="J453" i="14"/>
  <c r="K453" i="14" s="1"/>
  <c r="I453" i="14"/>
  <c r="H453" i="14"/>
  <c r="G453" i="14"/>
  <c r="K452" i="14"/>
  <c r="J452" i="14"/>
  <c r="H452" i="14"/>
  <c r="I452" i="14" s="1"/>
  <c r="G452" i="14"/>
  <c r="L452" i="14" s="1"/>
  <c r="L451" i="14"/>
  <c r="J451" i="14"/>
  <c r="K451" i="14" s="1"/>
  <c r="I451" i="14"/>
  <c r="H451" i="14"/>
  <c r="G451" i="14"/>
  <c r="K450" i="14"/>
  <c r="J450" i="14"/>
  <c r="H450" i="14"/>
  <c r="I450" i="14" s="1"/>
  <c r="G450" i="14"/>
  <c r="L450" i="14" s="1"/>
  <c r="L449" i="14"/>
  <c r="J449" i="14"/>
  <c r="K449" i="14" s="1"/>
  <c r="I449" i="14"/>
  <c r="H449" i="14"/>
  <c r="G449" i="14"/>
  <c r="K448" i="14"/>
  <c r="J448" i="14"/>
  <c r="H448" i="14"/>
  <c r="I448" i="14" s="1"/>
  <c r="G448" i="14"/>
  <c r="L447" i="14"/>
  <c r="J447" i="14"/>
  <c r="K447" i="14" s="1"/>
  <c r="I447" i="14"/>
  <c r="H447" i="14"/>
  <c r="G447" i="14"/>
  <c r="K446" i="14"/>
  <c r="J446" i="14"/>
  <c r="H446" i="14"/>
  <c r="I446" i="14" s="1"/>
  <c r="G446" i="14"/>
  <c r="L446" i="14" s="1"/>
  <c r="L445" i="14"/>
  <c r="J445" i="14"/>
  <c r="K445" i="14" s="1"/>
  <c r="I445" i="14"/>
  <c r="H445" i="14"/>
  <c r="G445" i="14"/>
  <c r="K444" i="14"/>
  <c r="J444" i="14"/>
  <c r="H444" i="14"/>
  <c r="I444" i="14" s="1"/>
  <c r="G444" i="14"/>
  <c r="L444" i="14" s="1"/>
  <c r="L443" i="14"/>
  <c r="J443" i="14"/>
  <c r="K443" i="14" s="1"/>
  <c r="I443" i="14"/>
  <c r="H443" i="14"/>
  <c r="G443" i="14"/>
  <c r="K442" i="14"/>
  <c r="J442" i="14"/>
  <c r="H442" i="14"/>
  <c r="I442" i="14" s="1"/>
  <c r="G442" i="14"/>
  <c r="L442" i="14" s="1"/>
  <c r="L441" i="14"/>
  <c r="J441" i="14"/>
  <c r="K441" i="14" s="1"/>
  <c r="I441" i="14"/>
  <c r="H441" i="14"/>
  <c r="G441" i="14"/>
  <c r="K440" i="14"/>
  <c r="J440" i="14"/>
  <c r="H440" i="14"/>
  <c r="I440" i="14" s="1"/>
  <c r="G440" i="14"/>
  <c r="L439" i="14"/>
  <c r="J439" i="14"/>
  <c r="K439" i="14" s="1"/>
  <c r="I439" i="14"/>
  <c r="H439" i="14"/>
  <c r="G439" i="14"/>
  <c r="K438" i="14"/>
  <c r="J438" i="14"/>
  <c r="H438" i="14"/>
  <c r="I438" i="14" s="1"/>
  <c r="G438" i="14"/>
  <c r="L438" i="14" s="1"/>
  <c r="L437" i="14"/>
  <c r="J437" i="14"/>
  <c r="K437" i="14" s="1"/>
  <c r="I437" i="14"/>
  <c r="H437" i="14"/>
  <c r="G437" i="14"/>
  <c r="K436" i="14"/>
  <c r="J436" i="14"/>
  <c r="H436" i="14"/>
  <c r="I436" i="14" s="1"/>
  <c r="G436" i="14"/>
  <c r="L436" i="14" s="1"/>
  <c r="L435" i="14"/>
  <c r="J435" i="14"/>
  <c r="K435" i="14" s="1"/>
  <c r="I435" i="14"/>
  <c r="H435" i="14"/>
  <c r="G435" i="14"/>
  <c r="K434" i="14"/>
  <c r="J434" i="14"/>
  <c r="H434" i="14"/>
  <c r="I434" i="14" s="1"/>
  <c r="G434" i="14"/>
  <c r="L434" i="14" s="1"/>
  <c r="L433" i="14"/>
  <c r="J433" i="14"/>
  <c r="K433" i="14" s="1"/>
  <c r="I433" i="14"/>
  <c r="H433" i="14"/>
  <c r="G433" i="14"/>
  <c r="K432" i="14"/>
  <c r="J432" i="14"/>
  <c r="H432" i="14"/>
  <c r="I432" i="14" s="1"/>
  <c r="G432" i="14"/>
  <c r="L431" i="14"/>
  <c r="J431" i="14"/>
  <c r="K431" i="14" s="1"/>
  <c r="I431" i="14"/>
  <c r="H431" i="14"/>
  <c r="G431" i="14"/>
  <c r="K430" i="14"/>
  <c r="J430" i="14"/>
  <c r="H430" i="14"/>
  <c r="I430" i="14" s="1"/>
  <c r="G430" i="14"/>
  <c r="L430" i="14" s="1"/>
  <c r="L429" i="14"/>
  <c r="J429" i="14"/>
  <c r="K429" i="14" s="1"/>
  <c r="I429" i="14"/>
  <c r="H429" i="14"/>
  <c r="G429" i="14"/>
  <c r="K428" i="14"/>
  <c r="J428" i="14"/>
  <c r="H428" i="14"/>
  <c r="I428" i="14" s="1"/>
  <c r="G428" i="14"/>
  <c r="L428" i="14" s="1"/>
  <c r="L427" i="14"/>
  <c r="J427" i="14"/>
  <c r="K427" i="14" s="1"/>
  <c r="I427" i="14"/>
  <c r="H427" i="14"/>
  <c r="G427" i="14"/>
  <c r="K426" i="14"/>
  <c r="J426" i="14"/>
  <c r="H426" i="14"/>
  <c r="I426" i="14" s="1"/>
  <c r="G426" i="14"/>
  <c r="L426" i="14" s="1"/>
  <c r="L425" i="14"/>
  <c r="J425" i="14"/>
  <c r="K425" i="14" s="1"/>
  <c r="I425" i="14"/>
  <c r="H425" i="14"/>
  <c r="G425" i="14"/>
  <c r="K424" i="14"/>
  <c r="J424" i="14"/>
  <c r="H424" i="14"/>
  <c r="I424" i="14" s="1"/>
  <c r="G424" i="14"/>
  <c r="L423" i="14"/>
  <c r="J423" i="14"/>
  <c r="K423" i="14" s="1"/>
  <c r="I423" i="14"/>
  <c r="H423" i="14"/>
  <c r="G423" i="14"/>
  <c r="K422" i="14"/>
  <c r="J422" i="14"/>
  <c r="H422" i="14"/>
  <c r="I422" i="14" s="1"/>
  <c r="G422" i="14"/>
  <c r="L422" i="14" s="1"/>
  <c r="L421" i="14"/>
  <c r="J421" i="14"/>
  <c r="K421" i="14" s="1"/>
  <c r="I421" i="14"/>
  <c r="H421" i="14"/>
  <c r="G421" i="14"/>
  <c r="K420" i="14"/>
  <c r="J420" i="14"/>
  <c r="H420" i="14"/>
  <c r="I420" i="14" s="1"/>
  <c r="G420" i="14"/>
  <c r="L420" i="14" s="1"/>
  <c r="L419" i="14"/>
  <c r="J419" i="14"/>
  <c r="K419" i="14" s="1"/>
  <c r="I419" i="14"/>
  <c r="H419" i="14"/>
  <c r="G419" i="14"/>
  <c r="K418" i="14"/>
  <c r="J418" i="14"/>
  <c r="H418" i="14"/>
  <c r="I418" i="14" s="1"/>
  <c r="G418" i="14"/>
  <c r="L418" i="14" s="1"/>
  <c r="L417" i="14"/>
  <c r="J417" i="14"/>
  <c r="K417" i="14" s="1"/>
  <c r="I417" i="14"/>
  <c r="H417" i="14"/>
  <c r="G417" i="14"/>
  <c r="K416" i="14"/>
  <c r="J416" i="14"/>
  <c r="H416" i="14"/>
  <c r="I416" i="14" s="1"/>
  <c r="G416" i="14"/>
  <c r="L415" i="14"/>
  <c r="J415" i="14"/>
  <c r="K415" i="14" s="1"/>
  <c r="I415" i="14"/>
  <c r="H415" i="14"/>
  <c r="G415" i="14"/>
  <c r="K414" i="14"/>
  <c r="J414" i="14"/>
  <c r="H414" i="14"/>
  <c r="I414" i="14" s="1"/>
  <c r="G414" i="14"/>
  <c r="L414" i="14" s="1"/>
  <c r="L413" i="14"/>
  <c r="J413" i="14"/>
  <c r="K413" i="14" s="1"/>
  <c r="I413" i="14"/>
  <c r="H413" i="14"/>
  <c r="G413" i="14"/>
  <c r="K412" i="14"/>
  <c r="J412" i="14"/>
  <c r="H412" i="14"/>
  <c r="I412" i="14" s="1"/>
  <c r="G412" i="14"/>
  <c r="L412" i="14" s="1"/>
  <c r="L411" i="14"/>
  <c r="J411" i="14"/>
  <c r="K411" i="14" s="1"/>
  <c r="I411" i="14"/>
  <c r="H411" i="14"/>
  <c r="G411" i="14"/>
  <c r="K410" i="14"/>
  <c r="J410" i="14"/>
  <c r="H410" i="14"/>
  <c r="I410" i="14" s="1"/>
  <c r="G410" i="14"/>
  <c r="L410" i="14" s="1"/>
  <c r="L409" i="14"/>
  <c r="J409" i="14"/>
  <c r="K409" i="14" s="1"/>
  <c r="I409" i="14"/>
  <c r="H409" i="14"/>
  <c r="G409" i="14"/>
  <c r="K408" i="14"/>
  <c r="J408" i="14"/>
  <c r="H408" i="14"/>
  <c r="I408" i="14" s="1"/>
  <c r="G408" i="14"/>
  <c r="L407" i="14"/>
  <c r="J407" i="14"/>
  <c r="K407" i="14" s="1"/>
  <c r="I407" i="14"/>
  <c r="H407" i="14"/>
  <c r="G407" i="14"/>
  <c r="K406" i="14"/>
  <c r="J406" i="14"/>
  <c r="H406" i="14"/>
  <c r="I406" i="14" s="1"/>
  <c r="G406" i="14"/>
  <c r="L406" i="14" s="1"/>
  <c r="L405" i="14"/>
  <c r="J405" i="14"/>
  <c r="K405" i="14" s="1"/>
  <c r="I405" i="14"/>
  <c r="H405" i="14"/>
  <c r="G405" i="14"/>
  <c r="K404" i="14"/>
  <c r="J404" i="14"/>
  <c r="H404" i="14"/>
  <c r="I404" i="14" s="1"/>
  <c r="G404" i="14"/>
  <c r="L404" i="14" s="1"/>
  <c r="L403" i="14"/>
  <c r="J403" i="14"/>
  <c r="K403" i="14" s="1"/>
  <c r="I403" i="14"/>
  <c r="H403" i="14"/>
  <c r="G403" i="14"/>
  <c r="K402" i="14"/>
  <c r="J402" i="14"/>
  <c r="H402" i="14"/>
  <c r="I402" i="14" s="1"/>
  <c r="G402" i="14"/>
  <c r="L402" i="14" s="1"/>
  <c r="L401" i="14"/>
  <c r="J401" i="14"/>
  <c r="K401" i="14" s="1"/>
  <c r="I401" i="14"/>
  <c r="H401" i="14"/>
  <c r="G401" i="14"/>
  <c r="K400" i="14"/>
  <c r="J400" i="14"/>
  <c r="H400" i="14"/>
  <c r="I400" i="14" s="1"/>
  <c r="G400" i="14"/>
  <c r="L399" i="14"/>
  <c r="J399" i="14"/>
  <c r="K399" i="14" s="1"/>
  <c r="I399" i="14"/>
  <c r="H399" i="14"/>
  <c r="G399" i="14"/>
  <c r="K398" i="14"/>
  <c r="J398" i="14"/>
  <c r="H398" i="14"/>
  <c r="I398" i="14" s="1"/>
  <c r="G398" i="14"/>
  <c r="L398" i="14" s="1"/>
  <c r="L397" i="14"/>
  <c r="J397" i="14"/>
  <c r="K397" i="14" s="1"/>
  <c r="I397" i="14"/>
  <c r="H397" i="14"/>
  <c r="G397" i="14"/>
  <c r="K396" i="14"/>
  <c r="J396" i="14"/>
  <c r="H396" i="14"/>
  <c r="I396" i="14" s="1"/>
  <c r="G396" i="14"/>
  <c r="L396" i="14" s="1"/>
  <c r="L395" i="14"/>
  <c r="J395" i="14"/>
  <c r="K395" i="14" s="1"/>
  <c r="I395" i="14"/>
  <c r="H395" i="14"/>
  <c r="G395" i="14"/>
  <c r="K394" i="14"/>
  <c r="J394" i="14"/>
  <c r="H394" i="14"/>
  <c r="I394" i="14" s="1"/>
  <c r="G394" i="14"/>
  <c r="L394" i="14" s="1"/>
  <c r="L393" i="14"/>
  <c r="J393" i="14"/>
  <c r="K393" i="14" s="1"/>
  <c r="I393" i="14"/>
  <c r="H393" i="14"/>
  <c r="G393" i="14"/>
  <c r="K392" i="14"/>
  <c r="J392" i="14"/>
  <c r="H392" i="14"/>
  <c r="I392" i="14" s="1"/>
  <c r="G392" i="14"/>
  <c r="L391" i="14"/>
  <c r="J391" i="14"/>
  <c r="K391" i="14" s="1"/>
  <c r="I391" i="14"/>
  <c r="H391" i="14"/>
  <c r="G391" i="14"/>
  <c r="K390" i="14"/>
  <c r="J390" i="14"/>
  <c r="H390" i="14"/>
  <c r="I390" i="14" s="1"/>
  <c r="G390" i="14"/>
  <c r="L390" i="14" s="1"/>
  <c r="L389" i="14"/>
  <c r="J389" i="14"/>
  <c r="K389" i="14" s="1"/>
  <c r="I389" i="14"/>
  <c r="H389" i="14"/>
  <c r="G389" i="14"/>
  <c r="K388" i="14"/>
  <c r="J388" i="14"/>
  <c r="H388" i="14"/>
  <c r="I388" i="14" s="1"/>
  <c r="G388" i="14"/>
  <c r="L388" i="14" s="1"/>
  <c r="L387" i="14"/>
  <c r="J387" i="14"/>
  <c r="K387" i="14" s="1"/>
  <c r="I387" i="14"/>
  <c r="H387" i="14"/>
  <c r="G387" i="14"/>
  <c r="K386" i="14"/>
  <c r="J386" i="14"/>
  <c r="H386" i="14"/>
  <c r="I386" i="14" s="1"/>
  <c r="G386" i="14"/>
  <c r="L386" i="14" s="1"/>
  <c r="L385" i="14"/>
  <c r="J385" i="14"/>
  <c r="K385" i="14" s="1"/>
  <c r="I385" i="14"/>
  <c r="H385" i="14"/>
  <c r="G385" i="14"/>
  <c r="K384" i="14"/>
  <c r="J384" i="14"/>
  <c r="H384" i="14"/>
  <c r="I384" i="14" s="1"/>
  <c r="G384" i="14"/>
  <c r="L383" i="14"/>
  <c r="J383" i="14"/>
  <c r="K383" i="14" s="1"/>
  <c r="I383" i="14"/>
  <c r="H383" i="14"/>
  <c r="G383" i="14"/>
  <c r="K382" i="14"/>
  <c r="J382" i="14"/>
  <c r="H382" i="14"/>
  <c r="I382" i="14" s="1"/>
  <c r="G382" i="14"/>
  <c r="L382" i="14" s="1"/>
  <c r="J381" i="14"/>
  <c r="K381" i="14" s="1"/>
  <c r="L381" i="14" s="1"/>
  <c r="I381" i="14"/>
  <c r="H381" i="14"/>
  <c r="G381" i="14"/>
  <c r="K380" i="14"/>
  <c r="J380" i="14"/>
  <c r="H380" i="14"/>
  <c r="I380" i="14" s="1"/>
  <c r="G380" i="14"/>
  <c r="L379" i="14"/>
  <c r="J379" i="14"/>
  <c r="K379" i="14" s="1"/>
  <c r="I379" i="14"/>
  <c r="H379" i="14"/>
  <c r="G379" i="14"/>
  <c r="K378" i="14"/>
  <c r="J378" i="14"/>
  <c r="H378" i="14"/>
  <c r="I378" i="14" s="1"/>
  <c r="G378" i="14"/>
  <c r="L378" i="14" s="1"/>
  <c r="J377" i="14"/>
  <c r="K377" i="14" s="1"/>
  <c r="L377" i="14" s="1"/>
  <c r="I377" i="14"/>
  <c r="H377" i="14"/>
  <c r="G377" i="14"/>
  <c r="K376" i="14"/>
  <c r="J376" i="14"/>
  <c r="H376" i="14"/>
  <c r="I376" i="14" s="1"/>
  <c r="G376" i="14"/>
  <c r="L376" i="14" s="1"/>
  <c r="L375" i="14"/>
  <c r="J375" i="14"/>
  <c r="K375" i="14" s="1"/>
  <c r="I375" i="14"/>
  <c r="H375" i="14"/>
  <c r="G375" i="14"/>
  <c r="J374" i="14"/>
  <c r="K374" i="14" s="1"/>
  <c r="H374" i="14"/>
  <c r="I374" i="14" s="1"/>
  <c r="G374" i="14"/>
  <c r="L374" i="14" s="1"/>
  <c r="J373" i="14"/>
  <c r="K373" i="14" s="1"/>
  <c r="L373" i="14" s="1"/>
  <c r="I373" i="14"/>
  <c r="H373" i="14"/>
  <c r="G373" i="14"/>
  <c r="K372" i="14"/>
  <c r="J372" i="14"/>
  <c r="H372" i="14"/>
  <c r="I372" i="14" s="1"/>
  <c r="G372" i="14"/>
  <c r="L372" i="14" s="1"/>
  <c r="L371" i="14"/>
  <c r="J371" i="14"/>
  <c r="K371" i="14" s="1"/>
  <c r="H371" i="14"/>
  <c r="I371" i="14" s="1"/>
  <c r="G371" i="14"/>
  <c r="J370" i="14"/>
  <c r="K370" i="14" s="1"/>
  <c r="H370" i="14"/>
  <c r="I370" i="14" s="1"/>
  <c r="G370" i="14"/>
  <c r="L370" i="14" s="1"/>
  <c r="J369" i="14"/>
  <c r="K369" i="14" s="1"/>
  <c r="L369" i="14" s="1"/>
  <c r="I369" i="14"/>
  <c r="H369" i="14"/>
  <c r="G369" i="14"/>
  <c r="K368" i="14"/>
  <c r="J368" i="14"/>
  <c r="H368" i="14"/>
  <c r="I368" i="14" s="1"/>
  <c r="G368" i="14"/>
  <c r="L367" i="14"/>
  <c r="J367" i="14"/>
  <c r="K367" i="14" s="1"/>
  <c r="H367" i="14"/>
  <c r="I367" i="14" s="1"/>
  <c r="G367" i="14"/>
  <c r="J366" i="14"/>
  <c r="K366" i="14" s="1"/>
  <c r="H366" i="14"/>
  <c r="I366" i="14" s="1"/>
  <c r="G366" i="14"/>
  <c r="J365" i="14"/>
  <c r="K365" i="14" s="1"/>
  <c r="L365" i="14" s="1"/>
  <c r="I365" i="14"/>
  <c r="H365" i="14"/>
  <c r="G365" i="14"/>
  <c r="K364" i="14"/>
  <c r="J364" i="14"/>
  <c r="H364" i="14"/>
  <c r="I364" i="14" s="1"/>
  <c r="G364" i="14"/>
  <c r="L363" i="14"/>
  <c r="J363" i="14"/>
  <c r="K363" i="14" s="1"/>
  <c r="H363" i="14"/>
  <c r="I363" i="14" s="1"/>
  <c r="G363" i="14"/>
  <c r="J362" i="14"/>
  <c r="K362" i="14" s="1"/>
  <c r="H362" i="14"/>
  <c r="I362" i="14" s="1"/>
  <c r="G362" i="14"/>
  <c r="J361" i="14"/>
  <c r="K361" i="14" s="1"/>
  <c r="L361" i="14" s="1"/>
  <c r="I361" i="14"/>
  <c r="H361" i="14"/>
  <c r="G361" i="14"/>
  <c r="K360" i="14"/>
  <c r="J360" i="14"/>
  <c r="H360" i="14"/>
  <c r="I360" i="14" s="1"/>
  <c r="G360" i="14"/>
  <c r="L359" i="14"/>
  <c r="J359" i="14"/>
  <c r="K359" i="14" s="1"/>
  <c r="H359" i="14"/>
  <c r="I359" i="14" s="1"/>
  <c r="G359" i="14"/>
  <c r="J358" i="14"/>
  <c r="K358" i="14" s="1"/>
  <c r="H358" i="14"/>
  <c r="I358" i="14" s="1"/>
  <c r="G358" i="14"/>
  <c r="L358" i="14" s="1"/>
  <c r="J357" i="14"/>
  <c r="K357" i="14" s="1"/>
  <c r="L357" i="14" s="1"/>
  <c r="I357" i="14"/>
  <c r="H357" i="14"/>
  <c r="G357" i="14"/>
  <c r="K356" i="14"/>
  <c r="J356" i="14"/>
  <c r="H356" i="14"/>
  <c r="I356" i="14" s="1"/>
  <c r="G356" i="14"/>
  <c r="L356" i="14" s="1"/>
  <c r="L355" i="14"/>
  <c r="J355" i="14"/>
  <c r="K355" i="14" s="1"/>
  <c r="H355" i="14"/>
  <c r="I355" i="14" s="1"/>
  <c r="G355" i="14"/>
  <c r="J354" i="14"/>
  <c r="K354" i="14" s="1"/>
  <c r="H354" i="14"/>
  <c r="I354" i="14" s="1"/>
  <c r="G354" i="14"/>
  <c r="L354" i="14" s="1"/>
  <c r="J353" i="14"/>
  <c r="K353" i="14" s="1"/>
  <c r="L353" i="14" s="1"/>
  <c r="I353" i="14"/>
  <c r="H353" i="14"/>
  <c r="G353" i="14"/>
  <c r="K352" i="14"/>
  <c r="J352" i="14"/>
  <c r="H352" i="14"/>
  <c r="I352" i="14" s="1"/>
  <c r="G352" i="14"/>
  <c r="L351" i="14"/>
  <c r="J351" i="14"/>
  <c r="K351" i="14" s="1"/>
  <c r="H351" i="14"/>
  <c r="I351" i="14" s="1"/>
  <c r="G351" i="14"/>
  <c r="J350" i="14"/>
  <c r="K350" i="14" s="1"/>
  <c r="H350" i="14"/>
  <c r="I350" i="14" s="1"/>
  <c r="G350" i="14"/>
  <c r="J349" i="14"/>
  <c r="K349" i="14" s="1"/>
  <c r="L349" i="14" s="1"/>
  <c r="I349" i="14"/>
  <c r="H349" i="14"/>
  <c r="G349" i="14"/>
  <c r="K348" i="14"/>
  <c r="J348" i="14"/>
  <c r="H348" i="14"/>
  <c r="I348" i="14" s="1"/>
  <c r="G348" i="14"/>
  <c r="L347" i="14"/>
  <c r="J347" i="14"/>
  <c r="K347" i="14" s="1"/>
  <c r="H347" i="14"/>
  <c r="I347" i="14" s="1"/>
  <c r="G347" i="14"/>
  <c r="J346" i="14"/>
  <c r="K346" i="14" s="1"/>
  <c r="H346" i="14"/>
  <c r="I346" i="14" s="1"/>
  <c r="G346" i="14"/>
  <c r="J345" i="14"/>
  <c r="K345" i="14" s="1"/>
  <c r="L345" i="14" s="1"/>
  <c r="I345" i="14"/>
  <c r="H345" i="14"/>
  <c r="G345" i="14"/>
  <c r="K344" i="14"/>
  <c r="J344" i="14"/>
  <c r="H344" i="14"/>
  <c r="I344" i="14" s="1"/>
  <c r="G344" i="14"/>
  <c r="L343" i="14"/>
  <c r="J343" i="14"/>
  <c r="K343" i="14" s="1"/>
  <c r="H343" i="14"/>
  <c r="I343" i="14" s="1"/>
  <c r="G343" i="14"/>
  <c r="J342" i="14"/>
  <c r="K342" i="14" s="1"/>
  <c r="H342" i="14"/>
  <c r="I342" i="14" s="1"/>
  <c r="G342" i="14"/>
  <c r="L342" i="14" s="1"/>
  <c r="J341" i="14"/>
  <c r="K341" i="14" s="1"/>
  <c r="L341" i="14" s="1"/>
  <c r="I341" i="14"/>
  <c r="H341" i="14"/>
  <c r="G341" i="14"/>
  <c r="K340" i="14"/>
  <c r="J340" i="14"/>
  <c r="H340" i="14"/>
  <c r="I340" i="14" s="1"/>
  <c r="G340" i="14"/>
  <c r="L340" i="14" s="1"/>
  <c r="L339" i="14"/>
  <c r="J339" i="14"/>
  <c r="K339" i="14" s="1"/>
  <c r="H339" i="14"/>
  <c r="I339" i="14" s="1"/>
  <c r="G339" i="14"/>
  <c r="J338" i="14"/>
  <c r="K338" i="14" s="1"/>
  <c r="H338" i="14"/>
  <c r="I338" i="14" s="1"/>
  <c r="G338" i="14"/>
  <c r="L338" i="14" s="1"/>
  <c r="J337" i="14"/>
  <c r="K337" i="14" s="1"/>
  <c r="L337" i="14" s="1"/>
  <c r="I337" i="14"/>
  <c r="H337" i="14"/>
  <c r="G337" i="14"/>
  <c r="K336" i="14"/>
  <c r="J336" i="14"/>
  <c r="H336" i="14"/>
  <c r="I336" i="14" s="1"/>
  <c r="G336" i="14"/>
  <c r="L335" i="14"/>
  <c r="J335" i="14"/>
  <c r="K335" i="14" s="1"/>
  <c r="H335" i="14"/>
  <c r="I335" i="14" s="1"/>
  <c r="G335" i="14"/>
  <c r="J334" i="14"/>
  <c r="K334" i="14" s="1"/>
  <c r="H334" i="14"/>
  <c r="I334" i="14" s="1"/>
  <c r="G334" i="14"/>
  <c r="J333" i="14"/>
  <c r="K333" i="14" s="1"/>
  <c r="L333" i="14" s="1"/>
  <c r="I333" i="14"/>
  <c r="H333" i="14"/>
  <c r="G333" i="14"/>
  <c r="K332" i="14"/>
  <c r="J332" i="14"/>
  <c r="H332" i="14"/>
  <c r="I332" i="14" s="1"/>
  <c r="G332" i="14"/>
  <c r="L331" i="14"/>
  <c r="J331" i="14"/>
  <c r="K331" i="14" s="1"/>
  <c r="H331" i="14"/>
  <c r="I331" i="14" s="1"/>
  <c r="G331" i="14"/>
  <c r="J330" i="14"/>
  <c r="K330" i="14" s="1"/>
  <c r="H330" i="14"/>
  <c r="I330" i="14" s="1"/>
  <c r="G330" i="14"/>
  <c r="J329" i="14"/>
  <c r="K329" i="14" s="1"/>
  <c r="L329" i="14" s="1"/>
  <c r="I329" i="14"/>
  <c r="H329" i="14"/>
  <c r="G329" i="14"/>
  <c r="K328" i="14"/>
  <c r="J328" i="14"/>
  <c r="H328" i="14"/>
  <c r="I328" i="14" s="1"/>
  <c r="G328" i="14"/>
  <c r="L327" i="14"/>
  <c r="J327" i="14"/>
  <c r="K327" i="14" s="1"/>
  <c r="H327" i="14"/>
  <c r="I327" i="14" s="1"/>
  <c r="G327" i="14"/>
  <c r="J326" i="14"/>
  <c r="K326" i="14" s="1"/>
  <c r="H326" i="14"/>
  <c r="I326" i="14" s="1"/>
  <c r="G326" i="14"/>
  <c r="L326" i="14" s="1"/>
  <c r="J325" i="14"/>
  <c r="K325" i="14" s="1"/>
  <c r="L325" i="14" s="1"/>
  <c r="I325" i="14"/>
  <c r="H325" i="14"/>
  <c r="G325" i="14"/>
  <c r="K324" i="14"/>
  <c r="J324" i="14"/>
  <c r="H324" i="14"/>
  <c r="I324" i="14" s="1"/>
  <c r="G324" i="14"/>
  <c r="L324" i="14" s="1"/>
  <c r="L323" i="14"/>
  <c r="J323" i="14"/>
  <c r="K323" i="14" s="1"/>
  <c r="H323" i="14"/>
  <c r="I323" i="14" s="1"/>
  <c r="G323" i="14"/>
  <c r="J322" i="14"/>
  <c r="K322" i="14" s="1"/>
  <c r="H322" i="14"/>
  <c r="I322" i="14" s="1"/>
  <c r="G322" i="14"/>
  <c r="L322" i="14" s="1"/>
  <c r="J321" i="14"/>
  <c r="K321" i="14" s="1"/>
  <c r="L321" i="14" s="1"/>
  <c r="I321" i="14"/>
  <c r="H321" i="14"/>
  <c r="G321" i="14"/>
  <c r="K320" i="14"/>
  <c r="J320" i="14"/>
  <c r="H320" i="14"/>
  <c r="I320" i="14" s="1"/>
  <c r="G320" i="14"/>
  <c r="L319" i="14"/>
  <c r="J319" i="14"/>
  <c r="K319" i="14" s="1"/>
  <c r="H319" i="14"/>
  <c r="I319" i="14" s="1"/>
  <c r="G319" i="14"/>
  <c r="J318" i="14"/>
  <c r="K318" i="14" s="1"/>
  <c r="H318" i="14"/>
  <c r="I318" i="14" s="1"/>
  <c r="G318" i="14"/>
  <c r="J317" i="14"/>
  <c r="K317" i="14" s="1"/>
  <c r="L317" i="14" s="1"/>
  <c r="I317" i="14"/>
  <c r="H317" i="14"/>
  <c r="G317" i="14"/>
  <c r="K316" i="14"/>
  <c r="J316" i="14"/>
  <c r="H316" i="14"/>
  <c r="I316" i="14" s="1"/>
  <c r="G316" i="14"/>
  <c r="L315" i="14"/>
  <c r="J315" i="14"/>
  <c r="K315" i="14" s="1"/>
  <c r="H315" i="14"/>
  <c r="I315" i="14" s="1"/>
  <c r="G315" i="14"/>
  <c r="J314" i="14"/>
  <c r="K314" i="14" s="1"/>
  <c r="H314" i="14"/>
  <c r="I314" i="14" s="1"/>
  <c r="G314" i="14"/>
  <c r="J313" i="14"/>
  <c r="K313" i="14" s="1"/>
  <c r="L313" i="14" s="1"/>
  <c r="I313" i="14"/>
  <c r="H313" i="14"/>
  <c r="G313" i="14"/>
  <c r="K312" i="14"/>
  <c r="J312" i="14"/>
  <c r="H312" i="14"/>
  <c r="I312" i="14" s="1"/>
  <c r="G312" i="14"/>
  <c r="L311" i="14"/>
  <c r="J311" i="14"/>
  <c r="K311" i="14" s="1"/>
  <c r="H311" i="14"/>
  <c r="I311" i="14" s="1"/>
  <c r="G311" i="14"/>
  <c r="J310" i="14"/>
  <c r="K310" i="14" s="1"/>
  <c r="H310" i="14"/>
  <c r="I310" i="14" s="1"/>
  <c r="G310" i="14"/>
  <c r="L310" i="14" s="1"/>
  <c r="J309" i="14"/>
  <c r="K309" i="14" s="1"/>
  <c r="L309" i="14" s="1"/>
  <c r="I309" i="14"/>
  <c r="H309" i="14"/>
  <c r="G309" i="14"/>
  <c r="K308" i="14"/>
  <c r="J308" i="14"/>
  <c r="H308" i="14"/>
  <c r="I308" i="14" s="1"/>
  <c r="G308" i="14"/>
  <c r="L308" i="14" s="1"/>
  <c r="L307" i="14"/>
  <c r="J307" i="14"/>
  <c r="K307" i="14" s="1"/>
  <c r="H307" i="14"/>
  <c r="I307" i="14" s="1"/>
  <c r="G307" i="14"/>
  <c r="J306" i="14"/>
  <c r="K306" i="14" s="1"/>
  <c r="H306" i="14"/>
  <c r="I306" i="14" s="1"/>
  <c r="G306" i="14"/>
  <c r="L306" i="14" s="1"/>
  <c r="J305" i="14"/>
  <c r="K305" i="14" s="1"/>
  <c r="L305" i="14" s="1"/>
  <c r="I305" i="14"/>
  <c r="H305" i="14"/>
  <c r="G305" i="14"/>
  <c r="K304" i="14"/>
  <c r="J304" i="14"/>
  <c r="H304" i="14"/>
  <c r="I304" i="14" s="1"/>
  <c r="G304" i="14"/>
  <c r="L303" i="14"/>
  <c r="J303" i="14"/>
  <c r="K303" i="14" s="1"/>
  <c r="H303" i="14"/>
  <c r="I303" i="14" s="1"/>
  <c r="G303" i="14"/>
  <c r="J302" i="14"/>
  <c r="K302" i="14" s="1"/>
  <c r="H302" i="14"/>
  <c r="I302" i="14" s="1"/>
  <c r="G302" i="14"/>
  <c r="J301" i="14"/>
  <c r="K301" i="14" s="1"/>
  <c r="L301" i="14" s="1"/>
  <c r="I301" i="14"/>
  <c r="H301" i="14"/>
  <c r="G301" i="14"/>
  <c r="K300" i="14"/>
  <c r="J300" i="14"/>
  <c r="H300" i="14"/>
  <c r="I300" i="14" s="1"/>
  <c r="G300" i="14"/>
  <c r="L299" i="14"/>
  <c r="J299" i="14"/>
  <c r="K299" i="14" s="1"/>
  <c r="H299" i="14"/>
  <c r="I299" i="14" s="1"/>
  <c r="G299" i="14"/>
  <c r="J298" i="14"/>
  <c r="K298" i="14" s="1"/>
  <c r="H298" i="14"/>
  <c r="I298" i="14" s="1"/>
  <c r="G298" i="14"/>
  <c r="J297" i="14"/>
  <c r="K297" i="14" s="1"/>
  <c r="L297" i="14" s="1"/>
  <c r="I297" i="14"/>
  <c r="H297" i="14"/>
  <c r="G297" i="14"/>
  <c r="K296" i="14"/>
  <c r="J296" i="14"/>
  <c r="H296" i="14"/>
  <c r="I296" i="14" s="1"/>
  <c r="G296" i="14"/>
  <c r="L295" i="14"/>
  <c r="J295" i="14"/>
  <c r="K295" i="14" s="1"/>
  <c r="H295" i="14"/>
  <c r="I295" i="14" s="1"/>
  <c r="G295" i="14"/>
  <c r="J294" i="14"/>
  <c r="K294" i="14" s="1"/>
  <c r="H294" i="14"/>
  <c r="I294" i="14" s="1"/>
  <c r="G294" i="14"/>
  <c r="L294" i="14" s="1"/>
  <c r="J293" i="14"/>
  <c r="K293" i="14" s="1"/>
  <c r="L293" i="14" s="1"/>
  <c r="I293" i="14"/>
  <c r="H293" i="14"/>
  <c r="G293" i="14"/>
  <c r="K292" i="14"/>
  <c r="J292" i="14"/>
  <c r="H292" i="14"/>
  <c r="I292" i="14" s="1"/>
  <c r="G292" i="14"/>
  <c r="L292" i="14" s="1"/>
  <c r="L291" i="14"/>
  <c r="J291" i="14"/>
  <c r="K291" i="14" s="1"/>
  <c r="H291" i="14"/>
  <c r="I291" i="14" s="1"/>
  <c r="G291" i="14"/>
  <c r="J290" i="14"/>
  <c r="K290" i="14" s="1"/>
  <c r="H290" i="14"/>
  <c r="I290" i="14" s="1"/>
  <c r="G290" i="14"/>
  <c r="L290" i="14" s="1"/>
  <c r="J289" i="14"/>
  <c r="K289" i="14" s="1"/>
  <c r="L289" i="14" s="1"/>
  <c r="I289" i="14"/>
  <c r="H289" i="14"/>
  <c r="G289" i="14"/>
  <c r="K288" i="14"/>
  <c r="J288" i="14"/>
  <c r="H288" i="14"/>
  <c r="I288" i="14" s="1"/>
  <c r="G288" i="14"/>
  <c r="L287" i="14"/>
  <c r="J287" i="14"/>
  <c r="K287" i="14" s="1"/>
  <c r="H287" i="14"/>
  <c r="I287" i="14" s="1"/>
  <c r="G287" i="14"/>
  <c r="J286" i="14"/>
  <c r="K286" i="14" s="1"/>
  <c r="H286" i="14"/>
  <c r="I286" i="14" s="1"/>
  <c r="G286" i="14"/>
  <c r="J285" i="14"/>
  <c r="K285" i="14" s="1"/>
  <c r="L285" i="14" s="1"/>
  <c r="I285" i="14"/>
  <c r="H285" i="14"/>
  <c r="G285" i="14"/>
  <c r="K284" i="14"/>
  <c r="J284" i="14"/>
  <c r="H284" i="14"/>
  <c r="I284" i="14" s="1"/>
  <c r="G284" i="14"/>
  <c r="L283" i="14"/>
  <c r="J283" i="14"/>
  <c r="K283" i="14" s="1"/>
  <c r="H283" i="14"/>
  <c r="I283" i="14" s="1"/>
  <c r="G283" i="14"/>
  <c r="J282" i="14"/>
  <c r="K282" i="14" s="1"/>
  <c r="H282" i="14"/>
  <c r="I282" i="14" s="1"/>
  <c r="G282" i="14"/>
  <c r="J281" i="14"/>
  <c r="K281" i="14" s="1"/>
  <c r="L281" i="14" s="1"/>
  <c r="H281" i="14"/>
  <c r="I281" i="14" s="1"/>
  <c r="G281" i="14"/>
  <c r="J280" i="14"/>
  <c r="K280" i="14" s="1"/>
  <c r="H280" i="14"/>
  <c r="I280" i="14" s="1"/>
  <c r="G280" i="14"/>
  <c r="J279" i="14"/>
  <c r="K279" i="14" s="1"/>
  <c r="L279" i="14" s="1"/>
  <c r="H279" i="14"/>
  <c r="I279" i="14" s="1"/>
  <c r="G279" i="14"/>
  <c r="J278" i="14"/>
  <c r="K278" i="14" s="1"/>
  <c r="L278" i="14" s="1"/>
  <c r="H278" i="14"/>
  <c r="I278" i="14" s="1"/>
  <c r="G278" i="14"/>
  <c r="J277" i="14"/>
  <c r="K277" i="14" s="1"/>
  <c r="L277" i="14" s="1"/>
  <c r="H277" i="14"/>
  <c r="I277" i="14" s="1"/>
  <c r="G277" i="14"/>
  <c r="J276" i="14"/>
  <c r="K276" i="14" s="1"/>
  <c r="H276" i="14"/>
  <c r="I276" i="14" s="1"/>
  <c r="G276" i="14"/>
  <c r="J275" i="14"/>
  <c r="K275" i="14" s="1"/>
  <c r="L275" i="14" s="1"/>
  <c r="H275" i="14"/>
  <c r="I275" i="14" s="1"/>
  <c r="G275" i="14"/>
  <c r="J274" i="14"/>
  <c r="K274" i="14" s="1"/>
  <c r="L274" i="14" s="1"/>
  <c r="H274" i="14"/>
  <c r="I274" i="14" s="1"/>
  <c r="G274" i="14"/>
  <c r="J273" i="14"/>
  <c r="K273" i="14" s="1"/>
  <c r="L273" i="14" s="1"/>
  <c r="H273" i="14"/>
  <c r="I273" i="14" s="1"/>
  <c r="G273" i="14"/>
  <c r="J272" i="14"/>
  <c r="K272" i="14" s="1"/>
  <c r="I91" i="13" s="1"/>
  <c r="H272" i="14"/>
  <c r="I272" i="14" s="1"/>
  <c r="G272" i="14"/>
  <c r="J271" i="14"/>
  <c r="K271" i="14" s="1"/>
  <c r="L271" i="14" s="1"/>
  <c r="H271" i="14"/>
  <c r="I271" i="14" s="1"/>
  <c r="G271" i="14"/>
  <c r="J270" i="14"/>
  <c r="K270" i="14" s="1"/>
  <c r="L270" i="14" s="1"/>
  <c r="H270" i="14"/>
  <c r="I270" i="14" s="1"/>
  <c r="G270" i="14"/>
  <c r="J269" i="14"/>
  <c r="K269" i="14" s="1"/>
  <c r="L269" i="14" s="1"/>
  <c r="H269" i="14"/>
  <c r="I269" i="14" s="1"/>
  <c r="G269" i="14"/>
  <c r="J268" i="14"/>
  <c r="K268" i="14" s="1"/>
  <c r="H268" i="14"/>
  <c r="I268" i="14" s="1"/>
  <c r="G268" i="14"/>
  <c r="J267" i="14"/>
  <c r="K267" i="14" s="1"/>
  <c r="L267" i="14" s="1"/>
  <c r="H267" i="14"/>
  <c r="I267" i="14" s="1"/>
  <c r="G267" i="14"/>
  <c r="J266" i="14"/>
  <c r="K266" i="14" s="1"/>
  <c r="L266" i="14" s="1"/>
  <c r="H266" i="14"/>
  <c r="I266" i="14" s="1"/>
  <c r="G266" i="14"/>
  <c r="J265" i="14"/>
  <c r="K265" i="14" s="1"/>
  <c r="L265" i="14" s="1"/>
  <c r="H265" i="14"/>
  <c r="I265" i="14" s="1"/>
  <c r="G265" i="14"/>
  <c r="J264" i="14"/>
  <c r="K264" i="14" s="1"/>
  <c r="I90" i="13" s="1"/>
  <c r="J90" i="13" s="1"/>
  <c r="H264" i="14"/>
  <c r="I264" i="14" s="1"/>
  <c r="G264" i="14"/>
  <c r="J263" i="14"/>
  <c r="K263" i="14" s="1"/>
  <c r="L263" i="14" s="1"/>
  <c r="H263" i="14"/>
  <c r="I263" i="14" s="1"/>
  <c r="G263" i="14"/>
  <c r="J262" i="14"/>
  <c r="K262" i="14" s="1"/>
  <c r="L262" i="14" s="1"/>
  <c r="H262" i="14"/>
  <c r="I262" i="14" s="1"/>
  <c r="G262" i="14"/>
  <c r="J261" i="14"/>
  <c r="K261" i="14" s="1"/>
  <c r="L261" i="14" s="1"/>
  <c r="H261" i="14"/>
  <c r="I261" i="14" s="1"/>
  <c r="G261" i="14"/>
  <c r="J260" i="14"/>
  <c r="K260" i="14" s="1"/>
  <c r="H260" i="14"/>
  <c r="I260" i="14" s="1"/>
  <c r="G260" i="14"/>
  <c r="J259" i="14"/>
  <c r="K259" i="14" s="1"/>
  <c r="L259" i="14" s="1"/>
  <c r="H259" i="14"/>
  <c r="I259" i="14" s="1"/>
  <c r="G259" i="14"/>
  <c r="J258" i="14"/>
  <c r="K258" i="14" s="1"/>
  <c r="L258" i="14" s="1"/>
  <c r="H258" i="14"/>
  <c r="I258" i="14" s="1"/>
  <c r="G258" i="14"/>
  <c r="J257" i="14"/>
  <c r="K257" i="14" s="1"/>
  <c r="L257" i="14" s="1"/>
  <c r="H257" i="14"/>
  <c r="I257" i="14" s="1"/>
  <c r="G257" i="14"/>
  <c r="J256" i="14"/>
  <c r="K256" i="14" s="1"/>
  <c r="I87" i="13" s="1"/>
  <c r="H256" i="14"/>
  <c r="I256" i="14" s="1"/>
  <c r="G256" i="14"/>
  <c r="J255" i="14"/>
  <c r="K255" i="14" s="1"/>
  <c r="L255" i="14" s="1"/>
  <c r="H255" i="14"/>
  <c r="I255" i="14" s="1"/>
  <c r="G255" i="14"/>
  <c r="J254" i="14"/>
  <c r="K254" i="14" s="1"/>
  <c r="L254" i="14" s="1"/>
  <c r="H254" i="14"/>
  <c r="I254" i="14" s="1"/>
  <c r="G254" i="14"/>
  <c r="J253" i="14"/>
  <c r="K253" i="14" s="1"/>
  <c r="L253" i="14" s="1"/>
  <c r="H253" i="14"/>
  <c r="I253" i="14" s="1"/>
  <c r="G253" i="14"/>
  <c r="J252" i="14"/>
  <c r="K252" i="14" s="1"/>
  <c r="I86" i="13" s="1"/>
  <c r="J86" i="13" s="1"/>
  <c r="H252" i="14"/>
  <c r="I252" i="14" s="1"/>
  <c r="G252" i="14"/>
  <c r="J251" i="14"/>
  <c r="K251" i="14" s="1"/>
  <c r="L251" i="14" s="1"/>
  <c r="H251" i="14"/>
  <c r="I251" i="14" s="1"/>
  <c r="G251" i="14"/>
  <c r="J250" i="14"/>
  <c r="K250" i="14" s="1"/>
  <c r="L250" i="14" s="1"/>
  <c r="H250" i="14"/>
  <c r="I250" i="14" s="1"/>
  <c r="G250" i="14"/>
  <c r="J249" i="14"/>
  <c r="K249" i="14" s="1"/>
  <c r="L249" i="14" s="1"/>
  <c r="H249" i="14"/>
  <c r="I249" i="14" s="1"/>
  <c r="G249" i="14"/>
  <c r="J248" i="14"/>
  <c r="K248" i="14" s="1"/>
  <c r="H248" i="14"/>
  <c r="I248" i="14" s="1"/>
  <c r="G248" i="14"/>
  <c r="J247" i="14"/>
  <c r="K247" i="14" s="1"/>
  <c r="L247" i="14" s="1"/>
  <c r="H247" i="14"/>
  <c r="I247" i="14" s="1"/>
  <c r="G247" i="14"/>
  <c r="J246" i="14"/>
  <c r="K246" i="14" s="1"/>
  <c r="L246" i="14" s="1"/>
  <c r="H246" i="14"/>
  <c r="I246" i="14" s="1"/>
  <c r="G246" i="14"/>
  <c r="J245" i="14"/>
  <c r="K245" i="14" s="1"/>
  <c r="L245" i="14" s="1"/>
  <c r="H245" i="14"/>
  <c r="I245" i="14" s="1"/>
  <c r="G245" i="14"/>
  <c r="J244" i="14"/>
  <c r="K244" i="14" s="1"/>
  <c r="H244" i="14"/>
  <c r="I244" i="14" s="1"/>
  <c r="G244" i="14"/>
  <c r="J243" i="14"/>
  <c r="K243" i="14" s="1"/>
  <c r="L243" i="14" s="1"/>
  <c r="H243" i="14"/>
  <c r="I243" i="14" s="1"/>
  <c r="G243" i="14"/>
  <c r="J242" i="14"/>
  <c r="K242" i="14" s="1"/>
  <c r="L242" i="14" s="1"/>
  <c r="H242" i="14"/>
  <c r="I242" i="14" s="1"/>
  <c r="G242" i="14"/>
  <c r="J241" i="14"/>
  <c r="K241" i="14" s="1"/>
  <c r="L241" i="14" s="1"/>
  <c r="H241" i="14"/>
  <c r="I241" i="14" s="1"/>
  <c r="G241" i="14"/>
  <c r="J240" i="14"/>
  <c r="K240" i="14" s="1"/>
  <c r="H240" i="14"/>
  <c r="I240" i="14" s="1"/>
  <c r="G240" i="14"/>
  <c r="J239" i="14"/>
  <c r="K239" i="14" s="1"/>
  <c r="L239" i="14" s="1"/>
  <c r="H239" i="14"/>
  <c r="I239" i="14" s="1"/>
  <c r="G239" i="14"/>
  <c r="J238" i="14"/>
  <c r="K238" i="14" s="1"/>
  <c r="L238" i="14" s="1"/>
  <c r="H238" i="14"/>
  <c r="I238" i="14" s="1"/>
  <c r="G238" i="14"/>
  <c r="J237" i="14"/>
  <c r="K237" i="14" s="1"/>
  <c r="L237" i="14" s="1"/>
  <c r="H237" i="14"/>
  <c r="I237" i="14" s="1"/>
  <c r="G237" i="14"/>
  <c r="J236" i="14"/>
  <c r="K236" i="14" s="1"/>
  <c r="I83" i="13" s="1"/>
  <c r="H236" i="14"/>
  <c r="I236" i="14" s="1"/>
  <c r="G236" i="14"/>
  <c r="J235" i="14"/>
  <c r="K235" i="14" s="1"/>
  <c r="L235" i="14" s="1"/>
  <c r="H235" i="14"/>
  <c r="I235" i="14" s="1"/>
  <c r="G235" i="14"/>
  <c r="J234" i="14"/>
  <c r="K234" i="14" s="1"/>
  <c r="L234" i="14" s="1"/>
  <c r="H234" i="14"/>
  <c r="I234" i="14" s="1"/>
  <c r="G234" i="14"/>
  <c r="J233" i="14"/>
  <c r="K233" i="14" s="1"/>
  <c r="L233" i="14" s="1"/>
  <c r="I233" i="14"/>
  <c r="H233" i="14"/>
  <c r="G233" i="14"/>
  <c r="K232" i="14"/>
  <c r="J232" i="14"/>
  <c r="H232" i="14"/>
  <c r="I232" i="14" s="1"/>
  <c r="G232" i="14"/>
  <c r="L232" i="14" s="1"/>
  <c r="L231" i="14"/>
  <c r="J231" i="14"/>
  <c r="K231" i="14" s="1"/>
  <c r="H231" i="14"/>
  <c r="I231" i="14" s="1"/>
  <c r="G231" i="14"/>
  <c r="L230" i="14"/>
  <c r="J230" i="14"/>
  <c r="K230" i="14" s="1"/>
  <c r="H230" i="14"/>
  <c r="I230" i="14" s="1"/>
  <c r="G230" i="14"/>
  <c r="J229" i="14"/>
  <c r="K229" i="14" s="1"/>
  <c r="L229" i="14" s="1"/>
  <c r="H229" i="14"/>
  <c r="I229" i="14" s="1"/>
  <c r="G229" i="14"/>
  <c r="L228" i="14"/>
  <c r="J228" i="14"/>
  <c r="K228" i="14" s="1"/>
  <c r="H228" i="14"/>
  <c r="I228" i="14" s="1"/>
  <c r="G228" i="14"/>
  <c r="J227" i="14"/>
  <c r="K227" i="14" s="1"/>
  <c r="L227" i="14" s="1"/>
  <c r="H227" i="14"/>
  <c r="I227" i="14" s="1"/>
  <c r="G227" i="14"/>
  <c r="J226" i="14"/>
  <c r="K226" i="14" s="1"/>
  <c r="H226" i="14"/>
  <c r="I226" i="14" s="1"/>
  <c r="G226" i="14"/>
  <c r="L226" i="14" s="1"/>
  <c r="J225" i="14"/>
  <c r="K225" i="14" s="1"/>
  <c r="L225" i="14" s="1"/>
  <c r="H225" i="14"/>
  <c r="I225" i="14" s="1"/>
  <c r="G225" i="14"/>
  <c r="J224" i="14"/>
  <c r="K224" i="14" s="1"/>
  <c r="H224" i="14"/>
  <c r="I224" i="14" s="1"/>
  <c r="G224" i="14"/>
  <c r="L224" i="14" s="1"/>
  <c r="J223" i="14"/>
  <c r="K223" i="14" s="1"/>
  <c r="L223" i="14" s="1"/>
  <c r="H223" i="14"/>
  <c r="I223" i="14" s="1"/>
  <c r="G223" i="14"/>
  <c r="J222" i="14"/>
  <c r="K222" i="14" s="1"/>
  <c r="L222" i="14" s="1"/>
  <c r="H222" i="14"/>
  <c r="I222" i="14" s="1"/>
  <c r="G222" i="14"/>
  <c r="J221" i="14"/>
  <c r="K221" i="14" s="1"/>
  <c r="L221" i="14" s="1"/>
  <c r="H221" i="14"/>
  <c r="I221" i="14" s="1"/>
  <c r="G221" i="14"/>
  <c r="J220" i="14"/>
  <c r="K220" i="14" s="1"/>
  <c r="H220" i="14"/>
  <c r="I220" i="14" s="1"/>
  <c r="G220" i="14"/>
  <c r="L220" i="14" s="1"/>
  <c r="J219" i="14"/>
  <c r="K219" i="14" s="1"/>
  <c r="L219" i="14" s="1"/>
  <c r="H219" i="14"/>
  <c r="I219" i="14" s="1"/>
  <c r="G219" i="14"/>
  <c r="J218" i="14"/>
  <c r="K218" i="14" s="1"/>
  <c r="L218" i="14" s="1"/>
  <c r="H218" i="14"/>
  <c r="I218" i="14" s="1"/>
  <c r="G218" i="14"/>
  <c r="J217" i="14"/>
  <c r="K217" i="14" s="1"/>
  <c r="L217" i="14" s="1"/>
  <c r="I217" i="14"/>
  <c r="H217" i="14"/>
  <c r="G217" i="14"/>
  <c r="K216" i="14"/>
  <c r="J216" i="14"/>
  <c r="H216" i="14"/>
  <c r="I216" i="14" s="1"/>
  <c r="G216" i="14"/>
  <c r="L215" i="14"/>
  <c r="J215" i="14"/>
  <c r="K215" i="14" s="1"/>
  <c r="H215" i="14"/>
  <c r="I215" i="14" s="1"/>
  <c r="G215" i="14"/>
  <c r="L214" i="14"/>
  <c r="J214" i="14"/>
  <c r="K214" i="14" s="1"/>
  <c r="H214" i="14"/>
  <c r="I214" i="14" s="1"/>
  <c r="G214" i="14"/>
  <c r="J213" i="14"/>
  <c r="K213" i="14" s="1"/>
  <c r="H213" i="14"/>
  <c r="I213" i="14" s="1"/>
  <c r="G213" i="14"/>
  <c r="J212" i="14"/>
  <c r="K212" i="14" s="1"/>
  <c r="H212" i="14"/>
  <c r="I212" i="14" s="1"/>
  <c r="G212" i="14"/>
  <c r="L212" i="14" s="1"/>
  <c r="J211" i="14"/>
  <c r="K211" i="14" s="1"/>
  <c r="L211" i="14" s="1"/>
  <c r="H211" i="14"/>
  <c r="I211" i="14" s="1"/>
  <c r="G211" i="14"/>
  <c r="J210" i="14"/>
  <c r="K210" i="14" s="1"/>
  <c r="I74" i="13" s="1"/>
  <c r="H210" i="14"/>
  <c r="I210" i="14" s="1"/>
  <c r="G210" i="14"/>
  <c r="J209" i="14"/>
  <c r="K209" i="14" s="1"/>
  <c r="L209" i="14" s="1"/>
  <c r="H209" i="14"/>
  <c r="I209" i="14" s="1"/>
  <c r="G209" i="14"/>
  <c r="J208" i="14"/>
  <c r="K208" i="14" s="1"/>
  <c r="L208" i="14" s="1"/>
  <c r="H208" i="14"/>
  <c r="I208" i="14" s="1"/>
  <c r="G208" i="14"/>
  <c r="J207" i="14"/>
  <c r="K207" i="14" s="1"/>
  <c r="L207" i="14" s="1"/>
  <c r="H207" i="14"/>
  <c r="I207" i="14" s="1"/>
  <c r="G207" i="14"/>
  <c r="J206" i="14"/>
  <c r="K206" i="14" s="1"/>
  <c r="H206" i="14"/>
  <c r="I206" i="14" s="1"/>
  <c r="G206" i="14"/>
  <c r="L206" i="14" s="1"/>
  <c r="J205" i="14"/>
  <c r="K205" i="14" s="1"/>
  <c r="L205" i="14" s="1"/>
  <c r="H205" i="14"/>
  <c r="I205" i="14" s="1"/>
  <c r="G205" i="14"/>
  <c r="J204" i="14"/>
  <c r="K204" i="14" s="1"/>
  <c r="L204" i="14" s="1"/>
  <c r="H204" i="14"/>
  <c r="I204" i="14" s="1"/>
  <c r="G204" i="14"/>
  <c r="J203" i="14"/>
  <c r="K203" i="14" s="1"/>
  <c r="L203" i="14" s="1"/>
  <c r="H203" i="14"/>
  <c r="I203" i="14" s="1"/>
  <c r="G203" i="14"/>
  <c r="J202" i="14"/>
  <c r="K202" i="14" s="1"/>
  <c r="H202" i="14"/>
  <c r="I202" i="14" s="1"/>
  <c r="G202" i="14"/>
  <c r="L202" i="14" s="1"/>
  <c r="J201" i="14"/>
  <c r="K201" i="14" s="1"/>
  <c r="L201" i="14" s="1"/>
  <c r="H201" i="14"/>
  <c r="I201" i="14" s="1"/>
  <c r="G201" i="14"/>
  <c r="L200" i="14"/>
  <c r="J200" i="14"/>
  <c r="K200" i="14" s="1"/>
  <c r="H200" i="14"/>
  <c r="I200" i="14" s="1"/>
  <c r="G200" i="14"/>
  <c r="J199" i="14"/>
  <c r="K199" i="14" s="1"/>
  <c r="L199" i="14" s="1"/>
  <c r="H199" i="14"/>
  <c r="I199" i="14" s="1"/>
  <c r="G199" i="14"/>
  <c r="J198" i="14"/>
  <c r="K198" i="14" s="1"/>
  <c r="H198" i="14"/>
  <c r="I198" i="14" s="1"/>
  <c r="G198" i="14"/>
  <c r="J197" i="14"/>
  <c r="K197" i="14" s="1"/>
  <c r="L197" i="14" s="1"/>
  <c r="H197" i="14"/>
  <c r="I197" i="14" s="1"/>
  <c r="G197" i="14"/>
  <c r="J196" i="14"/>
  <c r="K196" i="14" s="1"/>
  <c r="H196" i="14"/>
  <c r="I196" i="14" s="1"/>
  <c r="G196" i="14"/>
  <c r="L196" i="14" s="1"/>
  <c r="J195" i="14"/>
  <c r="K195" i="14" s="1"/>
  <c r="L195" i="14" s="1"/>
  <c r="H195" i="14"/>
  <c r="I195" i="14" s="1"/>
  <c r="G195" i="14"/>
  <c r="J194" i="14"/>
  <c r="K194" i="14" s="1"/>
  <c r="H194" i="14"/>
  <c r="I194" i="14" s="1"/>
  <c r="G194" i="14"/>
  <c r="J193" i="14"/>
  <c r="K193" i="14" s="1"/>
  <c r="L193" i="14" s="1"/>
  <c r="H193" i="14"/>
  <c r="I193" i="14" s="1"/>
  <c r="G193" i="14"/>
  <c r="J192" i="14"/>
  <c r="K192" i="14" s="1"/>
  <c r="L192" i="14" s="1"/>
  <c r="H192" i="14"/>
  <c r="I192" i="14" s="1"/>
  <c r="G192" i="14"/>
  <c r="J191" i="14"/>
  <c r="K191" i="14" s="1"/>
  <c r="L191" i="14" s="1"/>
  <c r="H191" i="14"/>
  <c r="I191" i="14" s="1"/>
  <c r="G191" i="14"/>
  <c r="J190" i="14"/>
  <c r="K190" i="14" s="1"/>
  <c r="H190" i="14"/>
  <c r="I190" i="14" s="1"/>
  <c r="G190" i="14"/>
  <c r="L190" i="14" s="1"/>
  <c r="J189" i="14"/>
  <c r="K189" i="14" s="1"/>
  <c r="L189" i="14" s="1"/>
  <c r="H189" i="14"/>
  <c r="I189" i="14" s="1"/>
  <c r="G189" i="14"/>
  <c r="J188" i="14"/>
  <c r="K188" i="14" s="1"/>
  <c r="I66" i="13" s="1"/>
  <c r="J66" i="13" s="1"/>
  <c r="H188" i="14"/>
  <c r="I188" i="14" s="1"/>
  <c r="G188" i="14"/>
  <c r="J187" i="14"/>
  <c r="K187" i="14" s="1"/>
  <c r="L187" i="14" s="1"/>
  <c r="H187" i="14"/>
  <c r="I187" i="14" s="1"/>
  <c r="G187" i="14"/>
  <c r="J186" i="14"/>
  <c r="K186" i="14" s="1"/>
  <c r="H186" i="14"/>
  <c r="I186" i="14" s="1"/>
  <c r="G186" i="14"/>
  <c r="L186" i="14" s="1"/>
  <c r="J185" i="14"/>
  <c r="K185" i="14" s="1"/>
  <c r="L185" i="14" s="1"/>
  <c r="H185" i="14"/>
  <c r="I185" i="14" s="1"/>
  <c r="G185" i="14"/>
  <c r="L184" i="14"/>
  <c r="J184" i="14"/>
  <c r="K184" i="14" s="1"/>
  <c r="H184" i="14"/>
  <c r="I184" i="14" s="1"/>
  <c r="G184" i="14"/>
  <c r="J183" i="14"/>
  <c r="K183" i="14" s="1"/>
  <c r="L183" i="14" s="1"/>
  <c r="H183" i="14"/>
  <c r="I183" i="14" s="1"/>
  <c r="G183" i="14"/>
  <c r="J182" i="14"/>
  <c r="K182" i="14" s="1"/>
  <c r="H182" i="14"/>
  <c r="I182" i="14" s="1"/>
  <c r="G182" i="14"/>
  <c r="J181" i="14"/>
  <c r="K181" i="14" s="1"/>
  <c r="L181" i="14" s="1"/>
  <c r="H181" i="14"/>
  <c r="I181" i="14" s="1"/>
  <c r="G181" i="14"/>
  <c r="J180" i="14"/>
  <c r="K180" i="14" s="1"/>
  <c r="H180" i="14"/>
  <c r="I180" i="14" s="1"/>
  <c r="G180" i="14"/>
  <c r="L180" i="14" s="1"/>
  <c r="J179" i="14"/>
  <c r="K179" i="14" s="1"/>
  <c r="L179" i="14" s="1"/>
  <c r="H179" i="14"/>
  <c r="I179" i="14" s="1"/>
  <c r="G179" i="14"/>
  <c r="J178" i="14"/>
  <c r="K178" i="14" s="1"/>
  <c r="I63" i="13" s="1"/>
  <c r="H178" i="14"/>
  <c r="I178" i="14" s="1"/>
  <c r="G178" i="14"/>
  <c r="J177" i="14"/>
  <c r="K177" i="14" s="1"/>
  <c r="L177" i="14" s="1"/>
  <c r="H177" i="14"/>
  <c r="I177" i="14" s="1"/>
  <c r="G177" i="14"/>
  <c r="J176" i="14"/>
  <c r="K176" i="14" s="1"/>
  <c r="L176" i="14" s="1"/>
  <c r="H176" i="14"/>
  <c r="I176" i="14" s="1"/>
  <c r="G176" i="14"/>
  <c r="J175" i="14"/>
  <c r="K175" i="14" s="1"/>
  <c r="L175" i="14" s="1"/>
  <c r="H175" i="14"/>
  <c r="I175" i="14" s="1"/>
  <c r="G175" i="14"/>
  <c r="J174" i="14"/>
  <c r="K174" i="14" s="1"/>
  <c r="H174" i="14"/>
  <c r="I174" i="14" s="1"/>
  <c r="G174" i="14"/>
  <c r="L174" i="14" s="1"/>
  <c r="J173" i="14"/>
  <c r="K173" i="14" s="1"/>
  <c r="L173" i="14" s="1"/>
  <c r="H173" i="14"/>
  <c r="I173" i="14" s="1"/>
  <c r="G173" i="14"/>
  <c r="J172" i="14"/>
  <c r="K172" i="14" s="1"/>
  <c r="L172" i="14" s="1"/>
  <c r="H172" i="14"/>
  <c r="I172" i="14" s="1"/>
  <c r="G172" i="14"/>
  <c r="J171" i="14"/>
  <c r="K171" i="14" s="1"/>
  <c r="L171" i="14" s="1"/>
  <c r="H171" i="14"/>
  <c r="I171" i="14" s="1"/>
  <c r="G171" i="14"/>
  <c r="J170" i="14"/>
  <c r="K170" i="14" s="1"/>
  <c r="H170" i="14"/>
  <c r="I170" i="14" s="1"/>
  <c r="G170" i="14"/>
  <c r="L170" i="14" s="1"/>
  <c r="J169" i="14"/>
  <c r="K169" i="14" s="1"/>
  <c r="L169" i="14" s="1"/>
  <c r="H169" i="14"/>
  <c r="I169" i="14" s="1"/>
  <c r="G169" i="14"/>
  <c r="L168" i="14"/>
  <c r="J168" i="14"/>
  <c r="K168" i="14" s="1"/>
  <c r="H168" i="14"/>
  <c r="I168" i="14" s="1"/>
  <c r="G168" i="14"/>
  <c r="J167" i="14"/>
  <c r="K167" i="14" s="1"/>
  <c r="L167" i="14" s="1"/>
  <c r="H167" i="14"/>
  <c r="I167" i="14" s="1"/>
  <c r="G167" i="14"/>
  <c r="J166" i="14"/>
  <c r="K166" i="14" s="1"/>
  <c r="H166" i="14"/>
  <c r="I166" i="14" s="1"/>
  <c r="G166" i="14"/>
  <c r="K165" i="14"/>
  <c r="J165" i="14"/>
  <c r="H165" i="14"/>
  <c r="I165" i="14" s="1"/>
  <c r="G165" i="14"/>
  <c r="J164" i="14"/>
  <c r="K164" i="14" s="1"/>
  <c r="I164" i="14"/>
  <c r="H164" i="14"/>
  <c r="G164" i="14"/>
  <c r="K163" i="14"/>
  <c r="J163" i="14"/>
  <c r="H163" i="14"/>
  <c r="I163" i="14" s="1"/>
  <c r="G163" i="14"/>
  <c r="J162" i="14"/>
  <c r="K162" i="14" s="1"/>
  <c r="I162" i="14"/>
  <c r="H162" i="14"/>
  <c r="G162" i="14"/>
  <c r="K161" i="14"/>
  <c r="J161" i="14"/>
  <c r="H161" i="14"/>
  <c r="I161" i="14" s="1"/>
  <c r="G161" i="14"/>
  <c r="J160" i="14"/>
  <c r="K160" i="14" s="1"/>
  <c r="I160" i="14"/>
  <c r="H160" i="14"/>
  <c r="G160" i="14"/>
  <c r="K159" i="14"/>
  <c r="J159" i="14"/>
  <c r="H159" i="14"/>
  <c r="I159" i="14" s="1"/>
  <c r="G159" i="14"/>
  <c r="J158" i="14"/>
  <c r="K158" i="14" s="1"/>
  <c r="I158" i="14"/>
  <c r="H158" i="14"/>
  <c r="G158" i="14"/>
  <c r="K157" i="14"/>
  <c r="J157" i="14"/>
  <c r="H157" i="14"/>
  <c r="I157" i="14" s="1"/>
  <c r="G157" i="14"/>
  <c r="J156" i="14"/>
  <c r="K156" i="14" s="1"/>
  <c r="I156" i="14"/>
  <c r="H156" i="14"/>
  <c r="G156" i="14"/>
  <c r="K155" i="14"/>
  <c r="J155" i="14"/>
  <c r="H155" i="14"/>
  <c r="I155" i="14" s="1"/>
  <c r="G155" i="14"/>
  <c r="J154" i="14"/>
  <c r="K154" i="14" s="1"/>
  <c r="I154" i="14"/>
  <c r="H154" i="14"/>
  <c r="G154" i="14"/>
  <c r="K153" i="14"/>
  <c r="J153" i="14"/>
  <c r="H153" i="14"/>
  <c r="I153" i="14" s="1"/>
  <c r="G153" i="14"/>
  <c r="J152" i="14"/>
  <c r="K152" i="14" s="1"/>
  <c r="I152" i="14"/>
  <c r="H152" i="14"/>
  <c r="G152" i="14"/>
  <c r="K151" i="14"/>
  <c r="J151" i="14"/>
  <c r="H151" i="14"/>
  <c r="I151" i="14" s="1"/>
  <c r="G151" i="14"/>
  <c r="J150" i="14"/>
  <c r="K150" i="14" s="1"/>
  <c r="I150" i="14"/>
  <c r="H150" i="14"/>
  <c r="G150" i="14"/>
  <c r="K149" i="14"/>
  <c r="J149" i="14"/>
  <c r="H149" i="14"/>
  <c r="I149" i="14" s="1"/>
  <c r="G149" i="14"/>
  <c r="J148" i="14"/>
  <c r="K148" i="14" s="1"/>
  <c r="I148" i="14"/>
  <c r="H148" i="14"/>
  <c r="G148" i="14"/>
  <c r="K147" i="14"/>
  <c r="J147" i="14"/>
  <c r="H147" i="14"/>
  <c r="I147" i="14" s="1"/>
  <c r="G147" i="14"/>
  <c r="J146" i="14"/>
  <c r="K146" i="14" s="1"/>
  <c r="I146" i="14"/>
  <c r="H146" i="14"/>
  <c r="G146" i="14"/>
  <c r="K145" i="14"/>
  <c r="J145" i="14"/>
  <c r="H145" i="14"/>
  <c r="I145" i="14" s="1"/>
  <c r="G145" i="14"/>
  <c r="J144" i="14"/>
  <c r="K144" i="14" s="1"/>
  <c r="I144" i="14"/>
  <c r="H144" i="14"/>
  <c r="G144" i="14"/>
  <c r="K143" i="14"/>
  <c r="J143" i="14"/>
  <c r="H143" i="14"/>
  <c r="I143" i="14" s="1"/>
  <c r="G143" i="14"/>
  <c r="J142" i="14"/>
  <c r="K142" i="14" s="1"/>
  <c r="I142" i="14"/>
  <c r="H142" i="14"/>
  <c r="G142" i="14"/>
  <c r="K141" i="14"/>
  <c r="J141" i="14"/>
  <c r="H141" i="14"/>
  <c r="I141" i="14" s="1"/>
  <c r="G141" i="14"/>
  <c r="J140" i="14"/>
  <c r="K140" i="14" s="1"/>
  <c r="I140" i="14"/>
  <c r="H140" i="14"/>
  <c r="G140" i="14"/>
  <c r="K139" i="14"/>
  <c r="J139" i="14"/>
  <c r="H139" i="14"/>
  <c r="I139" i="14" s="1"/>
  <c r="G139" i="14"/>
  <c r="J138" i="14"/>
  <c r="K138" i="14" s="1"/>
  <c r="I138" i="14"/>
  <c r="H138" i="14"/>
  <c r="G138" i="14"/>
  <c r="K137" i="14"/>
  <c r="J137" i="14"/>
  <c r="H137" i="14"/>
  <c r="I137" i="14" s="1"/>
  <c r="G137" i="14"/>
  <c r="J136" i="14"/>
  <c r="K136" i="14" s="1"/>
  <c r="I136" i="14"/>
  <c r="H136" i="14"/>
  <c r="G136" i="14"/>
  <c r="K135" i="14"/>
  <c r="J135" i="14"/>
  <c r="H135" i="14"/>
  <c r="I135" i="14" s="1"/>
  <c r="G135" i="14"/>
  <c r="J134" i="14"/>
  <c r="K134" i="14" s="1"/>
  <c r="I134" i="14"/>
  <c r="H134" i="14"/>
  <c r="G134" i="14"/>
  <c r="K133" i="14"/>
  <c r="J133" i="14"/>
  <c r="H133" i="14"/>
  <c r="I133" i="14" s="1"/>
  <c r="G133" i="14"/>
  <c r="J132" i="14"/>
  <c r="K132" i="14" s="1"/>
  <c r="I132" i="14"/>
  <c r="H132" i="14"/>
  <c r="G132" i="14"/>
  <c r="K131" i="14"/>
  <c r="J131" i="14"/>
  <c r="H131" i="14"/>
  <c r="I131" i="14" s="1"/>
  <c r="G131" i="14"/>
  <c r="J130" i="14"/>
  <c r="K130" i="14" s="1"/>
  <c r="I130" i="14"/>
  <c r="H130" i="14"/>
  <c r="G130" i="14"/>
  <c r="K129" i="14"/>
  <c r="J129" i="14"/>
  <c r="H129" i="14"/>
  <c r="I129" i="14" s="1"/>
  <c r="G129" i="14"/>
  <c r="J128" i="14"/>
  <c r="K128" i="14" s="1"/>
  <c r="I128" i="14"/>
  <c r="H128" i="14"/>
  <c r="G128" i="14"/>
  <c r="K127" i="14"/>
  <c r="J127" i="14"/>
  <c r="H127" i="14"/>
  <c r="I127" i="14" s="1"/>
  <c r="G127" i="14"/>
  <c r="J126" i="14"/>
  <c r="K126" i="14" s="1"/>
  <c r="I126" i="14"/>
  <c r="H126" i="14"/>
  <c r="G126" i="14"/>
  <c r="K125" i="14"/>
  <c r="J125" i="14"/>
  <c r="H125" i="14"/>
  <c r="I125" i="14" s="1"/>
  <c r="G125" i="14"/>
  <c r="J124" i="14"/>
  <c r="K124" i="14" s="1"/>
  <c r="I124" i="14"/>
  <c r="H124" i="14"/>
  <c r="G124" i="14"/>
  <c r="K123" i="14"/>
  <c r="J123" i="14"/>
  <c r="H123" i="14"/>
  <c r="I123" i="14" s="1"/>
  <c r="G123" i="14"/>
  <c r="J122" i="14"/>
  <c r="K122" i="14" s="1"/>
  <c r="I122" i="14"/>
  <c r="H122" i="14"/>
  <c r="G122" i="14"/>
  <c r="K121" i="14"/>
  <c r="J121" i="14"/>
  <c r="H121" i="14"/>
  <c r="I121" i="14" s="1"/>
  <c r="G121" i="14"/>
  <c r="J120" i="14"/>
  <c r="K120" i="14" s="1"/>
  <c r="I120" i="14"/>
  <c r="H120" i="14"/>
  <c r="G120" i="14"/>
  <c r="K119" i="14"/>
  <c r="J119" i="14"/>
  <c r="H119" i="14"/>
  <c r="I119" i="14" s="1"/>
  <c r="G119" i="14"/>
  <c r="J118" i="14"/>
  <c r="K118" i="14" s="1"/>
  <c r="I118" i="14"/>
  <c r="H118" i="14"/>
  <c r="G118" i="14"/>
  <c r="K117" i="14"/>
  <c r="J117" i="14"/>
  <c r="H117" i="14"/>
  <c r="I117" i="14" s="1"/>
  <c r="G117" i="14"/>
  <c r="J116" i="14"/>
  <c r="K116" i="14" s="1"/>
  <c r="I116" i="14"/>
  <c r="H116" i="14"/>
  <c r="G116" i="14"/>
  <c r="K115" i="14"/>
  <c r="J115" i="14"/>
  <c r="H115" i="14"/>
  <c r="I115" i="14" s="1"/>
  <c r="G115" i="14"/>
  <c r="J114" i="14"/>
  <c r="K114" i="14" s="1"/>
  <c r="I114" i="14"/>
  <c r="H114" i="14"/>
  <c r="G114" i="14"/>
  <c r="K113" i="14"/>
  <c r="J113" i="14"/>
  <c r="H113" i="14"/>
  <c r="I113" i="14" s="1"/>
  <c r="G113" i="14"/>
  <c r="J112" i="14"/>
  <c r="K112" i="14" s="1"/>
  <c r="I112" i="14"/>
  <c r="H112" i="14"/>
  <c r="G112" i="14"/>
  <c r="K111" i="14"/>
  <c r="J111" i="14"/>
  <c r="H111" i="14"/>
  <c r="I111" i="14" s="1"/>
  <c r="G111" i="14"/>
  <c r="J110" i="14"/>
  <c r="K110" i="14" s="1"/>
  <c r="I110" i="14"/>
  <c r="H110" i="14"/>
  <c r="G110" i="14"/>
  <c r="K109" i="14"/>
  <c r="J109" i="14"/>
  <c r="H109" i="14"/>
  <c r="I109" i="14" s="1"/>
  <c r="G109" i="14"/>
  <c r="J108" i="14"/>
  <c r="K108" i="14" s="1"/>
  <c r="I108" i="14"/>
  <c r="H108" i="14"/>
  <c r="G108" i="14"/>
  <c r="K107" i="14"/>
  <c r="J107" i="14"/>
  <c r="H107" i="14"/>
  <c r="I107" i="14" s="1"/>
  <c r="G107" i="14"/>
  <c r="J106" i="14"/>
  <c r="K106" i="14" s="1"/>
  <c r="I106" i="14"/>
  <c r="H106" i="14"/>
  <c r="G106" i="14"/>
  <c r="K105" i="14"/>
  <c r="J105" i="14"/>
  <c r="H105" i="14"/>
  <c r="I105" i="14" s="1"/>
  <c r="G105" i="14"/>
  <c r="J104" i="14"/>
  <c r="K104" i="14" s="1"/>
  <c r="I104" i="14"/>
  <c r="H104" i="14"/>
  <c r="G104" i="14"/>
  <c r="K103" i="14"/>
  <c r="J103" i="14"/>
  <c r="H103" i="14"/>
  <c r="I103" i="14" s="1"/>
  <c r="G103" i="14"/>
  <c r="J102" i="14"/>
  <c r="K102" i="14" s="1"/>
  <c r="I102" i="14"/>
  <c r="H102" i="14"/>
  <c r="G102" i="14"/>
  <c r="K101" i="14"/>
  <c r="J101" i="14"/>
  <c r="H101" i="14"/>
  <c r="I101" i="14" s="1"/>
  <c r="G101" i="14"/>
  <c r="J100" i="14"/>
  <c r="K100" i="14" s="1"/>
  <c r="I100" i="14"/>
  <c r="H100" i="14"/>
  <c r="G100" i="14"/>
  <c r="K99" i="14"/>
  <c r="J99" i="14"/>
  <c r="H99" i="14"/>
  <c r="I99" i="14" s="1"/>
  <c r="G99" i="14"/>
  <c r="J98" i="14"/>
  <c r="K98" i="14" s="1"/>
  <c r="I98" i="14"/>
  <c r="H98" i="14"/>
  <c r="G98" i="14"/>
  <c r="K97" i="14"/>
  <c r="J97" i="14"/>
  <c r="H97" i="14"/>
  <c r="I97" i="14" s="1"/>
  <c r="G97" i="14"/>
  <c r="J96" i="14"/>
  <c r="K96" i="14" s="1"/>
  <c r="I96" i="14"/>
  <c r="H96" i="14"/>
  <c r="G96" i="14"/>
  <c r="K95" i="14"/>
  <c r="J95" i="14"/>
  <c r="H95" i="14"/>
  <c r="I95" i="14" s="1"/>
  <c r="G95" i="14"/>
  <c r="J94" i="14"/>
  <c r="K94" i="14" s="1"/>
  <c r="I94" i="14"/>
  <c r="H94" i="14"/>
  <c r="G94" i="14"/>
  <c r="K93" i="14"/>
  <c r="J93" i="14"/>
  <c r="H93" i="14"/>
  <c r="I93" i="14" s="1"/>
  <c r="G93" i="14"/>
  <c r="J92" i="14"/>
  <c r="K92" i="14" s="1"/>
  <c r="I92" i="14"/>
  <c r="H92" i="14"/>
  <c r="G92" i="14"/>
  <c r="K91" i="14"/>
  <c r="J91" i="14"/>
  <c r="H91" i="14"/>
  <c r="I91" i="14" s="1"/>
  <c r="G91" i="14"/>
  <c r="J90" i="14"/>
  <c r="K90" i="14" s="1"/>
  <c r="I90" i="14"/>
  <c r="H90" i="14"/>
  <c r="G90" i="14"/>
  <c r="K89" i="14"/>
  <c r="J89" i="14"/>
  <c r="H89" i="14"/>
  <c r="I89" i="14" s="1"/>
  <c r="G89" i="14"/>
  <c r="J88" i="14"/>
  <c r="K88" i="14" s="1"/>
  <c r="I88" i="14"/>
  <c r="H88" i="14"/>
  <c r="G88" i="14"/>
  <c r="K87" i="14"/>
  <c r="J87" i="14"/>
  <c r="H87" i="14"/>
  <c r="I87" i="14" s="1"/>
  <c r="G87" i="14"/>
  <c r="J86" i="14"/>
  <c r="K86" i="14" s="1"/>
  <c r="I86" i="14"/>
  <c r="H86" i="14"/>
  <c r="G86" i="14"/>
  <c r="K85" i="14"/>
  <c r="J85" i="14"/>
  <c r="H85" i="14"/>
  <c r="I85" i="14" s="1"/>
  <c r="G85" i="14"/>
  <c r="J84" i="14"/>
  <c r="K84" i="14" s="1"/>
  <c r="I84" i="14"/>
  <c r="H84" i="14"/>
  <c r="G84" i="14"/>
  <c r="K83" i="14"/>
  <c r="J83" i="14"/>
  <c r="H83" i="14"/>
  <c r="I83" i="14" s="1"/>
  <c r="G83" i="14"/>
  <c r="J82" i="14"/>
  <c r="K82" i="14" s="1"/>
  <c r="I82" i="14"/>
  <c r="H82" i="14"/>
  <c r="G82" i="14"/>
  <c r="K81" i="14"/>
  <c r="J81" i="14"/>
  <c r="H81" i="14"/>
  <c r="I81" i="14" s="1"/>
  <c r="G81" i="14"/>
  <c r="J80" i="14"/>
  <c r="K80" i="14" s="1"/>
  <c r="I80" i="14"/>
  <c r="H80" i="14"/>
  <c r="G80" i="14"/>
  <c r="K79" i="14"/>
  <c r="J79" i="14"/>
  <c r="H79" i="14"/>
  <c r="I79" i="14" s="1"/>
  <c r="G79" i="14"/>
  <c r="J78" i="14"/>
  <c r="K78" i="14" s="1"/>
  <c r="I78" i="14"/>
  <c r="H78" i="14"/>
  <c r="G78" i="14"/>
  <c r="K77" i="14"/>
  <c r="J77" i="14"/>
  <c r="H77" i="14"/>
  <c r="I77" i="14" s="1"/>
  <c r="G77" i="14"/>
  <c r="J76" i="14"/>
  <c r="K76" i="14" s="1"/>
  <c r="I76" i="14"/>
  <c r="H76" i="14"/>
  <c r="G76" i="14"/>
  <c r="K75" i="14"/>
  <c r="J75" i="14"/>
  <c r="H75" i="14"/>
  <c r="I75" i="14" s="1"/>
  <c r="G75" i="14"/>
  <c r="J74" i="14"/>
  <c r="K74" i="14" s="1"/>
  <c r="I74" i="14"/>
  <c r="H74" i="14"/>
  <c r="G74" i="14"/>
  <c r="K73" i="14"/>
  <c r="J73" i="14"/>
  <c r="H73" i="14"/>
  <c r="I73" i="14" s="1"/>
  <c r="G73" i="14"/>
  <c r="J72" i="14"/>
  <c r="K72" i="14" s="1"/>
  <c r="I72" i="14"/>
  <c r="H72" i="14"/>
  <c r="G72" i="14"/>
  <c r="K71" i="14"/>
  <c r="J71" i="14"/>
  <c r="H71" i="14"/>
  <c r="I71" i="14" s="1"/>
  <c r="G71" i="14"/>
  <c r="J70" i="14"/>
  <c r="K70" i="14" s="1"/>
  <c r="I70" i="14"/>
  <c r="H70" i="14"/>
  <c r="G70" i="14"/>
  <c r="K69" i="14"/>
  <c r="J69" i="14"/>
  <c r="H69" i="14"/>
  <c r="I69" i="14" s="1"/>
  <c r="G69" i="14"/>
  <c r="J68" i="14"/>
  <c r="K68" i="14" s="1"/>
  <c r="I68" i="14"/>
  <c r="H68" i="14"/>
  <c r="G68" i="14"/>
  <c r="K67" i="14"/>
  <c r="J67" i="14"/>
  <c r="H67" i="14"/>
  <c r="I67" i="14" s="1"/>
  <c r="G67" i="14"/>
  <c r="J66" i="14"/>
  <c r="K66" i="14" s="1"/>
  <c r="I66" i="14"/>
  <c r="H66" i="14"/>
  <c r="G66" i="14"/>
  <c r="K65" i="14"/>
  <c r="J65" i="14"/>
  <c r="H65" i="14"/>
  <c r="I65" i="14" s="1"/>
  <c r="G65" i="14"/>
  <c r="J64" i="14"/>
  <c r="K64" i="14" s="1"/>
  <c r="L64" i="14" s="1"/>
  <c r="I64" i="14"/>
  <c r="H64" i="14"/>
  <c r="G64" i="14"/>
  <c r="K63" i="14"/>
  <c r="J63" i="14"/>
  <c r="H63" i="14"/>
  <c r="I63" i="14" s="1"/>
  <c r="G63" i="14"/>
  <c r="J62" i="14"/>
  <c r="K62" i="14" s="1"/>
  <c r="L62" i="14" s="1"/>
  <c r="I62" i="14"/>
  <c r="H62" i="14"/>
  <c r="G62" i="14"/>
  <c r="K61" i="14"/>
  <c r="J61" i="14"/>
  <c r="H61" i="14"/>
  <c r="I61" i="14" s="1"/>
  <c r="G61" i="14"/>
  <c r="J60" i="14"/>
  <c r="K60" i="14" s="1"/>
  <c r="L60" i="14" s="1"/>
  <c r="I60" i="14"/>
  <c r="H60" i="14"/>
  <c r="G60" i="14"/>
  <c r="K59" i="14"/>
  <c r="J59" i="14"/>
  <c r="H59" i="14"/>
  <c r="I59" i="14" s="1"/>
  <c r="G59" i="14"/>
  <c r="J58" i="14"/>
  <c r="K58" i="14" s="1"/>
  <c r="L58" i="14" s="1"/>
  <c r="I58" i="14"/>
  <c r="H58" i="14"/>
  <c r="G58" i="14"/>
  <c r="K57" i="14"/>
  <c r="J57" i="14"/>
  <c r="H57" i="14"/>
  <c r="I57" i="14" s="1"/>
  <c r="G57" i="14"/>
  <c r="J56" i="14"/>
  <c r="K56" i="14" s="1"/>
  <c r="L56" i="14" s="1"/>
  <c r="I56" i="14"/>
  <c r="H56" i="14"/>
  <c r="G56" i="14"/>
  <c r="K55" i="14"/>
  <c r="J55" i="14"/>
  <c r="H55" i="14"/>
  <c r="I55" i="14" s="1"/>
  <c r="G55" i="14"/>
  <c r="J54" i="14"/>
  <c r="K54" i="14" s="1"/>
  <c r="L54" i="14" s="1"/>
  <c r="I54" i="14"/>
  <c r="H54" i="14"/>
  <c r="G54" i="14"/>
  <c r="K53" i="14"/>
  <c r="J53" i="14"/>
  <c r="H53" i="14"/>
  <c r="I53" i="14" s="1"/>
  <c r="G53" i="14"/>
  <c r="J52" i="14"/>
  <c r="K52" i="14" s="1"/>
  <c r="L52" i="14" s="1"/>
  <c r="I52" i="14"/>
  <c r="H52" i="14"/>
  <c r="G52" i="14"/>
  <c r="K51" i="14"/>
  <c r="J51" i="14"/>
  <c r="H51" i="14"/>
  <c r="I51" i="14" s="1"/>
  <c r="G51" i="14"/>
  <c r="J50" i="14"/>
  <c r="K50" i="14" s="1"/>
  <c r="L50" i="14" s="1"/>
  <c r="I50" i="14"/>
  <c r="H50" i="14"/>
  <c r="G50" i="14"/>
  <c r="K49" i="14"/>
  <c r="J49" i="14"/>
  <c r="H49" i="14"/>
  <c r="I49" i="14" s="1"/>
  <c r="G49" i="14"/>
  <c r="J48" i="14"/>
  <c r="K48" i="14" s="1"/>
  <c r="L48" i="14" s="1"/>
  <c r="I48" i="14"/>
  <c r="H48" i="14"/>
  <c r="G48" i="14"/>
  <c r="K47" i="14"/>
  <c r="J47" i="14"/>
  <c r="H47" i="14"/>
  <c r="I47" i="14" s="1"/>
  <c r="G47" i="14"/>
  <c r="J46" i="14"/>
  <c r="K46" i="14" s="1"/>
  <c r="L46" i="14" s="1"/>
  <c r="I46" i="14"/>
  <c r="H46" i="14"/>
  <c r="G46" i="14"/>
  <c r="K45" i="14"/>
  <c r="J45" i="14"/>
  <c r="H45" i="14"/>
  <c r="I45" i="14" s="1"/>
  <c r="G45" i="14"/>
  <c r="J44" i="14"/>
  <c r="K44" i="14" s="1"/>
  <c r="L44" i="14" s="1"/>
  <c r="I44" i="14"/>
  <c r="H44" i="14"/>
  <c r="G44" i="14"/>
  <c r="K43" i="14"/>
  <c r="J43" i="14"/>
  <c r="H43" i="14"/>
  <c r="I43" i="14" s="1"/>
  <c r="G43" i="14"/>
  <c r="J42" i="14"/>
  <c r="K42" i="14" s="1"/>
  <c r="L42" i="14" s="1"/>
  <c r="I42" i="14"/>
  <c r="H42" i="14"/>
  <c r="G42" i="14"/>
  <c r="K41" i="14"/>
  <c r="J41" i="14"/>
  <c r="H41" i="14"/>
  <c r="I41" i="14" s="1"/>
  <c r="G41" i="14"/>
  <c r="J40" i="14"/>
  <c r="K40" i="14" s="1"/>
  <c r="L40" i="14" s="1"/>
  <c r="I40" i="14"/>
  <c r="H40" i="14"/>
  <c r="G40" i="14"/>
  <c r="K39" i="14"/>
  <c r="J39" i="14"/>
  <c r="H39" i="14"/>
  <c r="I39" i="14" s="1"/>
  <c r="G39" i="14"/>
  <c r="J38" i="14"/>
  <c r="K38" i="14" s="1"/>
  <c r="L38" i="14" s="1"/>
  <c r="I38" i="14"/>
  <c r="H38" i="14"/>
  <c r="G38" i="14"/>
  <c r="K37" i="14"/>
  <c r="J37" i="14"/>
  <c r="H37" i="14"/>
  <c r="I37" i="14" s="1"/>
  <c r="G37" i="14"/>
  <c r="J36" i="14"/>
  <c r="K36" i="14" s="1"/>
  <c r="L36" i="14" s="1"/>
  <c r="I36" i="14"/>
  <c r="H36" i="14"/>
  <c r="G36" i="14"/>
  <c r="K35" i="14"/>
  <c r="J35" i="14"/>
  <c r="H35" i="14"/>
  <c r="I35" i="14" s="1"/>
  <c r="G35" i="14"/>
  <c r="J34" i="14"/>
  <c r="K34" i="14" s="1"/>
  <c r="L34" i="14" s="1"/>
  <c r="I34" i="14"/>
  <c r="H34" i="14"/>
  <c r="G34" i="14"/>
  <c r="K33" i="14"/>
  <c r="J33" i="14"/>
  <c r="H33" i="14"/>
  <c r="I33" i="14" s="1"/>
  <c r="G33" i="14"/>
  <c r="J32" i="14"/>
  <c r="K32" i="14" s="1"/>
  <c r="L32" i="14" s="1"/>
  <c r="I32" i="14"/>
  <c r="H32" i="14"/>
  <c r="G32" i="14"/>
  <c r="K31" i="14"/>
  <c r="J31" i="14"/>
  <c r="H31" i="14"/>
  <c r="I31" i="14" s="1"/>
  <c r="G31" i="14"/>
  <c r="J30" i="14"/>
  <c r="K30" i="14" s="1"/>
  <c r="L30" i="14" s="1"/>
  <c r="I30" i="14"/>
  <c r="H30" i="14"/>
  <c r="G30" i="14"/>
  <c r="K29" i="14"/>
  <c r="J29" i="14"/>
  <c r="H29" i="14"/>
  <c r="I29" i="14" s="1"/>
  <c r="G29" i="14"/>
  <c r="J28" i="14"/>
  <c r="K28" i="14" s="1"/>
  <c r="L28" i="14" s="1"/>
  <c r="I28" i="14"/>
  <c r="H28" i="14"/>
  <c r="G28" i="14"/>
  <c r="K27" i="14"/>
  <c r="J27" i="14"/>
  <c r="H27" i="14"/>
  <c r="I27" i="14" s="1"/>
  <c r="G27" i="14"/>
  <c r="J26" i="14"/>
  <c r="K26" i="14" s="1"/>
  <c r="L26" i="14" s="1"/>
  <c r="I26" i="14"/>
  <c r="H26" i="14"/>
  <c r="G26" i="14"/>
  <c r="K25" i="14"/>
  <c r="J25" i="14"/>
  <c r="H25" i="14"/>
  <c r="I25" i="14" s="1"/>
  <c r="G25" i="14"/>
  <c r="J24" i="14"/>
  <c r="K24" i="14" s="1"/>
  <c r="L24" i="14" s="1"/>
  <c r="I24" i="14"/>
  <c r="H24" i="14"/>
  <c r="G24" i="14"/>
  <c r="K23" i="14"/>
  <c r="J23" i="14"/>
  <c r="H23" i="14"/>
  <c r="I23" i="14" s="1"/>
  <c r="G23" i="14"/>
  <c r="J22" i="14"/>
  <c r="K22" i="14" s="1"/>
  <c r="L22" i="14" s="1"/>
  <c r="I22" i="14"/>
  <c r="H22" i="14"/>
  <c r="G22" i="14"/>
  <c r="K21" i="14"/>
  <c r="J21" i="14"/>
  <c r="H21" i="14"/>
  <c r="I21" i="14" s="1"/>
  <c r="G21" i="14"/>
  <c r="J20" i="14"/>
  <c r="K20" i="14" s="1"/>
  <c r="L20" i="14" s="1"/>
  <c r="I20" i="14"/>
  <c r="H20" i="14"/>
  <c r="G20" i="14"/>
  <c r="K19" i="14"/>
  <c r="J19" i="14"/>
  <c r="H19" i="14"/>
  <c r="I19" i="14" s="1"/>
  <c r="G19" i="14"/>
  <c r="J18" i="14"/>
  <c r="K18" i="14" s="1"/>
  <c r="L18" i="14" s="1"/>
  <c r="I18" i="14"/>
  <c r="H18" i="14"/>
  <c r="G18" i="14"/>
  <c r="K17" i="14"/>
  <c r="J17" i="14"/>
  <c r="H17" i="14"/>
  <c r="I17" i="14" s="1"/>
  <c r="G17" i="14"/>
  <c r="J16" i="14"/>
  <c r="K16" i="14" s="1"/>
  <c r="L16" i="14" s="1"/>
  <c r="I16" i="14"/>
  <c r="H16" i="14"/>
  <c r="G16" i="14"/>
  <c r="K15" i="14"/>
  <c r="J15" i="14"/>
  <c r="H15" i="14"/>
  <c r="I15" i="14" s="1"/>
  <c r="G15" i="14"/>
  <c r="J14" i="14"/>
  <c r="K14" i="14" s="1"/>
  <c r="L14" i="14" s="1"/>
  <c r="I14" i="14"/>
  <c r="H14" i="14"/>
  <c r="G14" i="14"/>
  <c r="K13" i="14"/>
  <c r="J13" i="14"/>
  <c r="H13" i="14"/>
  <c r="I13" i="14" s="1"/>
  <c r="G13" i="14"/>
  <c r="J12" i="14"/>
  <c r="K12" i="14" s="1"/>
  <c r="L12" i="14" s="1"/>
  <c r="I12" i="14"/>
  <c r="H12" i="14"/>
  <c r="G12" i="14"/>
  <c r="K11" i="14"/>
  <c r="J11" i="14"/>
  <c r="H11" i="14"/>
  <c r="I11" i="14" s="1"/>
  <c r="G11" i="14"/>
  <c r="J10" i="14"/>
  <c r="K10" i="14" s="1"/>
  <c r="L10" i="14" s="1"/>
  <c r="I10" i="14"/>
  <c r="H10" i="14"/>
  <c r="G10" i="14"/>
  <c r="K9" i="14"/>
  <c r="J9" i="14"/>
  <c r="H9" i="14"/>
  <c r="I9" i="14" s="1"/>
  <c r="G9" i="14"/>
  <c r="J8" i="14"/>
  <c r="K8" i="14" s="1"/>
  <c r="L8" i="14" s="1"/>
  <c r="I8" i="14"/>
  <c r="H8" i="14"/>
  <c r="G8" i="14"/>
  <c r="K7" i="14"/>
  <c r="J7" i="14"/>
  <c r="H7" i="14"/>
  <c r="I7" i="14" s="1"/>
  <c r="G7" i="14"/>
  <c r="J6" i="14"/>
  <c r="K6" i="14" s="1"/>
  <c r="L6" i="14" s="1"/>
  <c r="I6" i="14"/>
  <c r="H6" i="14"/>
  <c r="G6" i="14"/>
  <c r="K5" i="14"/>
  <c r="J5" i="14"/>
  <c r="H5" i="14"/>
  <c r="I5" i="14" s="1"/>
  <c r="G5" i="14"/>
  <c r="J4" i="14"/>
  <c r="K4" i="14" s="1"/>
  <c r="L4" i="14" s="1"/>
  <c r="I4" i="14"/>
  <c r="H4" i="14"/>
  <c r="G4" i="14"/>
  <c r="K3" i="14"/>
  <c r="J3" i="14"/>
  <c r="H3" i="14"/>
  <c r="I3" i="14" s="1"/>
  <c r="G3" i="14"/>
  <c r="J2" i="14"/>
  <c r="K2" i="14" s="1"/>
  <c r="L2" i="14" s="1"/>
  <c r="I2" i="14"/>
  <c r="H2" i="14"/>
  <c r="G2" i="14"/>
  <c r="N401" i="13"/>
  <c r="M401" i="13"/>
  <c r="L401" i="13"/>
  <c r="K401" i="13"/>
  <c r="I401" i="13"/>
  <c r="J401" i="13" s="1"/>
  <c r="H401" i="13"/>
  <c r="G349" i="15" s="1"/>
  <c r="N400" i="13"/>
  <c r="M400" i="13"/>
  <c r="L400" i="13"/>
  <c r="K400" i="13"/>
  <c r="I400" i="13"/>
  <c r="H400" i="13"/>
  <c r="N399" i="13"/>
  <c r="M399" i="13"/>
  <c r="L399" i="13"/>
  <c r="K399" i="13"/>
  <c r="I399" i="13"/>
  <c r="H399" i="13"/>
  <c r="G347" i="15" s="1"/>
  <c r="N398" i="13"/>
  <c r="M398" i="13"/>
  <c r="L398" i="13"/>
  <c r="K398" i="13"/>
  <c r="J398" i="13"/>
  <c r="I398" i="13"/>
  <c r="H398" i="13"/>
  <c r="G346" i="15" s="1"/>
  <c r="N397" i="13"/>
  <c r="M397" i="13"/>
  <c r="L397" i="13"/>
  <c r="K397" i="13"/>
  <c r="I397" i="13"/>
  <c r="J397" i="13" s="1"/>
  <c r="H397" i="13"/>
  <c r="G345" i="15" s="1"/>
  <c r="N396" i="13"/>
  <c r="M396" i="13"/>
  <c r="L396" i="13"/>
  <c r="K396" i="13"/>
  <c r="I396" i="13"/>
  <c r="H396" i="13"/>
  <c r="J396" i="13" s="1"/>
  <c r="N395" i="13"/>
  <c r="M395" i="13"/>
  <c r="L395" i="13"/>
  <c r="K395" i="13"/>
  <c r="I395" i="13"/>
  <c r="H395" i="13"/>
  <c r="G344" i="15" s="1"/>
  <c r="N394" i="13"/>
  <c r="M394" i="13"/>
  <c r="L394" i="13"/>
  <c r="K394" i="13"/>
  <c r="J394" i="13"/>
  <c r="I394" i="13"/>
  <c r="H394" i="13"/>
  <c r="G343" i="15" s="1"/>
  <c r="N393" i="13"/>
  <c r="M393" i="13"/>
  <c r="L393" i="13"/>
  <c r="K393" i="13"/>
  <c r="I393" i="13"/>
  <c r="J393" i="13" s="1"/>
  <c r="H393" i="13"/>
  <c r="G342" i="15" s="1"/>
  <c r="N392" i="13"/>
  <c r="M392" i="13"/>
  <c r="L392" i="13"/>
  <c r="K392" i="13"/>
  <c r="I392" i="13"/>
  <c r="H392" i="13"/>
  <c r="N391" i="13"/>
  <c r="M391" i="13"/>
  <c r="L391" i="13"/>
  <c r="K391" i="13"/>
  <c r="I391" i="13"/>
  <c r="H391" i="13"/>
  <c r="G340" i="15" s="1"/>
  <c r="N390" i="13"/>
  <c r="M390" i="13"/>
  <c r="L390" i="13"/>
  <c r="K390" i="13"/>
  <c r="J390" i="13"/>
  <c r="I390" i="13"/>
  <c r="H390" i="13"/>
  <c r="G339" i="15" s="1"/>
  <c r="N389" i="13"/>
  <c r="M389" i="13"/>
  <c r="L389" i="13"/>
  <c r="K389" i="13"/>
  <c r="I389" i="13"/>
  <c r="J389" i="13" s="1"/>
  <c r="H389" i="13"/>
  <c r="G338" i="15" s="1"/>
  <c r="N388" i="13"/>
  <c r="M388" i="13"/>
  <c r="L388" i="13"/>
  <c r="K388" i="13"/>
  <c r="I388" i="13"/>
  <c r="H388" i="13"/>
  <c r="N387" i="13"/>
  <c r="M387" i="13"/>
  <c r="L387" i="13"/>
  <c r="K387" i="13"/>
  <c r="I387" i="13"/>
  <c r="H387" i="13"/>
  <c r="G336" i="15" s="1"/>
  <c r="N386" i="13"/>
  <c r="M386" i="13"/>
  <c r="L386" i="13"/>
  <c r="K386" i="13"/>
  <c r="J386" i="13"/>
  <c r="I386" i="13"/>
  <c r="H386" i="13"/>
  <c r="G335" i="15" s="1"/>
  <c r="N385" i="13"/>
  <c r="M385" i="13"/>
  <c r="L385" i="13"/>
  <c r="K385" i="13"/>
  <c r="I385" i="13"/>
  <c r="J385" i="13" s="1"/>
  <c r="H385" i="13"/>
  <c r="G334" i="15" s="1"/>
  <c r="N384" i="13"/>
  <c r="M384" i="13"/>
  <c r="L384" i="13"/>
  <c r="K384" i="13"/>
  <c r="I384" i="13"/>
  <c r="H384" i="13"/>
  <c r="N383" i="13"/>
  <c r="M383" i="13"/>
  <c r="L383" i="13"/>
  <c r="K383" i="13"/>
  <c r="I383" i="13"/>
  <c r="H383" i="13"/>
  <c r="G332" i="15" s="1"/>
  <c r="N382" i="13"/>
  <c r="M382" i="13"/>
  <c r="L382" i="13"/>
  <c r="K382" i="13"/>
  <c r="J382" i="13"/>
  <c r="I382" i="13"/>
  <c r="H382" i="13"/>
  <c r="G331" i="15" s="1"/>
  <c r="N381" i="13"/>
  <c r="M381" i="13"/>
  <c r="L381" i="13"/>
  <c r="K381" i="13"/>
  <c r="I381" i="13"/>
  <c r="J381" i="13" s="1"/>
  <c r="H381" i="13"/>
  <c r="G330" i="15" s="1"/>
  <c r="N380" i="13"/>
  <c r="M380" i="13"/>
  <c r="L380" i="13"/>
  <c r="K380" i="13"/>
  <c r="I380" i="13"/>
  <c r="H380" i="13"/>
  <c r="N379" i="13"/>
  <c r="M379" i="13"/>
  <c r="L379" i="13"/>
  <c r="K379" i="13"/>
  <c r="I379" i="13"/>
  <c r="H379" i="13"/>
  <c r="G328" i="15" s="1"/>
  <c r="N378" i="13"/>
  <c r="M378" i="13"/>
  <c r="L378" i="13"/>
  <c r="K378" i="13"/>
  <c r="J378" i="13"/>
  <c r="I378" i="13"/>
  <c r="H378" i="13"/>
  <c r="G327" i="15" s="1"/>
  <c r="N377" i="13"/>
  <c r="M377" i="13"/>
  <c r="L377" i="13"/>
  <c r="K377" i="13"/>
  <c r="I377" i="13"/>
  <c r="J377" i="13" s="1"/>
  <c r="H377" i="13"/>
  <c r="G326" i="15" s="1"/>
  <c r="N376" i="13"/>
  <c r="M376" i="13"/>
  <c r="L376" i="13"/>
  <c r="K376" i="13"/>
  <c r="I376" i="13"/>
  <c r="H376" i="13"/>
  <c r="J376" i="13" s="1"/>
  <c r="N375" i="13"/>
  <c r="M375" i="13"/>
  <c r="L375" i="13"/>
  <c r="K375" i="13"/>
  <c r="I375" i="13"/>
  <c r="H375" i="13"/>
  <c r="G325" i="15" s="1"/>
  <c r="N374" i="13"/>
  <c r="M374" i="13"/>
  <c r="L374" i="13"/>
  <c r="K374" i="13"/>
  <c r="J374" i="13"/>
  <c r="I374" i="13"/>
  <c r="H374" i="13"/>
  <c r="G324" i="15" s="1"/>
  <c r="N373" i="13"/>
  <c r="M373" i="13"/>
  <c r="L373" i="13"/>
  <c r="K373" i="13"/>
  <c r="I373" i="13"/>
  <c r="J373" i="13" s="1"/>
  <c r="H373" i="13"/>
  <c r="G323" i="15" s="1"/>
  <c r="N372" i="13"/>
  <c r="M372" i="13"/>
  <c r="L372" i="13"/>
  <c r="K372" i="13"/>
  <c r="I372" i="13"/>
  <c r="H372" i="13"/>
  <c r="N371" i="13"/>
  <c r="M371" i="13"/>
  <c r="L371" i="13"/>
  <c r="K371" i="13"/>
  <c r="I371" i="13"/>
  <c r="H371" i="13"/>
  <c r="G321" i="15" s="1"/>
  <c r="N370" i="13"/>
  <c r="M370" i="13"/>
  <c r="L370" i="13"/>
  <c r="K370" i="13"/>
  <c r="J370" i="13"/>
  <c r="I370" i="13"/>
  <c r="H370" i="13"/>
  <c r="G320" i="15" s="1"/>
  <c r="N369" i="13"/>
  <c r="M369" i="13"/>
  <c r="L369" i="13"/>
  <c r="K369" i="13"/>
  <c r="I369" i="13"/>
  <c r="J369" i="13" s="1"/>
  <c r="H369" i="13"/>
  <c r="G319" i="15" s="1"/>
  <c r="N368" i="13"/>
  <c r="M368" i="13"/>
  <c r="L368" i="13"/>
  <c r="K368" i="13"/>
  <c r="I368" i="13"/>
  <c r="H368" i="13"/>
  <c r="N367" i="13"/>
  <c r="M367" i="13"/>
  <c r="L367" i="13"/>
  <c r="K367" i="13"/>
  <c r="I367" i="13"/>
  <c r="H367" i="13"/>
  <c r="G317" i="15" s="1"/>
  <c r="N366" i="13"/>
  <c r="M366" i="13"/>
  <c r="L366" i="13"/>
  <c r="K366" i="13"/>
  <c r="J366" i="13"/>
  <c r="I366" i="13"/>
  <c r="H366" i="13"/>
  <c r="G316" i="15" s="1"/>
  <c r="N365" i="13"/>
  <c r="M365" i="13"/>
  <c r="L365" i="13"/>
  <c r="K365" i="13"/>
  <c r="I365" i="13"/>
  <c r="J365" i="13" s="1"/>
  <c r="H365" i="13"/>
  <c r="G315" i="15" s="1"/>
  <c r="N364" i="13"/>
  <c r="M364" i="13"/>
  <c r="L364" i="13"/>
  <c r="K364" i="13"/>
  <c r="I364" i="13"/>
  <c r="H364" i="13"/>
  <c r="N363" i="13"/>
  <c r="M363" i="13"/>
  <c r="L363" i="13"/>
  <c r="K363" i="13"/>
  <c r="I363" i="13"/>
  <c r="H363" i="13"/>
  <c r="J363" i="13" s="1"/>
  <c r="N362" i="13"/>
  <c r="M362" i="13"/>
  <c r="L362" i="13"/>
  <c r="K362" i="13"/>
  <c r="J362" i="13"/>
  <c r="I362" i="13"/>
  <c r="H362" i="13"/>
  <c r="G313" i="15" s="1"/>
  <c r="N361" i="13"/>
  <c r="M361" i="13"/>
  <c r="L361" i="13"/>
  <c r="K361" i="13"/>
  <c r="I361" i="13"/>
  <c r="J361" i="13" s="1"/>
  <c r="H361" i="13"/>
  <c r="G312" i="15" s="1"/>
  <c r="N360" i="13"/>
  <c r="M360" i="13"/>
  <c r="L360" i="13"/>
  <c r="K360" i="13"/>
  <c r="I360" i="13"/>
  <c r="H360" i="13"/>
  <c r="N359" i="13"/>
  <c r="M359" i="13"/>
  <c r="L359" i="13"/>
  <c r="K359" i="13"/>
  <c r="I359" i="13"/>
  <c r="H359" i="13"/>
  <c r="J359" i="13" s="1"/>
  <c r="N358" i="13"/>
  <c r="M358" i="13"/>
  <c r="L358" i="13"/>
  <c r="K358" i="13"/>
  <c r="J358" i="13"/>
  <c r="I358" i="13"/>
  <c r="H358" i="13"/>
  <c r="G310" i="15" s="1"/>
  <c r="N357" i="13"/>
  <c r="M357" i="13"/>
  <c r="L357" i="13"/>
  <c r="K357" i="13"/>
  <c r="I357" i="13"/>
  <c r="J357" i="13" s="1"/>
  <c r="H357" i="13"/>
  <c r="G309" i="15" s="1"/>
  <c r="N356" i="13"/>
  <c r="M356" i="13"/>
  <c r="L356" i="13"/>
  <c r="K356" i="13"/>
  <c r="I356" i="13"/>
  <c r="H356" i="13"/>
  <c r="N355" i="13"/>
  <c r="M355" i="13"/>
  <c r="L355" i="13"/>
  <c r="K355" i="13"/>
  <c r="I355" i="13"/>
  <c r="H355" i="13"/>
  <c r="G307" i="15" s="1"/>
  <c r="N354" i="13"/>
  <c r="M354" i="13"/>
  <c r="L354" i="13"/>
  <c r="K354" i="13"/>
  <c r="J354" i="13"/>
  <c r="I354" i="13"/>
  <c r="H354" i="13"/>
  <c r="G306" i="15" s="1"/>
  <c r="N353" i="13"/>
  <c r="M353" i="13"/>
  <c r="L353" i="13"/>
  <c r="K353" i="13"/>
  <c r="I353" i="13"/>
  <c r="J353" i="13" s="1"/>
  <c r="H353" i="13"/>
  <c r="G305" i="15" s="1"/>
  <c r="N352" i="13"/>
  <c r="M352" i="13"/>
  <c r="L352" i="13"/>
  <c r="K352" i="13"/>
  <c r="I352" i="13"/>
  <c r="H352" i="13"/>
  <c r="N351" i="13"/>
  <c r="M351" i="13"/>
  <c r="L351" i="13"/>
  <c r="K351" i="13"/>
  <c r="I351" i="13"/>
  <c r="H351" i="13"/>
  <c r="G303" i="15" s="1"/>
  <c r="N350" i="13"/>
  <c r="M350" i="13"/>
  <c r="L350" i="13"/>
  <c r="K350" i="13"/>
  <c r="J350" i="13"/>
  <c r="I350" i="13"/>
  <c r="H350" i="13"/>
  <c r="N349" i="13"/>
  <c r="M349" i="13"/>
  <c r="L349" i="13"/>
  <c r="K349" i="13"/>
  <c r="I349" i="13"/>
  <c r="J349" i="13" s="1"/>
  <c r="H349" i="13"/>
  <c r="G302" i="15" s="1"/>
  <c r="N348" i="13"/>
  <c r="M348" i="13"/>
  <c r="L348" i="13"/>
  <c r="K348" i="13"/>
  <c r="I348" i="13"/>
  <c r="H348" i="13"/>
  <c r="J348" i="13" s="1"/>
  <c r="N347" i="13"/>
  <c r="M347" i="13"/>
  <c r="L347" i="13"/>
  <c r="K347" i="13"/>
  <c r="I347" i="13"/>
  <c r="H347" i="13"/>
  <c r="G301" i="15" s="1"/>
  <c r="N346" i="13"/>
  <c r="M346" i="13"/>
  <c r="L346" i="13"/>
  <c r="K346" i="13"/>
  <c r="J346" i="13"/>
  <c r="I346" i="13"/>
  <c r="H346" i="13"/>
  <c r="G300" i="15" s="1"/>
  <c r="N345" i="13"/>
  <c r="M345" i="13"/>
  <c r="L345" i="13"/>
  <c r="K345" i="13"/>
  <c r="I345" i="13"/>
  <c r="J345" i="13" s="1"/>
  <c r="H345" i="13"/>
  <c r="G299" i="15" s="1"/>
  <c r="N344" i="13"/>
  <c r="M344" i="13"/>
  <c r="L344" i="13"/>
  <c r="K344" i="13"/>
  <c r="I344" i="13"/>
  <c r="H344" i="13"/>
  <c r="N343" i="13"/>
  <c r="M343" i="13"/>
  <c r="L343" i="13"/>
  <c r="K343" i="13"/>
  <c r="I343" i="13"/>
  <c r="H343" i="13"/>
  <c r="G297" i="15" s="1"/>
  <c r="N342" i="13"/>
  <c r="M342" i="13"/>
  <c r="L342" i="13"/>
  <c r="K342" i="13"/>
  <c r="J342" i="13"/>
  <c r="I342" i="13"/>
  <c r="H342" i="13"/>
  <c r="G296" i="15" s="1"/>
  <c r="N341" i="13"/>
  <c r="M341" i="13"/>
  <c r="L341" i="13"/>
  <c r="K341" i="13"/>
  <c r="I341" i="13"/>
  <c r="J341" i="13" s="1"/>
  <c r="H341" i="13"/>
  <c r="N340" i="13"/>
  <c r="M340" i="13"/>
  <c r="L340" i="13"/>
  <c r="K340" i="13"/>
  <c r="I340" i="13"/>
  <c r="H340" i="13"/>
  <c r="N339" i="13"/>
  <c r="M339" i="13"/>
  <c r="L339" i="13"/>
  <c r="K339" i="13"/>
  <c r="I339" i="13"/>
  <c r="H339" i="13"/>
  <c r="G294" i="15" s="1"/>
  <c r="N338" i="13"/>
  <c r="M338" i="13"/>
  <c r="L338" i="13"/>
  <c r="K338" i="13"/>
  <c r="J338" i="13"/>
  <c r="I338" i="13"/>
  <c r="H338" i="13"/>
  <c r="G293" i="15" s="1"/>
  <c r="N337" i="13"/>
  <c r="M337" i="13"/>
  <c r="L337" i="13"/>
  <c r="K337" i="13"/>
  <c r="I337" i="13"/>
  <c r="J337" i="13" s="1"/>
  <c r="H337" i="13"/>
  <c r="G292" i="15" s="1"/>
  <c r="N336" i="13"/>
  <c r="M336" i="13"/>
  <c r="L336" i="13"/>
  <c r="K336" i="13"/>
  <c r="I336" i="13"/>
  <c r="H336" i="13"/>
  <c r="N335" i="13"/>
  <c r="M335" i="13"/>
  <c r="L335" i="13"/>
  <c r="K335" i="13"/>
  <c r="I335" i="13"/>
  <c r="N334" i="13"/>
  <c r="M334" i="13"/>
  <c r="L334" i="13"/>
  <c r="K334" i="13"/>
  <c r="H334" i="13"/>
  <c r="G289" i="15" s="1"/>
  <c r="N333" i="13"/>
  <c r="M333" i="13"/>
  <c r="L333" i="13"/>
  <c r="K333" i="13"/>
  <c r="I333" i="13"/>
  <c r="J333" i="13" s="1"/>
  <c r="H333" i="13"/>
  <c r="G288" i="15" s="1"/>
  <c r="N332" i="13"/>
  <c r="M332" i="13"/>
  <c r="L332" i="13"/>
  <c r="K332" i="13"/>
  <c r="I332" i="13"/>
  <c r="H332" i="13"/>
  <c r="N331" i="13"/>
  <c r="M331" i="13"/>
  <c r="L331" i="13"/>
  <c r="K331" i="13"/>
  <c r="I331" i="13"/>
  <c r="H331" i="13"/>
  <c r="N330" i="13"/>
  <c r="M330" i="13"/>
  <c r="L330" i="13"/>
  <c r="K330" i="13"/>
  <c r="J330" i="13"/>
  <c r="I330" i="13"/>
  <c r="H330" i="13"/>
  <c r="G285" i="15" s="1"/>
  <c r="N329" i="13"/>
  <c r="M329" i="13"/>
  <c r="L329" i="13"/>
  <c r="K329" i="13"/>
  <c r="I329" i="13"/>
  <c r="J329" i="13" s="1"/>
  <c r="H329" i="13"/>
  <c r="G284" i="15" s="1"/>
  <c r="N328" i="13"/>
  <c r="M328" i="13"/>
  <c r="L328" i="13"/>
  <c r="K328" i="13"/>
  <c r="H328" i="13"/>
  <c r="N327" i="13"/>
  <c r="M327" i="13"/>
  <c r="L327" i="13"/>
  <c r="K327" i="13"/>
  <c r="H327" i="13"/>
  <c r="N326" i="13"/>
  <c r="M326" i="13"/>
  <c r="L326" i="13"/>
  <c r="K326" i="13"/>
  <c r="J326" i="13"/>
  <c r="H326" i="13"/>
  <c r="G282" i="15" s="1"/>
  <c r="N325" i="13"/>
  <c r="M325" i="13"/>
  <c r="L325" i="13"/>
  <c r="K325" i="13"/>
  <c r="H325" i="13"/>
  <c r="G281" i="15" s="1"/>
  <c r="N324" i="13"/>
  <c r="M324" i="13"/>
  <c r="L324" i="13"/>
  <c r="K324" i="13"/>
  <c r="H324" i="13"/>
  <c r="N323" i="13"/>
  <c r="M323" i="13"/>
  <c r="L323" i="13"/>
  <c r="K323" i="13"/>
  <c r="H323" i="13"/>
  <c r="N322" i="13"/>
  <c r="M322" i="13"/>
  <c r="L322" i="13"/>
  <c r="K322" i="13"/>
  <c r="J322" i="13"/>
  <c r="H322" i="13"/>
  <c r="G278" i="15" s="1"/>
  <c r="N321" i="13"/>
  <c r="M321" i="13"/>
  <c r="L321" i="13"/>
  <c r="K321" i="13"/>
  <c r="H321" i="13"/>
  <c r="G277" i="15" s="1"/>
  <c r="N320" i="13"/>
  <c r="M320" i="13"/>
  <c r="L320" i="13"/>
  <c r="K320" i="13"/>
  <c r="H320" i="13"/>
  <c r="N319" i="13"/>
  <c r="M319" i="13"/>
  <c r="L319" i="13"/>
  <c r="K319" i="13"/>
  <c r="H319" i="13"/>
  <c r="N318" i="13"/>
  <c r="M318" i="13"/>
  <c r="L318" i="13"/>
  <c r="K318" i="13"/>
  <c r="H318" i="13"/>
  <c r="G275" i="15" s="1"/>
  <c r="N317" i="13"/>
  <c r="M317" i="13"/>
  <c r="L317" i="13"/>
  <c r="K317" i="13"/>
  <c r="I317" i="13"/>
  <c r="J317" i="13" s="1"/>
  <c r="H317" i="13"/>
  <c r="G274" i="15" s="1"/>
  <c r="N316" i="13"/>
  <c r="M316" i="13"/>
  <c r="L316" i="13"/>
  <c r="K316" i="13"/>
  <c r="H316" i="13"/>
  <c r="N315" i="13"/>
  <c r="M315" i="13"/>
  <c r="L315" i="13"/>
  <c r="K315" i="13"/>
  <c r="J315" i="13"/>
  <c r="H315" i="13"/>
  <c r="G272" i="15" s="1"/>
  <c r="N314" i="13"/>
  <c r="M314" i="13"/>
  <c r="L314" i="13"/>
  <c r="K314" i="13"/>
  <c r="H314" i="13"/>
  <c r="G271" i="15" s="1"/>
  <c r="N313" i="13"/>
  <c r="M313" i="13"/>
  <c r="L313" i="13"/>
  <c r="K313" i="13"/>
  <c r="N312" i="13"/>
  <c r="M312" i="13"/>
  <c r="L312" i="13"/>
  <c r="K312" i="13"/>
  <c r="I312" i="13"/>
  <c r="H312" i="13"/>
  <c r="N311" i="13"/>
  <c r="M311" i="13"/>
  <c r="L311" i="13"/>
  <c r="K311" i="13"/>
  <c r="I311" i="13"/>
  <c r="H311" i="13"/>
  <c r="G269" i="15" s="1"/>
  <c r="N310" i="13"/>
  <c r="M310" i="13"/>
  <c r="L310" i="13"/>
  <c r="K310" i="13"/>
  <c r="I310" i="13"/>
  <c r="H310" i="13"/>
  <c r="G268" i="15" s="1"/>
  <c r="N309" i="13"/>
  <c r="M309" i="13"/>
  <c r="L309" i="13"/>
  <c r="K309" i="13"/>
  <c r="J309" i="13"/>
  <c r="I309" i="13"/>
  <c r="H309" i="13"/>
  <c r="G267" i="15" s="1"/>
  <c r="N308" i="13"/>
  <c r="M308" i="13"/>
  <c r="L308" i="13"/>
  <c r="K308" i="13"/>
  <c r="I308" i="13"/>
  <c r="J308" i="13" s="1"/>
  <c r="H308" i="13"/>
  <c r="G266" i="15" s="1"/>
  <c r="N307" i="13"/>
  <c r="M307" i="13"/>
  <c r="L307" i="13"/>
  <c r="K307" i="13"/>
  <c r="I307" i="13"/>
  <c r="H307" i="13"/>
  <c r="G265" i="15" s="1"/>
  <c r="N306" i="13"/>
  <c r="M306" i="13"/>
  <c r="L306" i="13"/>
  <c r="K306" i="13"/>
  <c r="I306" i="13"/>
  <c r="H306" i="13"/>
  <c r="G264" i="15" s="1"/>
  <c r="N305" i="13"/>
  <c r="M305" i="13"/>
  <c r="L305" i="13"/>
  <c r="K305" i="13"/>
  <c r="J305" i="13"/>
  <c r="I305" i="13"/>
  <c r="H305" i="13"/>
  <c r="G263" i="15" s="1"/>
  <c r="N304" i="13"/>
  <c r="M304" i="13"/>
  <c r="L304" i="13"/>
  <c r="K304" i="13"/>
  <c r="I304" i="13"/>
  <c r="J304" i="13" s="1"/>
  <c r="H304" i="13"/>
  <c r="G262" i="15" s="1"/>
  <c r="N303" i="13"/>
  <c r="M303" i="13"/>
  <c r="L303" i="13"/>
  <c r="K303" i="13"/>
  <c r="I303" i="13"/>
  <c r="H303" i="13"/>
  <c r="G261" i="15" s="1"/>
  <c r="N302" i="13"/>
  <c r="M302" i="13"/>
  <c r="L302" i="13"/>
  <c r="K302" i="13"/>
  <c r="I302" i="13"/>
  <c r="H302" i="13"/>
  <c r="G260" i="15" s="1"/>
  <c r="N301" i="13"/>
  <c r="M301" i="13"/>
  <c r="L301" i="13"/>
  <c r="K301" i="13"/>
  <c r="J301" i="13"/>
  <c r="I301" i="13"/>
  <c r="H301" i="13"/>
  <c r="G259" i="15" s="1"/>
  <c r="N300" i="13"/>
  <c r="M300" i="13"/>
  <c r="L300" i="13"/>
  <c r="K300" i="13"/>
  <c r="I300" i="13"/>
  <c r="J300" i="13" s="1"/>
  <c r="H300" i="13"/>
  <c r="G258" i="15" s="1"/>
  <c r="N299" i="13"/>
  <c r="M299" i="13"/>
  <c r="L299" i="13"/>
  <c r="K299" i="13"/>
  <c r="I299" i="13"/>
  <c r="H299" i="13"/>
  <c r="G257" i="15" s="1"/>
  <c r="N298" i="13"/>
  <c r="M298" i="13"/>
  <c r="L298" i="13"/>
  <c r="K298" i="13"/>
  <c r="I298" i="13"/>
  <c r="H298" i="13"/>
  <c r="G256" i="15" s="1"/>
  <c r="N297" i="13"/>
  <c r="M297" i="13"/>
  <c r="L297" i="13"/>
  <c r="K297" i="13"/>
  <c r="J297" i="13"/>
  <c r="I297" i="13"/>
  <c r="H297" i="13"/>
  <c r="G255" i="15" s="1"/>
  <c r="N296" i="13"/>
  <c r="M296" i="13"/>
  <c r="L296" i="13"/>
  <c r="K296" i="13"/>
  <c r="I296" i="13"/>
  <c r="J296" i="13" s="1"/>
  <c r="H296" i="13"/>
  <c r="G254" i="15" s="1"/>
  <c r="N295" i="13"/>
  <c r="M295" i="13"/>
  <c r="L295" i="13"/>
  <c r="K295" i="13"/>
  <c r="I295" i="13"/>
  <c r="H295" i="13"/>
  <c r="G253" i="15" s="1"/>
  <c r="N294" i="13"/>
  <c r="M294" i="13"/>
  <c r="L294" i="13"/>
  <c r="K294" i="13"/>
  <c r="I294" i="13"/>
  <c r="H294" i="13"/>
  <c r="G252" i="15" s="1"/>
  <c r="N293" i="13"/>
  <c r="M293" i="13"/>
  <c r="L293" i="13"/>
  <c r="K293" i="13"/>
  <c r="J293" i="13"/>
  <c r="I293" i="13"/>
  <c r="H293" i="13"/>
  <c r="G251" i="15" s="1"/>
  <c r="N292" i="13"/>
  <c r="M292" i="13"/>
  <c r="L292" i="13"/>
  <c r="K292" i="13"/>
  <c r="I292" i="13"/>
  <c r="J292" i="13" s="1"/>
  <c r="H292" i="13"/>
  <c r="G250" i="15" s="1"/>
  <c r="N291" i="13"/>
  <c r="M291" i="13"/>
  <c r="L291" i="13"/>
  <c r="K291" i="13"/>
  <c r="I291" i="13"/>
  <c r="H291" i="13"/>
  <c r="G249" i="15" s="1"/>
  <c r="N290" i="13"/>
  <c r="M290" i="13"/>
  <c r="L290" i="13"/>
  <c r="K290" i="13"/>
  <c r="I290" i="13"/>
  <c r="H290" i="13"/>
  <c r="G248" i="15" s="1"/>
  <c r="N289" i="13"/>
  <c r="M289" i="13"/>
  <c r="L289" i="13"/>
  <c r="K289" i="13"/>
  <c r="J289" i="13"/>
  <c r="I289" i="13"/>
  <c r="H289" i="13"/>
  <c r="G247" i="15" s="1"/>
  <c r="N288" i="13"/>
  <c r="M288" i="13"/>
  <c r="L288" i="13"/>
  <c r="K288" i="13"/>
  <c r="I288" i="13"/>
  <c r="J288" i="13" s="1"/>
  <c r="H288" i="13"/>
  <c r="G246" i="15" s="1"/>
  <c r="N287" i="13"/>
  <c r="M287" i="13"/>
  <c r="L287" i="13"/>
  <c r="K287" i="13"/>
  <c r="I287" i="13"/>
  <c r="H287" i="13"/>
  <c r="J287" i="13" s="1"/>
  <c r="N286" i="13"/>
  <c r="M286" i="13"/>
  <c r="L286" i="13"/>
  <c r="K286" i="13"/>
  <c r="I286" i="13"/>
  <c r="H286" i="13"/>
  <c r="G245" i="15" s="1"/>
  <c r="N285" i="13"/>
  <c r="M285" i="13"/>
  <c r="L285" i="13"/>
  <c r="K285" i="13"/>
  <c r="J285" i="13"/>
  <c r="I285" i="13"/>
  <c r="H285" i="13"/>
  <c r="G244" i="15" s="1"/>
  <c r="N284" i="13"/>
  <c r="M284" i="13"/>
  <c r="L284" i="13"/>
  <c r="K284" i="13"/>
  <c r="I284" i="13"/>
  <c r="J284" i="13" s="1"/>
  <c r="H284" i="13"/>
  <c r="G243" i="15" s="1"/>
  <c r="N283" i="13"/>
  <c r="M283" i="13"/>
  <c r="L283" i="13"/>
  <c r="K283" i="13"/>
  <c r="I283" i="13"/>
  <c r="H283" i="13"/>
  <c r="G242" i="15" s="1"/>
  <c r="N282" i="13"/>
  <c r="M282" i="13"/>
  <c r="L282" i="13"/>
  <c r="K282" i="13"/>
  <c r="I282" i="13"/>
  <c r="H282" i="13"/>
  <c r="J282" i="13" s="1"/>
  <c r="N281" i="13"/>
  <c r="M281" i="13"/>
  <c r="L281" i="13"/>
  <c r="K281" i="13"/>
  <c r="J281" i="13"/>
  <c r="I281" i="13"/>
  <c r="H281" i="13"/>
  <c r="G241" i="15" s="1"/>
  <c r="N280" i="13"/>
  <c r="M280" i="13"/>
  <c r="L280" i="13"/>
  <c r="K280" i="13"/>
  <c r="I280" i="13"/>
  <c r="J280" i="13" s="1"/>
  <c r="H280" i="13"/>
  <c r="G240" i="15" s="1"/>
  <c r="N279" i="13"/>
  <c r="M279" i="13"/>
  <c r="L279" i="13"/>
  <c r="K279" i="13"/>
  <c r="I279" i="13"/>
  <c r="H279" i="13"/>
  <c r="G239" i="15" s="1"/>
  <c r="N278" i="13"/>
  <c r="M278" i="13"/>
  <c r="L278" i="13"/>
  <c r="K278" i="13"/>
  <c r="I278" i="13"/>
  <c r="H278" i="13"/>
  <c r="G238" i="15" s="1"/>
  <c r="N277" i="13"/>
  <c r="M277" i="13"/>
  <c r="L277" i="13"/>
  <c r="K277" i="13"/>
  <c r="J277" i="13"/>
  <c r="I277" i="13"/>
  <c r="H277" i="13"/>
  <c r="N276" i="13"/>
  <c r="M276" i="13"/>
  <c r="L276" i="13"/>
  <c r="K276" i="13"/>
  <c r="I276" i="13"/>
  <c r="J276" i="13" s="1"/>
  <c r="H276" i="13"/>
  <c r="G237" i="15" s="1"/>
  <c r="N275" i="13"/>
  <c r="M275" i="13"/>
  <c r="L275" i="13"/>
  <c r="K275" i="13"/>
  <c r="I275" i="13"/>
  <c r="H275" i="13"/>
  <c r="G236" i="15" s="1"/>
  <c r="N274" i="13"/>
  <c r="M274" i="13"/>
  <c r="L274" i="13"/>
  <c r="K274" i="13"/>
  <c r="I274" i="13"/>
  <c r="H274" i="13"/>
  <c r="G235" i="15" s="1"/>
  <c r="N273" i="13"/>
  <c r="M273" i="13"/>
  <c r="L273" i="13"/>
  <c r="K273" i="13"/>
  <c r="J273" i="13"/>
  <c r="I273" i="13"/>
  <c r="H273" i="13"/>
  <c r="N272" i="13"/>
  <c r="M272" i="13"/>
  <c r="L272" i="13"/>
  <c r="K272" i="13"/>
  <c r="I272" i="13"/>
  <c r="J272" i="13" s="1"/>
  <c r="H272" i="13"/>
  <c r="G234" i="15" s="1"/>
  <c r="N271" i="13"/>
  <c r="M271" i="13"/>
  <c r="L271" i="13"/>
  <c r="K271" i="13"/>
  <c r="I271" i="13"/>
  <c r="H271" i="13"/>
  <c r="G233" i="15" s="1"/>
  <c r="N270" i="13"/>
  <c r="M270" i="13"/>
  <c r="L270" i="13"/>
  <c r="K270" i="13"/>
  <c r="I270" i="13"/>
  <c r="H270" i="13"/>
  <c r="G232" i="15" s="1"/>
  <c r="N269" i="13"/>
  <c r="M269" i="13"/>
  <c r="L269" i="13"/>
  <c r="K269" i="13"/>
  <c r="J269" i="13"/>
  <c r="I269" i="13"/>
  <c r="H269" i="13"/>
  <c r="G231" i="15" s="1"/>
  <c r="N268" i="13"/>
  <c r="M268" i="13"/>
  <c r="L268" i="13"/>
  <c r="K268" i="13"/>
  <c r="I268" i="13"/>
  <c r="J268" i="13" s="1"/>
  <c r="H268" i="13"/>
  <c r="G230" i="15" s="1"/>
  <c r="N267" i="13"/>
  <c r="M267" i="13"/>
  <c r="L267" i="13"/>
  <c r="K267" i="13"/>
  <c r="I267" i="13"/>
  <c r="H267" i="13"/>
  <c r="G229" i="15" s="1"/>
  <c r="N266" i="13"/>
  <c r="M266" i="13"/>
  <c r="L266" i="13"/>
  <c r="K266" i="13"/>
  <c r="I266" i="13"/>
  <c r="H266" i="13"/>
  <c r="G228" i="15" s="1"/>
  <c r="N265" i="13"/>
  <c r="M265" i="13"/>
  <c r="L265" i="13"/>
  <c r="K265" i="13"/>
  <c r="J265" i="13"/>
  <c r="I265" i="13"/>
  <c r="H265" i="13"/>
  <c r="G227" i="15" s="1"/>
  <c r="N264" i="13"/>
  <c r="M264" i="13"/>
  <c r="L264" i="13"/>
  <c r="K264" i="13"/>
  <c r="I264" i="13"/>
  <c r="J264" i="13" s="1"/>
  <c r="H264" i="13"/>
  <c r="G226" i="15" s="1"/>
  <c r="N263" i="13"/>
  <c r="M263" i="13"/>
  <c r="L263" i="13"/>
  <c r="K263" i="13"/>
  <c r="I263" i="13"/>
  <c r="H263" i="13"/>
  <c r="J263" i="13" s="1"/>
  <c r="N262" i="13"/>
  <c r="M262" i="13"/>
  <c r="L262" i="13"/>
  <c r="K262" i="13"/>
  <c r="I262" i="13"/>
  <c r="H262" i="13"/>
  <c r="G225" i="15" s="1"/>
  <c r="N261" i="13"/>
  <c r="M261" i="13"/>
  <c r="L261" i="13"/>
  <c r="K261" i="13"/>
  <c r="J261" i="13"/>
  <c r="I261" i="13"/>
  <c r="H261" i="13"/>
  <c r="N260" i="13"/>
  <c r="M260" i="13"/>
  <c r="L260" i="13"/>
  <c r="K260" i="13"/>
  <c r="I260" i="13"/>
  <c r="J260" i="13" s="1"/>
  <c r="H260" i="13"/>
  <c r="G224" i="15" s="1"/>
  <c r="N259" i="13"/>
  <c r="M259" i="13"/>
  <c r="L259" i="13"/>
  <c r="K259" i="13"/>
  <c r="I259" i="13"/>
  <c r="H259" i="13"/>
  <c r="J259" i="13" s="1"/>
  <c r="N258" i="13"/>
  <c r="M258" i="13"/>
  <c r="L258" i="13"/>
  <c r="K258" i="13"/>
  <c r="I258" i="13"/>
  <c r="H258" i="13"/>
  <c r="G223" i="15" s="1"/>
  <c r="N257" i="13"/>
  <c r="M257" i="13"/>
  <c r="L257" i="13"/>
  <c r="K257" i="13"/>
  <c r="J257" i="13"/>
  <c r="I257" i="13"/>
  <c r="H257" i="13"/>
  <c r="G222" i="15" s="1"/>
  <c r="N256" i="13"/>
  <c r="M256" i="13"/>
  <c r="L256" i="13"/>
  <c r="K256" i="13"/>
  <c r="I256" i="13"/>
  <c r="J256" i="13" s="1"/>
  <c r="H256" i="13"/>
  <c r="G221" i="15" s="1"/>
  <c r="N255" i="13"/>
  <c r="M255" i="13"/>
  <c r="L255" i="13"/>
  <c r="K255" i="13"/>
  <c r="I255" i="13"/>
  <c r="H255" i="13"/>
  <c r="G220" i="15" s="1"/>
  <c r="N254" i="13"/>
  <c r="M254" i="13"/>
  <c r="L254" i="13"/>
  <c r="K254" i="13"/>
  <c r="I254" i="13"/>
  <c r="H254" i="13"/>
  <c r="G219" i="15" s="1"/>
  <c r="N253" i="13"/>
  <c r="M253" i="13"/>
  <c r="L253" i="13"/>
  <c r="K253" i="13"/>
  <c r="J253" i="13"/>
  <c r="I253" i="13"/>
  <c r="H253" i="13"/>
  <c r="N252" i="13"/>
  <c r="M252" i="13"/>
  <c r="L252" i="13"/>
  <c r="K252" i="13"/>
  <c r="I252" i="13"/>
  <c r="J252" i="13" s="1"/>
  <c r="H252" i="13"/>
  <c r="G218" i="15" s="1"/>
  <c r="N251" i="13"/>
  <c r="M251" i="13"/>
  <c r="L251" i="13"/>
  <c r="K251" i="13"/>
  <c r="I251" i="13"/>
  <c r="H251" i="13"/>
  <c r="G217" i="15" s="1"/>
  <c r="N250" i="13"/>
  <c r="M250" i="13"/>
  <c r="L250" i="13"/>
  <c r="K250" i="13"/>
  <c r="I250" i="13"/>
  <c r="H250" i="13"/>
  <c r="G216" i="15" s="1"/>
  <c r="N249" i="13"/>
  <c r="M249" i="13"/>
  <c r="L249" i="13"/>
  <c r="K249" i="13"/>
  <c r="J249" i="13"/>
  <c r="I249" i="13"/>
  <c r="H249" i="13"/>
  <c r="G215" i="15" s="1"/>
  <c r="N248" i="13"/>
  <c r="M248" i="13"/>
  <c r="L248" i="13"/>
  <c r="K248" i="13"/>
  <c r="I248" i="13"/>
  <c r="J248" i="13" s="1"/>
  <c r="H248" i="13"/>
  <c r="G214" i="15" s="1"/>
  <c r="N247" i="13"/>
  <c r="M247" i="13"/>
  <c r="L247" i="13"/>
  <c r="K247" i="13"/>
  <c r="I247" i="13"/>
  <c r="H247" i="13"/>
  <c r="G213" i="15" s="1"/>
  <c r="N246" i="13"/>
  <c r="M246" i="13"/>
  <c r="L246" i="13"/>
  <c r="K246" i="13"/>
  <c r="I246" i="13"/>
  <c r="H246" i="13"/>
  <c r="G212" i="15" s="1"/>
  <c r="N245" i="13"/>
  <c r="M245" i="13"/>
  <c r="L245" i="13"/>
  <c r="K245" i="13"/>
  <c r="J245" i="13"/>
  <c r="I245" i="13"/>
  <c r="H245" i="13"/>
  <c r="G211" i="15" s="1"/>
  <c r="N244" i="13"/>
  <c r="M244" i="13"/>
  <c r="L244" i="13"/>
  <c r="K244" i="13"/>
  <c r="I244" i="13"/>
  <c r="J244" i="13" s="1"/>
  <c r="H244" i="13"/>
  <c r="G210" i="15" s="1"/>
  <c r="N243" i="13"/>
  <c r="M243" i="13"/>
  <c r="L243" i="13"/>
  <c r="K243" i="13"/>
  <c r="I243" i="13"/>
  <c r="H243" i="13"/>
  <c r="G209" i="15" s="1"/>
  <c r="N242" i="13"/>
  <c r="M242" i="13"/>
  <c r="L242" i="13"/>
  <c r="K242" i="13"/>
  <c r="I242" i="13"/>
  <c r="H242" i="13"/>
  <c r="G208" i="15" s="1"/>
  <c r="N241" i="13"/>
  <c r="M241" i="13"/>
  <c r="L241" i="13"/>
  <c r="K241" i="13"/>
  <c r="J241" i="13"/>
  <c r="I241" i="13"/>
  <c r="H241" i="13"/>
  <c r="G207" i="15" s="1"/>
  <c r="N240" i="13"/>
  <c r="M240" i="13"/>
  <c r="L240" i="13"/>
  <c r="K240" i="13"/>
  <c r="I240" i="13"/>
  <c r="J240" i="13" s="1"/>
  <c r="H240" i="13"/>
  <c r="G206" i="15" s="1"/>
  <c r="N239" i="13"/>
  <c r="M239" i="13"/>
  <c r="L239" i="13"/>
  <c r="K239" i="13"/>
  <c r="I239" i="13"/>
  <c r="H239" i="13"/>
  <c r="G205" i="15" s="1"/>
  <c r="N238" i="13"/>
  <c r="M238" i="13"/>
  <c r="L238" i="13"/>
  <c r="K238" i="13"/>
  <c r="I238" i="13"/>
  <c r="H238" i="13"/>
  <c r="G204" i="15" s="1"/>
  <c r="N237" i="13"/>
  <c r="M237" i="13"/>
  <c r="L237" i="13"/>
  <c r="K237" i="13"/>
  <c r="J237" i="13"/>
  <c r="I237" i="13"/>
  <c r="H237" i="13"/>
  <c r="G203" i="15" s="1"/>
  <c r="N236" i="13"/>
  <c r="M236" i="13"/>
  <c r="L236" i="13"/>
  <c r="K236" i="13"/>
  <c r="I236" i="13"/>
  <c r="J236" i="13" s="1"/>
  <c r="H236" i="13"/>
  <c r="G202" i="15" s="1"/>
  <c r="N235" i="13"/>
  <c r="M235" i="13"/>
  <c r="L235" i="13"/>
  <c r="K235" i="13"/>
  <c r="I235" i="13"/>
  <c r="H235" i="13"/>
  <c r="G201" i="15" s="1"/>
  <c r="N234" i="13"/>
  <c r="M234" i="13"/>
  <c r="L234" i="13"/>
  <c r="K234" i="13"/>
  <c r="I234" i="13"/>
  <c r="H234" i="13"/>
  <c r="J234" i="13" s="1"/>
  <c r="N233" i="13"/>
  <c r="M233" i="13"/>
  <c r="L233" i="13"/>
  <c r="K233" i="13"/>
  <c r="J233" i="13"/>
  <c r="I233" i="13"/>
  <c r="H233" i="13"/>
  <c r="G200" i="15" s="1"/>
  <c r="N232" i="13"/>
  <c r="M232" i="13"/>
  <c r="L232" i="13"/>
  <c r="K232" i="13"/>
  <c r="I232" i="13"/>
  <c r="J232" i="13" s="1"/>
  <c r="H232" i="13"/>
  <c r="G199" i="15" s="1"/>
  <c r="N231" i="13"/>
  <c r="M231" i="13"/>
  <c r="L231" i="13"/>
  <c r="K231" i="13"/>
  <c r="I231" i="13"/>
  <c r="H231" i="13"/>
  <c r="J231" i="13" s="1"/>
  <c r="N230" i="13"/>
  <c r="M230" i="13"/>
  <c r="L230" i="13"/>
  <c r="K230" i="13"/>
  <c r="I230" i="13"/>
  <c r="H230" i="13"/>
  <c r="G198" i="15" s="1"/>
  <c r="N229" i="13"/>
  <c r="M229" i="13"/>
  <c r="L229" i="13"/>
  <c r="K229" i="13"/>
  <c r="J229" i="13"/>
  <c r="I229" i="13"/>
  <c r="H229" i="13"/>
  <c r="G197" i="15" s="1"/>
  <c r="N228" i="13"/>
  <c r="M228" i="13"/>
  <c r="L228" i="13"/>
  <c r="K228" i="13"/>
  <c r="I228" i="13"/>
  <c r="J228" i="13" s="1"/>
  <c r="H228" i="13"/>
  <c r="N227" i="13"/>
  <c r="M227" i="13"/>
  <c r="L227" i="13"/>
  <c r="K227" i="13"/>
  <c r="I227" i="13"/>
  <c r="H227" i="13"/>
  <c r="J227" i="13" s="1"/>
  <c r="N226" i="13"/>
  <c r="M226" i="13"/>
  <c r="L226" i="13"/>
  <c r="K226" i="13"/>
  <c r="I226" i="13"/>
  <c r="H226" i="13"/>
  <c r="G196" i="15" s="1"/>
  <c r="N225" i="13"/>
  <c r="M225" i="13"/>
  <c r="L225" i="13"/>
  <c r="K225" i="13"/>
  <c r="J225" i="13"/>
  <c r="I225" i="13"/>
  <c r="H225" i="13"/>
  <c r="G195" i="15" s="1"/>
  <c r="N224" i="13"/>
  <c r="M224" i="13"/>
  <c r="L224" i="13"/>
  <c r="K224" i="13"/>
  <c r="I224" i="13"/>
  <c r="J224" i="13" s="1"/>
  <c r="H224" i="13"/>
  <c r="G194" i="15" s="1"/>
  <c r="N223" i="13"/>
  <c r="M223" i="13"/>
  <c r="L223" i="13"/>
  <c r="K223" i="13"/>
  <c r="I223" i="13"/>
  <c r="H223" i="13"/>
  <c r="G193" i="15" s="1"/>
  <c r="N222" i="13"/>
  <c r="M222" i="13"/>
  <c r="L222" i="13"/>
  <c r="K222" i="13"/>
  <c r="I222" i="13"/>
  <c r="H222" i="13"/>
  <c r="G192" i="15" s="1"/>
  <c r="N221" i="13"/>
  <c r="M221" i="13"/>
  <c r="L221" i="13"/>
  <c r="K221" i="13"/>
  <c r="J221" i="13"/>
  <c r="I221" i="13"/>
  <c r="H221" i="13"/>
  <c r="G191" i="15" s="1"/>
  <c r="N220" i="13"/>
  <c r="M220" i="13"/>
  <c r="L220" i="13"/>
  <c r="K220" i="13"/>
  <c r="I220" i="13"/>
  <c r="J220" i="13" s="1"/>
  <c r="H220" i="13"/>
  <c r="N219" i="13"/>
  <c r="M219" i="13"/>
  <c r="L219" i="13"/>
  <c r="K219" i="13"/>
  <c r="I219" i="13"/>
  <c r="H219" i="13"/>
  <c r="G190" i="15" s="1"/>
  <c r="N218" i="13"/>
  <c r="M218" i="13"/>
  <c r="L218" i="13"/>
  <c r="K218" i="13"/>
  <c r="I218" i="13"/>
  <c r="H218" i="13"/>
  <c r="G189" i="15" s="1"/>
  <c r="N217" i="13"/>
  <c r="M217" i="13"/>
  <c r="L217" i="13"/>
  <c r="K217" i="13"/>
  <c r="J217" i="13"/>
  <c r="I217" i="13"/>
  <c r="H217" i="13"/>
  <c r="G188" i="15" s="1"/>
  <c r="N216" i="13"/>
  <c r="M216" i="13"/>
  <c r="L216" i="13"/>
  <c r="K216" i="13"/>
  <c r="I216" i="13"/>
  <c r="J216" i="13" s="1"/>
  <c r="H216" i="13"/>
  <c r="G187" i="15" s="1"/>
  <c r="N215" i="13"/>
  <c r="M215" i="13"/>
  <c r="L215" i="13"/>
  <c r="K215" i="13"/>
  <c r="I215" i="13"/>
  <c r="H215" i="13"/>
  <c r="J215" i="13" s="1"/>
  <c r="N214" i="13"/>
  <c r="M214" i="13"/>
  <c r="L214" i="13"/>
  <c r="K214" i="13"/>
  <c r="I214" i="13"/>
  <c r="H214" i="13"/>
  <c r="G186" i="15" s="1"/>
  <c r="N213" i="13"/>
  <c r="M213" i="13"/>
  <c r="L213" i="13"/>
  <c r="K213" i="13"/>
  <c r="J213" i="13"/>
  <c r="I213" i="13"/>
  <c r="H213" i="13"/>
  <c r="G185" i="15" s="1"/>
  <c r="N212" i="13"/>
  <c r="M212" i="13"/>
  <c r="L212" i="13"/>
  <c r="K212" i="13"/>
  <c r="I212" i="13"/>
  <c r="J212" i="13" s="1"/>
  <c r="H212" i="13"/>
  <c r="G184" i="15" s="1"/>
  <c r="N211" i="13"/>
  <c r="M211" i="13"/>
  <c r="L211" i="13"/>
  <c r="K211" i="13"/>
  <c r="I211" i="13"/>
  <c r="H211" i="13"/>
  <c r="G183" i="15" s="1"/>
  <c r="N210" i="13"/>
  <c r="M210" i="13"/>
  <c r="L210" i="13"/>
  <c r="K210" i="13"/>
  <c r="I210" i="13"/>
  <c r="H210" i="13"/>
  <c r="G182" i="15" s="1"/>
  <c r="N209" i="13"/>
  <c r="M209" i="13"/>
  <c r="L209" i="13"/>
  <c r="K209" i="13"/>
  <c r="J209" i="13"/>
  <c r="I209" i="13"/>
  <c r="H209" i="13"/>
  <c r="G181" i="15" s="1"/>
  <c r="N208" i="13"/>
  <c r="M208" i="13"/>
  <c r="L208" i="13"/>
  <c r="K208" i="13"/>
  <c r="I208" i="13"/>
  <c r="J208" i="13" s="1"/>
  <c r="H208" i="13"/>
  <c r="G180" i="15" s="1"/>
  <c r="N207" i="13"/>
  <c r="M207" i="13"/>
  <c r="L207" i="13"/>
  <c r="K207" i="13"/>
  <c r="I207" i="13"/>
  <c r="H207" i="13"/>
  <c r="G179" i="15" s="1"/>
  <c r="N206" i="13"/>
  <c r="M206" i="13"/>
  <c r="L206" i="13"/>
  <c r="K206" i="13"/>
  <c r="I206" i="13"/>
  <c r="H206" i="13"/>
  <c r="G178" i="15" s="1"/>
  <c r="N205" i="13"/>
  <c r="M205" i="13"/>
  <c r="L205" i="13"/>
  <c r="K205" i="13"/>
  <c r="J205" i="13"/>
  <c r="I205" i="13"/>
  <c r="H205" i="13"/>
  <c r="G177" i="15" s="1"/>
  <c r="N204" i="13"/>
  <c r="M204" i="13"/>
  <c r="L204" i="13"/>
  <c r="K204" i="13"/>
  <c r="I204" i="13"/>
  <c r="J204" i="13" s="1"/>
  <c r="H204" i="13"/>
  <c r="G176" i="15" s="1"/>
  <c r="N203" i="13"/>
  <c r="M203" i="13"/>
  <c r="L203" i="13"/>
  <c r="K203" i="13"/>
  <c r="I203" i="13"/>
  <c r="H203" i="13"/>
  <c r="G175" i="15" s="1"/>
  <c r="N202" i="13"/>
  <c r="M202" i="13"/>
  <c r="L202" i="13"/>
  <c r="K202" i="13"/>
  <c r="I202" i="13"/>
  <c r="H202" i="13"/>
  <c r="G174" i="15" s="1"/>
  <c r="N201" i="13"/>
  <c r="M201" i="13"/>
  <c r="L201" i="13"/>
  <c r="K201" i="13"/>
  <c r="J201" i="13"/>
  <c r="I201" i="13"/>
  <c r="H201" i="13"/>
  <c r="G173" i="15" s="1"/>
  <c r="N200" i="13"/>
  <c r="M200" i="13"/>
  <c r="L200" i="13"/>
  <c r="K200" i="13"/>
  <c r="I200" i="13"/>
  <c r="J200" i="13" s="1"/>
  <c r="H200" i="13"/>
  <c r="G172" i="15" s="1"/>
  <c r="N199" i="13"/>
  <c r="M199" i="13"/>
  <c r="L199" i="13"/>
  <c r="K199" i="13"/>
  <c r="I199" i="13"/>
  <c r="H199" i="13"/>
  <c r="G171" i="15" s="1"/>
  <c r="N198" i="13"/>
  <c r="M198" i="13"/>
  <c r="L198" i="13"/>
  <c r="K198" i="13"/>
  <c r="I198" i="13"/>
  <c r="H198" i="13"/>
  <c r="G170" i="15" s="1"/>
  <c r="N197" i="13"/>
  <c r="M197" i="13"/>
  <c r="L197" i="13"/>
  <c r="K197" i="13"/>
  <c r="J197" i="13"/>
  <c r="I197" i="13"/>
  <c r="H197" i="13"/>
  <c r="G169" i="15" s="1"/>
  <c r="N196" i="13"/>
  <c r="M196" i="13"/>
  <c r="L196" i="13"/>
  <c r="K196" i="13"/>
  <c r="I196" i="13"/>
  <c r="J196" i="13" s="1"/>
  <c r="H196" i="13"/>
  <c r="G168" i="15" s="1"/>
  <c r="N195" i="13"/>
  <c r="M195" i="13"/>
  <c r="L195" i="13"/>
  <c r="K195" i="13"/>
  <c r="I195" i="13"/>
  <c r="H195" i="13"/>
  <c r="G167" i="15" s="1"/>
  <c r="N194" i="13"/>
  <c r="M194" i="13"/>
  <c r="L194" i="13"/>
  <c r="K194" i="13"/>
  <c r="I194" i="13"/>
  <c r="H194" i="13"/>
  <c r="G166" i="15" s="1"/>
  <c r="N193" i="13"/>
  <c r="M193" i="13"/>
  <c r="L193" i="13"/>
  <c r="K193" i="13"/>
  <c r="J193" i="13"/>
  <c r="I193" i="13"/>
  <c r="H193" i="13"/>
  <c r="G165" i="15" s="1"/>
  <c r="N192" i="13"/>
  <c r="M192" i="13"/>
  <c r="L192" i="13"/>
  <c r="K192" i="13"/>
  <c r="I192" i="13"/>
  <c r="J192" i="13" s="1"/>
  <c r="H192" i="13"/>
  <c r="G164" i="15" s="1"/>
  <c r="N191" i="13"/>
  <c r="M191" i="13"/>
  <c r="L191" i="13"/>
  <c r="K191" i="13"/>
  <c r="I191" i="13"/>
  <c r="H191" i="13"/>
  <c r="J191" i="13" s="1"/>
  <c r="N190" i="13"/>
  <c r="M190" i="13"/>
  <c r="L190" i="13"/>
  <c r="K190" i="13"/>
  <c r="I190" i="13"/>
  <c r="H190" i="13"/>
  <c r="G163" i="15" s="1"/>
  <c r="N189" i="13"/>
  <c r="M189" i="13"/>
  <c r="L189" i="13"/>
  <c r="K189" i="13"/>
  <c r="J189" i="13"/>
  <c r="I189" i="13"/>
  <c r="H189" i="13"/>
  <c r="G162" i="15" s="1"/>
  <c r="N188" i="13"/>
  <c r="M188" i="13"/>
  <c r="L188" i="13"/>
  <c r="K188" i="13"/>
  <c r="I188" i="13"/>
  <c r="J188" i="13" s="1"/>
  <c r="H188" i="13"/>
  <c r="G161" i="15" s="1"/>
  <c r="N187" i="13"/>
  <c r="M187" i="13"/>
  <c r="L187" i="13"/>
  <c r="K187" i="13"/>
  <c r="I187" i="13"/>
  <c r="H187" i="13"/>
  <c r="G160" i="15" s="1"/>
  <c r="N186" i="13"/>
  <c r="M186" i="13"/>
  <c r="L186" i="13"/>
  <c r="K186" i="13"/>
  <c r="I186" i="13"/>
  <c r="H186" i="13"/>
  <c r="G159" i="15" s="1"/>
  <c r="N185" i="13"/>
  <c r="M185" i="13"/>
  <c r="L185" i="13"/>
  <c r="K185" i="13"/>
  <c r="J185" i="13"/>
  <c r="I185" i="13"/>
  <c r="H185" i="13"/>
  <c r="G158" i="15" s="1"/>
  <c r="N184" i="13"/>
  <c r="M184" i="13"/>
  <c r="L184" i="13"/>
  <c r="K184" i="13"/>
  <c r="I184" i="13"/>
  <c r="J184" i="13" s="1"/>
  <c r="H184" i="13"/>
  <c r="G157" i="15" s="1"/>
  <c r="N183" i="13"/>
  <c r="M183" i="13"/>
  <c r="L183" i="13"/>
  <c r="K183" i="13"/>
  <c r="I183" i="13"/>
  <c r="H183" i="13"/>
  <c r="G156" i="15" s="1"/>
  <c r="N182" i="13"/>
  <c r="M182" i="13"/>
  <c r="L182" i="13"/>
  <c r="K182" i="13"/>
  <c r="I182" i="13"/>
  <c r="H182" i="13"/>
  <c r="G155" i="15" s="1"/>
  <c r="N181" i="13"/>
  <c r="M181" i="13"/>
  <c r="L181" i="13"/>
  <c r="K181" i="13"/>
  <c r="J181" i="13"/>
  <c r="I181" i="13"/>
  <c r="H181" i="13"/>
  <c r="G154" i="15" s="1"/>
  <c r="N180" i="13"/>
  <c r="M180" i="13"/>
  <c r="L180" i="13"/>
  <c r="K180" i="13"/>
  <c r="I180" i="13"/>
  <c r="J180" i="13" s="1"/>
  <c r="H180" i="13"/>
  <c r="G153" i="15" s="1"/>
  <c r="N179" i="13"/>
  <c r="M179" i="13"/>
  <c r="L179" i="13"/>
  <c r="K179" i="13"/>
  <c r="I179" i="13"/>
  <c r="H179" i="13"/>
  <c r="G152" i="15" s="1"/>
  <c r="N178" i="13"/>
  <c r="M178" i="13"/>
  <c r="L178" i="13"/>
  <c r="K178" i="13"/>
  <c r="I178" i="13"/>
  <c r="H178" i="13"/>
  <c r="G151" i="15" s="1"/>
  <c r="N177" i="13"/>
  <c r="M177" i="13"/>
  <c r="L177" i="13"/>
  <c r="K177" i="13"/>
  <c r="J177" i="13"/>
  <c r="I177" i="13"/>
  <c r="H177" i="13"/>
  <c r="G150" i="15" s="1"/>
  <c r="N176" i="13"/>
  <c r="M176" i="13"/>
  <c r="L176" i="13"/>
  <c r="K176" i="13"/>
  <c r="I176" i="13"/>
  <c r="J176" i="13" s="1"/>
  <c r="H176" i="13"/>
  <c r="G149" i="15" s="1"/>
  <c r="N175" i="13"/>
  <c r="M175" i="13"/>
  <c r="L175" i="13"/>
  <c r="K175" i="13"/>
  <c r="I175" i="13"/>
  <c r="H175" i="13"/>
  <c r="G148" i="15" s="1"/>
  <c r="N174" i="13"/>
  <c r="M174" i="13"/>
  <c r="L174" i="13"/>
  <c r="K174" i="13"/>
  <c r="I174" i="13"/>
  <c r="H174" i="13"/>
  <c r="G147" i="15" s="1"/>
  <c r="N173" i="13"/>
  <c r="M173" i="13"/>
  <c r="L173" i="13"/>
  <c r="K173" i="13"/>
  <c r="J173" i="13"/>
  <c r="I173" i="13"/>
  <c r="H173" i="13"/>
  <c r="G146" i="15" s="1"/>
  <c r="N172" i="13"/>
  <c r="M172" i="13"/>
  <c r="L172" i="13"/>
  <c r="K172" i="13"/>
  <c r="I172" i="13"/>
  <c r="J172" i="13" s="1"/>
  <c r="H172" i="13"/>
  <c r="N171" i="13"/>
  <c r="M171" i="13"/>
  <c r="L171" i="13"/>
  <c r="K171" i="13"/>
  <c r="I171" i="13"/>
  <c r="H171" i="13"/>
  <c r="G145" i="15" s="1"/>
  <c r="N170" i="13"/>
  <c r="M170" i="13"/>
  <c r="L170" i="13"/>
  <c r="K170" i="13"/>
  <c r="I170" i="13"/>
  <c r="H170" i="13"/>
  <c r="G144" i="15" s="1"/>
  <c r="N169" i="13"/>
  <c r="M169" i="13"/>
  <c r="L169" i="13"/>
  <c r="K169" i="13"/>
  <c r="J169" i="13"/>
  <c r="I169" i="13"/>
  <c r="H169" i="13"/>
  <c r="G143" i="15" s="1"/>
  <c r="N168" i="13"/>
  <c r="M168" i="13"/>
  <c r="L168" i="13"/>
  <c r="K168" i="13"/>
  <c r="I168" i="13"/>
  <c r="J168" i="13" s="1"/>
  <c r="H168" i="13"/>
  <c r="G142" i="15" s="1"/>
  <c r="N167" i="13"/>
  <c r="M167" i="13"/>
  <c r="L167" i="13"/>
  <c r="K167" i="13"/>
  <c r="I167" i="13"/>
  <c r="H167" i="13"/>
  <c r="G141" i="15" s="1"/>
  <c r="N166" i="13"/>
  <c r="M166" i="13"/>
  <c r="L166" i="13"/>
  <c r="K166" i="13"/>
  <c r="I166" i="13"/>
  <c r="H166" i="13"/>
  <c r="G140" i="15" s="1"/>
  <c r="N165" i="13"/>
  <c r="M165" i="13"/>
  <c r="L165" i="13"/>
  <c r="K165" i="13"/>
  <c r="J165" i="13"/>
  <c r="I165" i="13"/>
  <c r="H165" i="13"/>
  <c r="G139" i="15" s="1"/>
  <c r="N164" i="13"/>
  <c r="M164" i="13"/>
  <c r="L164" i="13"/>
  <c r="K164" i="13"/>
  <c r="I164" i="13"/>
  <c r="J164" i="13" s="1"/>
  <c r="H164" i="13"/>
  <c r="G138" i="15" s="1"/>
  <c r="N163" i="13"/>
  <c r="M163" i="13"/>
  <c r="L163" i="13"/>
  <c r="K163" i="13"/>
  <c r="I163" i="13"/>
  <c r="H163" i="13"/>
  <c r="G137" i="15" s="1"/>
  <c r="N162" i="13"/>
  <c r="M162" i="13"/>
  <c r="L162" i="13"/>
  <c r="K162" i="13"/>
  <c r="I162" i="13"/>
  <c r="H162" i="13"/>
  <c r="G136" i="15" s="1"/>
  <c r="N161" i="13"/>
  <c r="M161" i="13"/>
  <c r="L161" i="13"/>
  <c r="K161" i="13"/>
  <c r="J161" i="13"/>
  <c r="I161" i="13"/>
  <c r="H161" i="13"/>
  <c r="G135" i="15" s="1"/>
  <c r="N160" i="13"/>
  <c r="M160" i="13"/>
  <c r="L160" i="13"/>
  <c r="K160" i="13"/>
  <c r="I160" i="13"/>
  <c r="J160" i="13" s="1"/>
  <c r="H160" i="13"/>
  <c r="G134" i="15" s="1"/>
  <c r="N159" i="13"/>
  <c r="M159" i="13"/>
  <c r="L159" i="13"/>
  <c r="K159" i="13"/>
  <c r="I159" i="13"/>
  <c r="H159" i="13"/>
  <c r="J159" i="13" s="1"/>
  <c r="N158" i="13"/>
  <c r="M158" i="13"/>
  <c r="L158" i="13"/>
  <c r="K158" i="13"/>
  <c r="I158" i="13"/>
  <c r="H158" i="13"/>
  <c r="G133" i="15" s="1"/>
  <c r="N157" i="13"/>
  <c r="M157" i="13"/>
  <c r="L157" i="13"/>
  <c r="K157" i="13"/>
  <c r="J157" i="13"/>
  <c r="I157" i="13"/>
  <c r="H157" i="13"/>
  <c r="G132" i="15" s="1"/>
  <c r="N156" i="13"/>
  <c r="M156" i="13"/>
  <c r="L156" i="13"/>
  <c r="K156" i="13"/>
  <c r="I156" i="13"/>
  <c r="J156" i="13" s="1"/>
  <c r="H156" i="13"/>
  <c r="G131" i="15" s="1"/>
  <c r="N155" i="13"/>
  <c r="M155" i="13"/>
  <c r="L155" i="13"/>
  <c r="K155" i="13"/>
  <c r="I155" i="13"/>
  <c r="H155" i="13"/>
  <c r="G130" i="15" s="1"/>
  <c r="N154" i="13"/>
  <c r="M154" i="13"/>
  <c r="L154" i="13"/>
  <c r="K154" i="13"/>
  <c r="I154" i="13"/>
  <c r="H154" i="13"/>
  <c r="G129" i="15" s="1"/>
  <c r="N153" i="13"/>
  <c r="M153" i="13"/>
  <c r="L153" i="13"/>
  <c r="K153" i="13"/>
  <c r="J153" i="13"/>
  <c r="I153" i="13"/>
  <c r="H153" i="13"/>
  <c r="G128" i="15" s="1"/>
  <c r="N152" i="13"/>
  <c r="M152" i="13"/>
  <c r="L152" i="13"/>
  <c r="K152" i="13"/>
  <c r="I152" i="13"/>
  <c r="J152" i="13" s="1"/>
  <c r="H152" i="13"/>
  <c r="N151" i="13"/>
  <c r="M151" i="13"/>
  <c r="L151" i="13"/>
  <c r="K151" i="13"/>
  <c r="I151" i="13"/>
  <c r="H151" i="13"/>
  <c r="J151" i="13" s="1"/>
  <c r="N150" i="13"/>
  <c r="M150" i="13"/>
  <c r="L150" i="13"/>
  <c r="K150" i="13"/>
  <c r="I150" i="13"/>
  <c r="H150" i="13"/>
  <c r="G127" i="15" s="1"/>
  <c r="N149" i="13"/>
  <c r="M149" i="13"/>
  <c r="L149" i="13"/>
  <c r="K149" i="13"/>
  <c r="J149" i="13"/>
  <c r="I149" i="13"/>
  <c r="H149" i="13"/>
  <c r="G126" i="15" s="1"/>
  <c r="N148" i="13"/>
  <c r="M148" i="13"/>
  <c r="L148" i="13"/>
  <c r="K148" i="13"/>
  <c r="I148" i="13"/>
  <c r="J148" i="13" s="1"/>
  <c r="H148" i="13"/>
  <c r="G125" i="15" s="1"/>
  <c r="N147" i="13"/>
  <c r="M147" i="13"/>
  <c r="L147" i="13"/>
  <c r="K147" i="13"/>
  <c r="I147" i="13"/>
  <c r="H147" i="13"/>
  <c r="G124" i="15" s="1"/>
  <c r="N146" i="13"/>
  <c r="M146" i="13"/>
  <c r="L146" i="13"/>
  <c r="K146" i="13"/>
  <c r="I146" i="13"/>
  <c r="H146" i="13"/>
  <c r="G123" i="15" s="1"/>
  <c r="N145" i="13"/>
  <c r="M145" i="13"/>
  <c r="L145" i="13"/>
  <c r="K145" i="13"/>
  <c r="J145" i="13"/>
  <c r="I145" i="13"/>
  <c r="H145" i="13"/>
  <c r="G122" i="15" s="1"/>
  <c r="N144" i="13"/>
  <c r="M144" i="13"/>
  <c r="L144" i="13"/>
  <c r="K144" i="13"/>
  <c r="I144" i="13"/>
  <c r="H144" i="13"/>
  <c r="G121" i="15" s="1"/>
  <c r="N143" i="13"/>
  <c r="M143" i="13"/>
  <c r="L143" i="13"/>
  <c r="K143" i="13"/>
  <c r="I143" i="13"/>
  <c r="H143" i="13"/>
  <c r="G120" i="15" s="1"/>
  <c r="N142" i="13"/>
  <c r="M142" i="13"/>
  <c r="L142" i="13"/>
  <c r="K142" i="13"/>
  <c r="J142" i="13"/>
  <c r="I142" i="13"/>
  <c r="H142" i="13"/>
  <c r="G119" i="15" s="1"/>
  <c r="N141" i="13"/>
  <c r="M141" i="13"/>
  <c r="L141" i="13"/>
  <c r="K141" i="13"/>
  <c r="J141" i="13"/>
  <c r="I141" i="13"/>
  <c r="H141" i="13"/>
  <c r="G118" i="15" s="1"/>
  <c r="N140" i="13"/>
  <c r="M140" i="13"/>
  <c r="L140" i="13"/>
  <c r="K140" i="13"/>
  <c r="I140" i="13"/>
  <c r="H140" i="13"/>
  <c r="G117" i="15" s="1"/>
  <c r="N139" i="13"/>
  <c r="M139" i="13"/>
  <c r="L139" i="13"/>
  <c r="K139" i="13"/>
  <c r="I139" i="13"/>
  <c r="H139" i="13"/>
  <c r="G116" i="15" s="1"/>
  <c r="N138" i="13"/>
  <c r="M138" i="13"/>
  <c r="L138" i="13"/>
  <c r="K138" i="13"/>
  <c r="J138" i="13"/>
  <c r="I138" i="13"/>
  <c r="H138" i="13"/>
  <c r="G115" i="15" s="1"/>
  <c r="N137" i="13"/>
  <c r="M137" i="13"/>
  <c r="L137" i="13"/>
  <c r="K137" i="13"/>
  <c r="J137" i="13"/>
  <c r="I137" i="13"/>
  <c r="H137" i="13"/>
  <c r="G114" i="15" s="1"/>
  <c r="N136" i="13"/>
  <c r="M136" i="13"/>
  <c r="L136" i="13"/>
  <c r="K136" i="13"/>
  <c r="I136" i="13"/>
  <c r="H136" i="13"/>
  <c r="G113" i="15" s="1"/>
  <c r="N135" i="13"/>
  <c r="M135" i="13"/>
  <c r="L135" i="13"/>
  <c r="K135" i="13"/>
  <c r="I135" i="13"/>
  <c r="H135" i="13"/>
  <c r="G112" i="15" s="1"/>
  <c r="N134" i="13"/>
  <c r="M134" i="13"/>
  <c r="L134" i="13"/>
  <c r="K134" i="13"/>
  <c r="J134" i="13"/>
  <c r="I134" i="13"/>
  <c r="H134" i="13"/>
  <c r="G111" i="15" s="1"/>
  <c r="N133" i="13"/>
  <c r="M133" i="13"/>
  <c r="L133" i="13"/>
  <c r="K133" i="13"/>
  <c r="J133" i="13"/>
  <c r="I133" i="13"/>
  <c r="H133" i="13"/>
  <c r="G110" i="15" s="1"/>
  <c r="N132" i="13"/>
  <c r="M132" i="13"/>
  <c r="L132" i="13"/>
  <c r="K132" i="13"/>
  <c r="I132" i="13"/>
  <c r="H132" i="13"/>
  <c r="G109" i="15" s="1"/>
  <c r="N131" i="13"/>
  <c r="M131" i="13"/>
  <c r="L131" i="13"/>
  <c r="K131" i="13"/>
  <c r="I131" i="13"/>
  <c r="H131" i="13"/>
  <c r="G108" i="15" s="1"/>
  <c r="N130" i="13"/>
  <c r="M130" i="13"/>
  <c r="L130" i="13"/>
  <c r="K130" i="13"/>
  <c r="J130" i="13"/>
  <c r="I130" i="13"/>
  <c r="H130" i="13"/>
  <c r="G107" i="15" s="1"/>
  <c r="N129" i="13"/>
  <c r="M129" i="13"/>
  <c r="L129" i="13"/>
  <c r="K129" i="13"/>
  <c r="J129" i="13"/>
  <c r="I129" i="13"/>
  <c r="H129" i="13"/>
  <c r="G106" i="15" s="1"/>
  <c r="N128" i="13"/>
  <c r="M128" i="13"/>
  <c r="L128" i="13"/>
  <c r="K128" i="13"/>
  <c r="I128" i="13"/>
  <c r="H128" i="13"/>
  <c r="G105" i="15" s="1"/>
  <c r="N127" i="13"/>
  <c r="M127" i="13"/>
  <c r="L127" i="13"/>
  <c r="K127" i="13"/>
  <c r="I127" i="13"/>
  <c r="H127" i="13"/>
  <c r="G104" i="15" s="1"/>
  <c r="N126" i="13"/>
  <c r="M126" i="13"/>
  <c r="L126" i="13"/>
  <c r="K126" i="13"/>
  <c r="J126" i="13"/>
  <c r="I126" i="13"/>
  <c r="H126" i="13"/>
  <c r="G103" i="15" s="1"/>
  <c r="N125" i="13"/>
  <c r="M125" i="13"/>
  <c r="L125" i="13"/>
  <c r="K125" i="13"/>
  <c r="J125" i="13"/>
  <c r="I125" i="13"/>
  <c r="H125" i="13"/>
  <c r="N124" i="13"/>
  <c r="M124" i="13"/>
  <c r="L124" i="13"/>
  <c r="K124" i="13"/>
  <c r="I124" i="13"/>
  <c r="H124" i="13"/>
  <c r="J124" i="13" s="1"/>
  <c r="N123" i="13"/>
  <c r="M123" i="13"/>
  <c r="L123" i="13"/>
  <c r="K123" i="13"/>
  <c r="I123" i="13"/>
  <c r="H123" i="13"/>
  <c r="G102" i="15" s="1"/>
  <c r="N122" i="13"/>
  <c r="M122" i="13"/>
  <c r="L122" i="13"/>
  <c r="K122" i="13"/>
  <c r="J122" i="13"/>
  <c r="I122" i="13"/>
  <c r="H122" i="13"/>
  <c r="G101" i="15" s="1"/>
  <c r="N121" i="13"/>
  <c r="M121" i="13"/>
  <c r="L121" i="13"/>
  <c r="K121" i="13"/>
  <c r="J121" i="13"/>
  <c r="I121" i="13"/>
  <c r="H121" i="13"/>
  <c r="G100" i="15" s="1"/>
  <c r="N120" i="13"/>
  <c r="M120" i="13"/>
  <c r="L120" i="13"/>
  <c r="K120" i="13"/>
  <c r="I120" i="13"/>
  <c r="H120" i="13"/>
  <c r="G99" i="15" s="1"/>
  <c r="N119" i="13"/>
  <c r="M119" i="13"/>
  <c r="L119" i="13"/>
  <c r="K119" i="13"/>
  <c r="I119" i="13"/>
  <c r="H119" i="13"/>
  <c r="J119" i="13" s="1"/>
  <c r="N118" i="13"/>
  <c r="M118" i="13"/>
  <c r="L118" i="13"/>
  <c r="K118" i="13"/>
  <c r="J118" i="13"/>
  <c r="I118" i="13"/>
  <c r="H118" i="13"/>
  <c r="G98" i="15" s="1"/>
  <c r="N117" i="13"/>
  <c r="M117" i="13"/>
  <c r="L117" i="13"/>
  <c r="K117" i="13"/>
  <c r="J117" i="13"/>
  <c r="I117" i="13"/>
  <c r="H117" i="13"/>
  <c r="G97" i="15" s="1"/>
  <c r="N116" i="13"/>
  <c r="M116" i="13"/>
  <c r="L116" i="13"/>
  <c r="K116" i="13"/>
  <c r="I116" i="13"/>
  <c r="H116" i="13"/>
  <c r="G96" i="15" s="1"/>
  <c r="N115" i="13"/>
  <c r="M115" i="13"/>
  <c r="L115" i="13"/>
  <c r="K115" i="13"/>
  <c r="I115" i="13"/>
  <c r="H115" i="13"/>
  <c r="J115" i="13" s="1"/>
  <c r="N114" i="13"/>
  <c r="M114" i="13"/>
  <c r="L114" i="13"/>
  <c r="K114" i="13"/>
  <c r="J114" i="13"/>
  <c r="I114" i="13"/>
  <c r="H114" i="13"/>
  <c r="G95" i="15" s="1"/>
  <c r="N113" i="13"/>
  <c r="M113" i="13"/>
  <c r="L113" i="13"/>
  <c r="K113" i="13"/>
  <c r="J113" i="13"/>
  <c r="I113" i="13"/>
  <c r="H113" i="13"/>
  <c r="G94" i="15" s="1"/>
  <c r="N112" i="13"/>
  <c r="M112" i="13"/>
  <c r="L112" i="13"/>
  <c r="K112" i="13"/>
  <c r="I112" i="13"/>
  <c r="H112" i="13"/>
  <c r="G93" i="15" s="1"/>
  <c r="N111" i="13"/>
  <c r="M111" i="13"/>
  <c r="L111" i="13"/>
  <c r="K111" i="13"/>
  <c r="I111" i="13"/>
  <c r="H111" i="13"/>
  <c r="G92" i="15" s="1"/>
  <c r="N110" i="13"/>
  <c r="M110" i="13"/>
  <c r="L110" i="13"/>
  <c r="K110" i="13"/>
  <c r="J110" i="13"/>
  <c r="I110" i="13"/>
  <c r="H110" i="13"/>
  <c r="G91" i="15" s="1"/>
  <c r="N109" i="13"/>
  <c r="M109" i="13"/>
  <c r="L109" i="13"/>
  <c r="K109" i="13"/>
  <c r="J109" i="13"/>
  <c r="I109" i="13"/>
  <c r="H109" i="13"/>
  <c r="G90" i="15" s="1"/>
  <c r="N108" i="13"/>
  <c r="M108" i="13"/>
  <c r="L108" i="13"/>
  <c r="K108" i="13"/>
  <c r="I108" i="13"/>
  <c r="H108" i="13"/>
  <c r="G89" i="15" s="1"/>
  <c r="N107" i="13"/>
  <c r="M107" i="13"/>
  <c r="L107" i="13"/>
  <c r="K107" i="13"/>
  <c r="I107" i="13"/>
  <c r="H107" i="13"/>
  <c r="G88" i="15" s="1"/>
  <c r="N106" i="13"/>
  <c r="M106" i="13"/>
  <c r="L106" i="13"/>
  <c r="K106" i="13"/>
  <c r="J106" i="13"/>
  <c r="I106" i="13"/>
  <c r="H106" i="13"/>
  <c r="G87" i="15" s="1"/>
  <c r="N105" i="13"/>
  <c r="M105" i="13"/>
  <c r="L105" i="13"/>
  <c r="K105" i="13"/>
  <c r="J105" i="13"/>
  <c r="I105" i="13"/>
  <c r="H105" i="13"/>
  <c r="G86" i="15" s="1"/>
  <c r="N104" i="13"/>
  <c r="M104" i="13"/>
  <c r="L104" i="13"/>
  <c r="K104" i="13"/>
  <c r="I104" i="13"/>
  <c r="H104" i="13"/>
  <c r="G85" i="15" s="1"/>
  <c r="N103" i="13"/>
  <c r="M103" i="13"/>
  <c r="L103" i="13"/>
  <c r="K103" i="13"/>
  <c r="I103" i="13"/>
  <c r="H103" i="13"/>
  <c r="G84" i="15" s="1"/>
  <c r="N102" i="13"/>
  <c r="M102" i="13"/>
  <c r="L102" i="13"/>
  <c r="K102" i="13"/>
  <c r="J102" i="13"/>
  <c r="I102" i="13"/>
  <c r="H102" i="13"/>
  <c r="N101" i="13"/>
  <c r="M101" i="13"/>
  <c r="L101" i="13"/>
  <c r="K101" i="13"/>
  <c r="J101" i="13"/>
  <c r="I101" i="13"/>
  <c r="H101" i="13"/>
  <c r="G83" i="15" s="1"/>
  <c r="N100" i="13"/>
  <c r="M100" i="13"/>
  <c r="L100" i="13"/>
  <c r="K100" i="13"/>
  <c r="I100" i="13"/>
  <c r="H100" i="13"/>
  <c r="G82" i="15" s="1"/>
  <c r="N99" i="13"/>
  <c r="M99" i="13"/>
  <c r="L99" i="13"/>
  <c r="K99" i="13"/>
  <c r="I99" i="13"/>
  <c r="H99" i="13"/>
  <c r="J99" i="13" s="1"/>
  <c r="N98" i="13"/>
  <c r="M98" i="13"/>
  <c r="L98" i="13"/>
  <c r="K98" i="13"/>
  <c r="J98" i="13"/>
  <c r="I98" i="13"/>
  <c r="H98" i="13"/>
  <c r="G81" i="15" s="1"/>
  <c r="N97" i="13"/>
  <c r="M97" i="13"/>
  <c r="L97" i="13"/>
  <c r="K97" i="13"/>
  <c r="J97" i="13"/>
  <c r="I97" i="13"/>
  <c r="H97" i="13"/>
  <c r="G80" i="15" s="1"/>
  <c r="N96" i="13"/>
  <c r="M96" i="13"/>
  <c r="L96" i="13"/>
  <c r="K96" i="13"/>
  <c r="I96" i="13"/>
  <c r="H96" i="13"/>
  <c r="J96" i="13" s="1"/>
  <c r="N95" i="13"/>
  <c r="M95" i="13"/>
  <c r="L95" i="13"/>
  <c r="K95" i="13"/>
  <c r="I95" i="13"/>
  <c r="H95" i="13"/>
  <c r="J95" i="13" s="1"/>
  <c r="N94" i="13"/>
  <c r="M94" i="13"/>
  <c r="L94" i="13"/>
  <c r="K94" i="13"/>
  <c r="J94" i="13"/>
  <c r="I94" i="13"/>
  <c r="H94" i="13"/>
  <c r="G79" i="15" s="1"/>
  <c r="N93" i="13"/>
  <c r="M93" i="13"/>
  <c r="L93" i="13"/>
  <c r="K93" i="13"/>
  <c r="J93" i="13"/>
  <c r="I93" i="13"/>
  <c r="H93" i="13"/>
  <c r="G78" i="15" s="1"/>
  <c r="N92" i="13"/>
  <c r="M92" i="13"/>
  <c r="L92" i="13"/>
  <c r="K92" i="13"/>
  <c r="I92" i="13"/>
  <c r="H92" i="13"/>
  <c r="G77" i="15" s="1"/>
  <c r="N91" i="13"/>
  <c r="M91" i="13"/>
  <c r="L91" i="13"/>
  <c r="K91" i="13"/>
  <c r="H91" i="13"/>
  <c r="N90" i="13"/>
  <c r="M90" i="13"/>
  <c r="L90" i="13"/>
  <c r="K90" i="13"/>
  <c r="H90" i="13"/>
  <c r="G76" i="15" s="1"/>
  <c r="N89" i="13"/>
  <c r="M89" i="13"/>
  <c r="L89" i="13"/>
  <c r="K89" i="13"/>
  <c r="J89" i="13"/>
  <c r="I89" i="13"/>
  <c r="H89" i="13"/>
  <c r="G75" i="15" s="1"/>
  <c r="N88" i="13"/>
  <c r="M88" i="13"/>
  <c r="L88" i="13"/>
  <c r="K88" i="13"/>
  <c r="I88" i="13"/>
  <c r="H88" i="13"/>
  <c r="G74" i="15" s="1"/>
  <c r="N87" i="13"/>
  <c r="M87" i="13"/>
  <c r="L87" i="13"/>
  <c r="K87" i="13"/>
  <c r="H87" i="13"/>
  <c r="G73" i="15" s="1"/>
  <c r="N86" i="13"/>
  <c r="M86" i="13"/>
  <c r="L86" i="13"/>
  <c r="K86" i="13"/>
  <c r="H86" i="13"/>
  <c r="G72" i="15" s="1"/>
  <c r="N85" i="13"/>
  <c r="M85" i="13"/>
  <c r="L85" i="13"/>
  <c r="K85" i="13"/>
  <c r="J85" i="13"/>
  <c r="I85" i="13"/>
  <c r="H85" i="13"/>
  <c r="G71" i="15" s="1"/>
  <c r="N84" i="13"/>
  <c r="M84" i="13"/>
  <c r="L84" i="13"/>
  <c r="K84" i="13"/>
  <c r="I84" i="13"/>
  <c r="H84" i="13"/>
  <c r="G70" i="15" s="1"/>
  <c r="N83" i="13"/>
  <c r="M83" i="13"/>
  <c r="L83" i="13"/>
  <c r="K83" i="13"/>
  <c r="H83" i="13"/>
  <c r="J83" i="13" s="1"/>
  <c r="N82" i="13"/>
  <c r="M82" i="13"/>
  <c r="L82" i="13"/>
  <c r="K82" i="13"/>
  <c r="J82" i="13"/>
  <c r="I82" i="13"/>
  <c r="H82" i="13"/>
  <c r="G69" i="15" s="1"/>
  <c r="N81" i="13"/>
  <c r="M81" i="13"/>
  <c r="L81" i="13"/>
  <c r="K81" i="13"/>
  <c r="J81" i="13"/>
  <c r="I81" i="13"/>
  <c r="H81" i="13"/>
  <c r="G68" i="15" s="1"/>
  <c r="N80" i="13"/>
  <c r="M80" i="13"/>
  <c r="L80" i="13"/>
  <c r="K80" i="13"/>
  <c r="I80" i="13"/>
  <c r="H80" i="13"/>
  <c r="G67" i="15" s="1"/>
  <c r="N79" i="13"/>
  <c r="M79" i="13"/>
  <c r="L79" i="13"/>
  <c r="K79" i="13"/>
  <c r="I79" i="13"/>
  <c r="H79" i="13"/>
  <c r="G66" i="15" s="1"/>
  <c r="N78" i="13"/>
  <c r="M78" i="13"/>
  <c r="L78" i="13"/>
  <c r="K78" i="13"/>
  <c r="J78" i="13"/>
  <c r="I78" i="13"/>
  <c r="H78" i="13"/>
  <c r="G65" i="15" s="1"/>
  <c r="N77" i="13"/>
  <c r="M77" i="13"/>
  <c r="L77" i="13"/>
  <c r="K77" i="13"/>
  <c r="J77" i="13"/>
  <c r="I77" i="13"/>
  <c r="H77" i="13"/>
  <c r="G64" i="15" s="1"/>
  <c r="N76" i="13"/>
  <c r="M76" i="13"/>
  <c r="L76" i="13"/>
  <c r="K76" i="13"/>
  <c r="I76" i="13"/>
  <c r="H76" i="13"/>
  <c r="G63" i="15" s="1"/>
  <c r="N75" i="13"/>
  <c r="M75" i="13"/>
  <c r="L75" i="13"/>
  <c r="K75" i="13"/>
  <c r="I75" i="13"/>
  <c r="H75" i="13"/>
  <c r="G62" i="15" s="1"/>
  <c r="N74" i="13"/>
  <c r="M74" i="13"/>
  <c r="L74" i="13"/>
  <c r="K74" i="13"/>
  <c r="N73" i="13"/>
  <c r="M73" i="13"/>
  <c r="L73" i="13"/>
  <c r="K73" i="13"/>
  <c r="I73" i="13"/>
  <c r="J73" i="13" s="1"/>
  <c r="H73" i="13"/>
  <c r="G60" i="15" s="1"/>
  <c r="N72" i="13"/>
  <c r="M72" i="13"/>
  <c r="L72" i="13"/>
  <c r="K72" i="13"/>
  <c r="I72" i="13"/>
  <c r="H72" i="13"/>
  <c r="G59" i="15" s="1"/>
  <c r="N71" i="13"/>
  <c r="M71" i="13"/>
  <c r="L71" i="13"/>
  <c r="K71" i="13"/>
  <c r="I71" i="13"/>
  <c r="H71" i="13"/>
  <c r="G58" i="15" s="1"/>
  <c r="N70" i="13"/>
  <c r="M70" i="13"/>
  <c r="L70" i="13"/>
  <c r="K70" i="13"/>
  <c r="J70" i="13"/>
  <c r="I70" i="13"/>
  <c r="H70" i="13"/>
  <c r="G57" i="15" s="1"/>
  <c r="N69" i="13"/>
  <c r="M69" i="13"/>
  <c r="L69" i="13"/>
  <c r="K69" i="13"/>
  <c r="I69" i="13"/>
  <c r="N68" i="13"/>
  <c r="M68" i="13"/>
  <c r="L68" i="13"/>
  <c r="K68" i="13"/>
  <c r="I68" i="13"/>
  <c r="H68" i="13"/>
  <c r="G55" i="15" s="1"/>
  <c r="N67" i="13"/>
  <c r="M67" i="13"/>
  <c r="L67" i="13"/>
  <c r="K67" i="13"/>
  <c r="I67" i="13"/>
  <c r="H67" i="13"/>
  <c r="G54" i="15" s="1"/>
  <c r="N66" i="13"/>
  <c r="M66" i="13"/>
  <c r="L66" i="13"/>
  <c r="K66" i="13"/>
  <c r="H66" i="13"/>
  <c r="G53" i="15" s="1"/>
  <c r="N65" i="13"/>
  <c r="M65" i="13"/>
  <c r="L65" i="13"/>
  <c r="K65" i="13"/>
  <c r="I65" i="13"/>
  <c r="J65" i="13" s="1"/>
  <c r="H65" i="13"/>
  <c r="G52" i="15" s="1"/>
  <c r="N64" i="13"/>
  <c r="M64" i="13"/>
  <c r="L64" i="13"/>
  <c r="K64" i="13"/>
  <c r="I64" i="13"/>
  <c r="H64" i="13"/>
  <c r="G51" i="15" s="1"/>
  <c r="N63" i="13"/>
  <c r="M63" i="13"/>
  <c r="L63" i="13"/>
  <c r="K63" i="13"/>
  <c r="H63" i="13"/>
  <c r="J63" i="13" s="1"/>
  <c r="N62" i="13"/>
  <c r="M62" i="13"/>
  <c r="L62" i="13"/>
  <c r="K62" i="13"/>
  <c r="J62" i="13"/>
  <c r="I62" i="13"/>
  <c r="H62" i="13"/>
  <c r="G50" i="15" s="1"/>
  <c r="N61" i="13"/>
  <c r="M61" i="13"/>
  <c r="L61" i="13"/>
  <c r="K61" i="13"/>
  <c r="I61" i="13"/>
  <c r="J61" i="13" s="1"/>
  <c r="H61" i="13"/>
  <c r="G49" i="15" s="1"/>
  <c r="N60" i="13"/>
  <c r="M60" i="13"/>
  <c r="L60" i="13"/>
  <c r="K60" i="13"/>
  <c r="I60" i="13"/>
  <c r="H60" i="13"/>
  <c r="J22" i="9" s="1"/>
  <c r="K22" i="9" s="1"/>
  <c r="N59" i="13"/>
  <c r="M59" i="13"/>
  <c r="L59" i="13"/>
  <c r="K59" i="13"/>
  <c r="I59" i="13"/>
  <c r="H59" i="13"/>
  <c r="G48" i="15" s="1"/>
  <c r="N58" i="13"/>
  <c r="M58" i="13"/>
  <c r="L58" i="13"/>
  <c r="K58" i="13"/>
  <c r="J58" i="13"/>
  <c r="I58" i="13"/>
  <c r="H58" i="13"/>
  <c r="G47" i="15" s="1"/>
  <c r="N57" i="13"/>
  <c r="M57" i="13"/>
  <c r="L57" i="13"/>
  <c r="K57" i="13"/>
  <c r="I57" i="13"/>
  <c r="J57" i="13" s="1"/>
  <c r="H57" i="13"/>
  <c r="N56" i="13"/>
  <c r="M56" i="13"/>
  <c r="L56" i="13"/>
  <c r="K56" i="13"/>
  <c r="I56" i="13"/>
  <c r="H56" i="13"/>
  <c r="J56" i="13" s="1"/>
  <c r="N55" i="13"/>
  <c r="M55" i="13"/>
  <c r="L55" i="13"/>
  <c r="K55" i="13"/>
  <c r="I55" i="13"/>
  <c r="H55" i="13"/>
  <c r="J55" i="13" s="1"/>
  <c r="N54" i="13"/>
  <c r="M54" i="13"/>
  <c r="L54" i="13"/>
  <c r="K54" i="13"/>
  <c r="J54" i="13"/>
  <c r="I54" i="13"/>
  <c r="H54" i="13"/>
  <c r="G46" i="15" s="1"/>
  <c r="N53" i="13"/>
  <c r="M53" i="13"/>
  <c r="L53" i="13"/>
  <c r="K53" i="13"/>
  <c r="I53" i="13"/>
  <c r="J53" i="13" s="1"/>
  <c r="H53" i="13"/>
  <c r="G45" i="15" s="1"/>
  <c r="N52" i="13"/>
  <c r="M52" i="13"/>
  <c r="L52" i="13"/>
  <c r="K52" i="13"/>
  <c r="I52" i="13"/>
  <c r="H52" i="13"/>
  <c r="G44" i="15" s="1"/>
  <c r="N51" i="13"/>
  <c r="M51" i="13"/>
  <c r="L51" i="13"/>
  <c r="K51" i="13"/>
  <c r="I51" i="13"/>
  <c r="H51" i="13"/>
  <c r="G43" i="15" s="1"/>
  <c r="N50" i="13"/>
  <c r="M50" i="13"/>
  <c r="L50" i="13"/>
  <c r="K50" i="13"/>
  <c r="J50" i="13"/>
  <c r="I50" i="13"/>
  <c r="H50" i="13"/>
  <c r="G42" i="15" s="1"/>
  <c r="N49" i="13"/>
  <c r="M49" i="13"/>
  <c r="L49" i="13"/>
  <c r="K49" i="13"/>
  <c r="I49" i="13"/>
  <c r="J49" i="13" s="1"/>
  <c r="H49" i="13"/>
  <c r="G41" i="15" s="1"/>
  <c r="N48" i="13"/>
  <c r="M48" i="13"/>
  <c r="L48" i="13"/>
  <c r="K48" i="13"/>
  <c r="I48" i="13"/>
  <c r="H48" i="13"/>
  <c r="G40" i="15" s="1"/>
  <c r="N47" i="13"/>
  <c r="M47" i="13"/>
  <c r="L47" i="13"/>
  <c r="K47" i="13"/>
  <c r="I47" i="13"/>
  <c r="H47" i="13"/>
  <c r="G39" i="15" s="1"/>
  <c r="N46" i="13"/>
  <c r="M46" i="13"/>
  <c r="L46" i="13"/>
  <c r="K46" i="13"/>
  <c r="J46" i="13"/>
  <c r="I46" i="13"/>
  <c r="H46" i="13"/>
  <c r="G38" i="15" s="1"/>
  <c r="N45" i="13"/>
  <c r="M45" i="13"/>
  <c r="L45" i="13"/>
  <c r="K45" i="13"/>
  <c r="I45" i="13"/>
  <c r="J45" i="13" s="1"/>
  <c r="H45" i="13"/>
  <c r="G37" i="15" s="1"/>
  <c r="N44" i="13"/>
  <c r="M44" i="13"/>
  <c r="L44" i="13"/>
  <c r="K44" i="13"/>
  <c r="I44" i="13"/>
  <c r="H44" i="13"/>
  <c r="G36" i="15" s="1"/>
  <c r="N43" i="13"/>
  <c r="M43" i="13"/>
  <c r="L43" i="13"/>
  <c r="K43" i="13"/>
  <c r="I43" i="13"/>
  <c r="H43" i="13"/>
  <c r="J43" i="13" s="1"/>
  <c r="N42" i="13"/>
  <c r="M42" i="13"/>
  <c r="L42" i="13"/>
  <c r="K42" i="13"/>
  <c r="J42" i="13"/>
  <c r="I42" i="13"/>
  <c r="H42" i="13"/>
  <c r="G35" i="15" s="1"/>
  <c r="N41" i="13"/>
  <c r="M41" i="13"/>
  <c r="L41" i="13"/>
  <c r="K41" i="13"/>
  <c r="I41" i="13"/>
  <c r="J41" i="13" s="1"/>
  <c r="H41" i="13"/>
  <c r="G34" i="15" s="1"/>
  <c r="N40" i="13"/>
  <c r="M40" i="13"/>
  <c r="L40" i="13"/>
  <c r="K40" i="13"/>
  <c r="I40" i="13"/>
  <c r="H40" i="13"/>
  <c r="G33" i="15" s="1"/>
  <c r="N39" i="13"/>
  <c r="M39" i="13"/>
  <c r="L39" i="13"/>
  <c r="K39" i="13"/>
  <c r="I39" i="13"/>
  <c r="H39" i="13"/>
  <c r="J39" i="13" s="1"/>
  <c r="N38" i="13"/>
  <c r="M38" i="13"/>
  <c r="L38" i="13"/>
  <c r="K38" i="13"/>
  <c r="J38" i="13"/>
  <c r="I38" i="13"/>
  <c r="H38" i="13"/>
  <c r="G32" i="15" s="1"/>
  <c r="N37" i="13"/>
  <c r="M37" i="13"/>
  <c r="L37" i="13"/>
  <c r="K37" i="13"/>
  <c r="I37" i="13"/>
  <c r="J37" i="13" s="1"/>
  <c r="H37" i="13"/>
  <c r="G31" i="15" s="1"/>
  <c r="N36" i="13"/>
  <c r="M36" i="13"/>
  <c r="L36" i="13"/>
  <c r="K36" i="13"/>
  <c r="I36" i="13"/>
  <c r="H36" i="13"/>
  <c r="G30" i="15" s="1"/>
  <c r="N35" i="13"/>
  <c r="M35" i="13"/>
  <c r="L35" i="13"/>
  <c r="K35" i="13"/>
  <c r="I35" i="13"/>
  <c r="H35" i="13"/>
  <c r="J35" i="13" s="1"/>
  <c r="N34" i="13"/>
  <c r="M34" i="13"/>
  <c r="L34" i="13"/>
  <c r="K34" i="13"/>
  <c r="J34" i="13"/>
  <c r="I34" i="13"/>
  <c r="H34" i="13"/>
  <c r="G29" i="15" s="1"/>
  <c r="N33" i="13"/>
  <c r="M33" i="13"/>
  <c r="L33" i="13"/>
  <c r="K33" i="13"/>
  <c r="I33" i="13"/>
  <c r="J33" i="13" s="1"/>
  <c r="H33" i="13"/>
  <c r="G28" i="15" s="1"/>
  <c r="N32" i="13"/>
  <c r="M32" i="13"/>
  <c r="L32" i="13"/>
  <c r="K32" i="13"/>
  <c r="I32" i="13"/>
  <c r="H32" i="13"/>
  <c r="J32" i="13" s="1"/>
  <c r="N31" i="13"/>
  <c r="M31" i="13"/>
  <c r="L31" i="13"/>
  <c r="K31" i="13"/>
  <c r="I31" i="13"/>
  <c r="H31" i="13"/>
  <c r="G27" i="15" s="1"/>
  <c r="N30" i="13"/>
  <c r="M30" i="13"/>
  <c r="L30" i="13"/>
  <c r="K30" i="13"/>
  <c r="J30" i="13"/>
  <c r="I30" i="13"/>
  <c r="H30" i="13"/>
  <c r="G26" i="15" s="1"/>
  <c r="N29" i="13"/>
  <c r="M29" i="13"/>
  <c r="L29" i="13"/>
  <c r="K29" i="13"/>
  <c r="I29" i="13"/>
  <c r="J29" i="13" s="1"/>
  <c r="H29" i="13"/>
  <c r="G25" i="15" s="1"/>
  <c r="N28" i="13"/>
  <c r="M28" i="13"/>
  <c r="L28" i="13"/>
  <c r="K28" i="13"/>
  <c r="I28" i="13"/>
  <c r="H28" i="13"/>
  <c r="G24" i="15" s="1"/>
  <c r="N27" i="13"/>
  <c r="M27" i="13"/>
  <c r="L27" i="13"/>
  <c r="K27" i="13"/>
  <c r="I27" i="13"/>
  <c r="H27" i="13"/>
  <c r="G23" i="15" s="1"/>
  <c r="N26" i="13"/>
  <c r="M26" i="13"/>
  <c r="L26" i="13"/>
  <c r="K26" i="13"/>
  <c r="J26" i="13"/>
  <c r="I26" i="13"/>
  <c r="H26" i="13"/>
  <c r="G22" i="15" s="1"/>
  <c r="N25" i="13"/>
  <c r="M25" i="13"/>
  <c r="L25" i="13"/>
  <c r="K25" i="13"/>
  <c r="I25" i="13"/>
  <c r="J25" i="13" s="1"/>
  <c r="H25" i="13"/>
  <c r="G21" i="15" s="1"/>
  <c r="N24" i="13"/>
  <c r="M24" i="13"/>
  <c r="L24" i="13"/>
  <c r="K24" i="13"/>
  <c r="I24" i="13"/>
  <c r="H24" i="13"/>
  <c r="G20" i="15" s="1"/>
  <c r="N23" i="13"/>
  <c r="M23" i="13"/>
  <c r="L23" i="13"/>
  <c r="K23" i="13"/>
  <c r="I23" i="13"/>
  <c r="H23" i="13"/>
  <c r="G19" i="15" s="1"/>
  <c r="N22" i="13"/>
  <c r="M22" i="13"/>
  <c r="L22" i="13"/>
  <c r="K22" i="13"/>
  <c r="J22" i="13"/>
  <c r="I22" i="13"/>
  <c r="H22" i="13"/>
  <c r="N21" i="13"/>
  <c r="M21" i="13"/>
  <c r="L21" i="13"/>
  <c r="K21" i="13"/>
  <c r="I21" i="13"/>
  <c r="J21" i="13" s="1"/>
  <c r="H21" i="13"/>
  <c r="G18" i="15" s="1"/>
  <c r="N20" i="13"/>
  <c r="M20" i="13"/>
  <c r="L20" i="13"/>
  <c r="K20" i="13"/>
  <c r="I20" i="13"/>
  <c r="H20" i="13"/>
  <c r="G17" i="15" s="1"/>
  <c r="N19" i="13"/>
  <c r="M19" i="13"/>
  <c r="L19" i="13"/>
  <c r="K19" i="13"/>
  <c r="I19" i="13"/>
  <c r="H19" i="13"/>
  <c r="G16" i="15" s="1"/>
  <c r="N18" i="13"/>
  <c r="M18" i="13"/>
  <c r="L18" i="13"/>
  <c r="K18" i="13"/>
  <c r="J18" i="13"/>
  <c r="I18" i="13"/>
  <c r="H18" i="13"/>
  <c r="G15" i="15" s="1"/>
  <c r="N17" i="13"/>
  <c r="M17" i="13"/>
  <c r="L17" i="13"/>
  <c r="K17" i="13"/>
  <c r="I17" i="13"/>
  <c r="J17" i="13" s="1"/>
  <c r="H17" i="13"/>
  <c r="G14" i="15" s="1"/>
  <c r="N16" i="13"/>
  <c r="M16" i="13"/>
  <c r="L16" i="13"/>
  <c r="K16" i="13"/>
  <c r="I16" i="13"/>
  <c r="H16" i="13"/>
  <c r="G13" i="15" s="1"/>
  <c r="N15" i="13"/>
  <c r="M15" i="13"/>
  <c r="L15" i="13"/>
  <c r="K15" i="13"/>
  <c r="I15" i="13"/>
  <c r="H15" i="13"/>
  <c r="G12" i="15" s="1"/>
  <c r="N14" i="13"/>
  <c r="M14" i="13"/>
  <c r="L14" i="13"/>
  <c r="K14" i="13"/>
  <c r="J14" i="13"/>
  <c r="I14" i="13"/>
  <c r="H14" i="13"/>
  <c r="G11" i="15" s="1"/>
  <c r="N13" i="13"/>
  <c r="M13" i="13"/>
  <c r="L13" i="13"/>
  <c r="K13" i="13"/>
  <c r="I13" i="13"/>
  <c r="J13" i="13" s="1"/>
  <c r="H13" i="13"/>
  <c r="G10" i="15" s="1"/>
  <c r="N12" i="13"/>
  <c r="M12" i="13"/>
  <c r="L12" i="13"/>
  <c r="K12" i="13"/>
  <c r="I12" i="13"/>
  <c r="H12" i="13"/>
  <c r="J12" i="13" s="1"/>
  <c r="N11" i="13"/>
  <c r="M11" i="13"/>
  <c r="L11" i="13"/>
  <c r="K11" i="13"/>
  <c r="I11" i="13"/>
  <c r="H11" i="13"/>
  <c r="J11" i="13" s="1"/>
  <c r="N10" i="13"/>
  <c r="M10" i="13"/>
  <c r="L10" i="13"/>
  <c r="K10" i="13"/>
  <c r="J10" i="13"/>
  <c r="I10" i="13"/>
  <c r="H10" i="13"/>
  <c r="G9" i="15" s="1"/>
  <c r="N9" i="13"/>
  <c r="M9" i="13"/>
  <c r="L9" i="13"/>
  <c r="K9" i="13"/>
  <c r="I9" i="13"/>
  <c r="J9" i="13" s="1"/>
  <c r="H9" i="13"/>
  <c r="G8" i="15" s="1"/>
  <c r="N8" i="13"/>
  <c r="M8" i="13"/>
  <c r="L8" i="13"/>
  <c r="K8" i="13"/>
  <c r="I8" i="13"/>
  <c r="H8" i="13"/>
  <c r="G7" i="15" s="1"/>
  <c r="N7" i="13"/>
  <c r="M7" i="13"/>
  <c r="L7" i="13"/>
  <c r="K7" i="13"/>
  <c r="I7" i="13"/>
  <c r="H7" i="13"/>
  <c r="G6" i="15" s="1"/>
  <c r="N6" i="13"/>
  <c r="M6" i="13"/>
  <c r="L6" i="13"/>
  <c r="K6" i="13"/>
  <c r="J6" i="13"/>
  <c r="I6" i="13"/>
  <c r="H6" i="13"/>
  <c r="G5" i="15" s="1"/>
  <c r="N5" i="13"/>
  <c r="M5" i="13"/>
  <c r="L5" i="13"/>
  <c r="K5" i="13"/>
  <c r="I5" i="13"/>
  <c r="H5" i="13"/>
  <c r="G4" i="15" s="1"/>
  <c r="N4" i="13"/>
  <c r="M4" i="13"/>
  <c r="L4" i="13"/>
  <c r="K4" i="13"/>
  <c r="I4" i="13"/>
  <c r="H4" i="13"/>
  <c r="J4" i="13" s="1"/>
  <c r="N3" i="13"/>
  <c r="M3" i="13"/>
  <c r="L3" i="13"/>
  <c r="C28" i="3" s="1"/>
  <c r="K3" i="13"/>
  <c r="I3" i="13"/>
  <c r="H3" i="13"/>
  <c r="G3" i="15" s="1"/>
  <c r="N2" i="13"/>
  <c r="M2" i="13"/>
  <c r="L2" i="13"/>
  <c r="K2" i="13"/>
  <c r="B100" i="3" s="1"/>
  <c r="J2" i="13"/>
  <c r="I2" i="13"/>
  <c r="H2" i="13"/>
  <c r="G2" i="15" s="1"/>
  <c r="P101" i="12"/>
  <c r="O101" i="12"/>
  <c r="N101" i="12"/>
  <c r="M101" i="12"/>
  <c r="L101" i="12"/>
  <c r="K101" i="12"/>
  <c r="J101" i="12"/>
  <c r="G126" i="16" s="1"/>
  <c r="P100" i="12"/>
  <c r="O100" i="12"/>
  <c r="N100" i="12"/>
  <c r="M100" i="12"/>
  <c r="L100" i="12"/>
  <c r="K100" i="12"/>
  <c r="J100" i="12"/>
  <c r="P99" i="12"/>
  <c r="O99" i="12"/>
  <c r="N99" i="12"/>
  <c r="M99" i="12"/>
  <c r="L99" i="12"/>
  <c r="K99" i="12"/>
  <c r="J99" i="12"/>
  <c r="P98" i="12"/>
  <c r="O98" i="12"/>
  <c r="N98" i="12"/>
  <c r="M98" i="12"/>
  <c r="L98" i="12"/>
  <c r="K98" i="12"/>
  <c r="J98" i="12"/>
  <c r="P97" i="12"/>
  <c r="O97" i="12"/>
  <c r="N97" i="12"/>
  <c r="M97" i="12"/>
  <c r="L97" i="12"/>
  <c r="K97" i="12"/>
  <c r="J97" i="12"/>
  <c r="P96" i="12"/>
  <c r="O96" i="12"/>
  <c r="N96" i="12"/>
  <c r="M96" i="12"/>
  <c r="L96" i="12"/>
  <c r="K96" i="12"/>
  <c r="J96" i="12"/>
  <c r="P95" i="12"/>
  <c r="O95" i="12"/>
  <c r="N95" i="12"/>
  <c r="M95" i="12"/>
  <c r="L95" i="12"/>
  <c r="K95" i="12"/>
  <c r="J95" i="12"/>
  <c r="P94" i="12"/>
  <c r="O94" i="12"/>
  <c r="N94" i="12"/>
  <c r="M94" i="12"/>
  <c r="L94" i="12"/>
  <c r="F11" i="11" s="1"/>
  <c r="K94" i="12"/>
  <c r="J94" i="12"/>
  <c r="G305" i="16" s="1"/>
  <c r="P93" i="12"/>
  <c r="O93" i="12"/>
  <c r="N93" i="12"/>
  <c r="M93" i="12"/>
  <c r="L93" i="12"/>
  <c r="K93" i="12"/>
  <c r="J93" i="12"/>
  <c r="P92" i="12"/>
  <c r="O92" i="12"/>
  <c r="N92" i="12"/>
  <c r="M92" i="12"/>
  <c r="L92" i="12"/>
  <c r="K92" i="12"/>
  <c r="J92" i="12"/>
  <c r="P91" i="12"/>
  <c r="O91" i="12"/>
  <c r="N91" i="12"/>
  <c r="M91" i="12"/>
  <c r="L91" i="12"/>
  <c r="K91" i="12"/>
  <c r="J91" i="12"/>
  <c r="P90" i="12"/>
  <c r="O90" i="12"/>
  <c r="N90" i="12"/>
  <c r="M90" i="12"/>
  <c r="L90" i="12"/>
  <c r="K90" i="12"/>
  <c r="J90" i="12"/>
  <c r="P89" i="12"/>
  <c r="O89" i="12"/>
  <c r="N89" i="12"/>
  <c r="M89" i="12"/>
  <c r="L89" i="12"/>
  <c r="K89" i="12"/>
  <c r="J89" i="12"/>
  <c r="P88" i="12"/>
  <c r="O88" i="12"/>
  <c r="N88" i="12"/>
  <c r="M88" i="12"/>
  <c r="L88" i="12"/>
  <c r="K88" i="12"/>
  <c r="J88" i="12"/>
  <c r="P87" i="12"/>
  <c r="O87" i="12"/>
  <c r="N87" i="12"/>
  <c r="M87" i="12"/>
  <c r="L87" i="12"/>
  <c r="K87" i="12"/>
  <c r="J87" i="12"/>
  <c r="P86" i="12"/>
  <c r="O86" i="12"/>
  <c r="N86" i="12"/>
  <c r="M86" i="12"/>
  <c r="L86" i="12"/>
  <c r="K86" i="12"/>
  <c r="J86" i="12"/>
  <c r="P85" i="12"/>
  <c r="O85" i="12"/>
  <c r="N85" i="12"/>
  <c r="M85" i="12"/>
  <c r="L85" i="12"/>
  <c r="K85" i="12"/>
  <c r="J85" i="12"/>
  <c r="P84" i="12"/>
  <c r="O84" i="12"/>
  <c r="N84" i="12"/>
  <c r="M84" i="12"/>
  <c r="L84" i="12"/>
  <c r="K84" i="12"/>
  <c r="J84" i="12"/>
  <c r="P83" i="12"/>
  <c r="O83" i="12"/>
  <c r="N83" i="12"/>
  <c r="M83" i="12"/>
  <c r="L83" i="12"/>
  <c r="K83" i="12"/>
  <c r="J83" i="12"/>
  <c r="P82" i="12"/>
  <c r="O82" i="12"/>
  <c r="N82" i="12"/>
  <c r="M82" i="12"/>
  <c r="L82" i="12"/>
  <c r="F10" i="11" s="1"/>
  <c r="C35" i="4" s="1"/>
  <c r="K82" i="12"/>
  <c r="J82" i="12"/>
  <c r="P81" i="12"/>
  <c r="O81" i="12"/>
  <c r="N81" i="12"/>
  <c r="M81" i="12"/>
  <c r="L81" i="12"/>
  <c r="K81" i="12"/>
  <c r="J81" i="12"/>
  <c r="P80" i="12"/>
  <c r="O80" i="12"/>
  <c r="N80" i="12"/>
  <c r="M80" i="12"/>
  <c r="L80" i="12"/>
  <c r="K80" i="12"/>
  <c r="J80" i="12"/>
  <c r="P79" i="12"/>
  <c r="O79" i="12"/>
  <c r="N79" i="12"/>
  <c r="M79" i="12"/>
  <c r="L79" i="12"/>
  <c r="K79" i="12"/>
  <c r="J79" i="12"/>
  <c r="P78" i="12"/>
  <c r="O78" i="12"/>
  <c r="N78" i="12"/>
  <c r="M78" i="12"/>
  <c r="L78" i="12"/>
  <c r="K78" i="12"/>
  <c r="J78" i="12"/>
  <c r="P77" i="12"/>
  <c r="O77" i="12"/>
  <c r="N77" i="12"/>
  <c r="M77" i="12"/>
  <c r="L77" i="12"/>
  <c r="K77" i="12"/>
  <c r="J77" i="12"/>
  <c r="G154" i="16" s="1"/>
  <c r="P76" i="12"/>
  <c r="O76" i="12"/>
  <c r="N76" i="12"/>
  <c r="M76" i="12"/>
  <c r="L76" i="12"/>
  <c r="K76" i="12"/>
  <c r="J76" i="12"/>
  <c r="P75" i="12"/>
  <c r="O75" i="12"/>
  <c r="N75" i="12"/>
  <c r="M75" i="12"/>
  <c r="L75" i="12"/>
  <c r="K75" i="12"/>
  <c r="J75" i="12"/>
  <c r="P74" i="12"/>
  <c r="N74" i="12"/>
  <c r="M74" i="12"/>
  <c r="L74" i="12"/>
  <c r="F9" i="11" s="1"/>
  <c r="C34" i="4" s="1"/>
  <c r="K74" i="12"/>
  <c r="J74" i="12"/>
  <c r="P73" i="12"/>
  <c r="O73" i="12"/>
  <c r="D39" i="3" s="1"/>
  <c r="N73" i="12"/>
  <c r="M73" i="12"/>
  <c r="L73" i="12"/>
  <c r="K73" i="12"/>
  <c r="J73" i="12"/>
  <c r="P72" i="12"/>
  <c r="O72" i="12"/>
  <c r="N72" i="12"/>
  <c r="M72" i="12"/>
  <c r="L72" i="12"/>
  <c r="K72" i="12"/>
  <c r="J72" i="12"/>
  <c r="P71" i="12"/>
  <c r="O71" i="12"/>
  <c r="N71" i="12"/>
  <c r="M71" i="12"/>
  <c r="L71" i="12"/>
  <c r="K71" i="12"/>
  <c r="J71" i="12"/>
  <c r="P70" i="12"/>
  <c r="O70" i="12"/>
  <c r="N70" i="12"/>
  <c r="M70" i="12"/>
  <c r="L70" i="12"/>
  <c r="K70" i="12"/>
  <c r="J70" i="12"/>
  <c r="P69" i="12"/>
  <c r="O69" i="12"/>
  <c r="N69" i="12"/>
  <c r="M69" i="12"/>
  <c r="L69" i="12"/>
  <c r="K69" i="12"/>
  <c r="F16" i="6" s="1"/>
  <c r="J69" i="12"/>
  <c r="P68" i="12"/>
  <c r="O68" i="12"/>
  <c r="N68" i="12"/>
  <c r="M68" i="12"/>
  <c r="L68" i="12"/>
  <c r="K68" i="12"/>
  <c r="J68" i="12"/>
  <c r="G144" i="16" s="1"/>
  <c r="P67" i="12"/>
  <c r="O67" i="12"/>
  <c r="N67" i="12"/>
  <c r="M67" i="12"/>
  <c r="L67" i="12"/>
  <c r="K67" i="12"/>
  <c r="J67" i="12"/>
  <c r="P66" i="12"/>
  <c r="O66" i="12"/>
  <c r="N66" i="12"/>
  <c r="M66" i="12"/>
  <c r="L66" i="12"/>
  <c r="K66" i="12"/>
  <c r="J66" i="12"/>
  <c r="P65" i="12"/>
  <c r="O65" i="12"/>
  <c r="N65" i="12"/>
  <c r="M65" i="12"/>
  <c r="L65" i="12"/>
  <c r="K65" i="12"/>
  <c r="J65" i="12"/>
  <c r="P64" i="12"/>
  <c r="O64" i="12"/>
  <c r="N64" i="12"/>
  <c r="M64" i="12"/>
  <c r="L64" i="12"/>
  <c r="K64" i="12"/>
  <c r="J64" i="12"/>
  <c r="P63" i="12"/>
  <c r="O63" i="12"/>
  <c r="N63" i="12"/>
  <c r="M63" i="12"/>
  <c r="L63" i="12"/>
  <c r="K63" i="12"/>
  <c r="J63" i="12"/>
  <c r="P62" i="12"/>
  <c r="O62" i="12"/>
  <c r="N62" i="12"/>
  <c r="M62" i="12"/>
  <c r="L62" i="12"/>
  <c r="F8" i="11" s="1"/>
  <c r="C38" i="4" s="1"/>
  <c r="K62" i="12"/>
  <c r="J62" i="12"/>
  <c r="P61" i="12"/>
  <c r="O61" i="12"/>
  <c r="N61" i="12"/>
  <c r="M61" i="12"/>
  <c r="L61" i="12"/>
  <c r="K61" i="12"/>
  <c r="J61" i="12"/>
  <c r="P60" i="12"/>
  <c r="O60" i="12"/>
  <c r="N60" i="12"/>
  <c r="M60" i="12"/>
  <c r="L60" i="12"/>
  <c r="K60" i="12"/>
  <c r="J60" i="12"/>
  <c r="P59" i="12"/>
  <c r="O59" i="12"/>
  <c r="N59" i="12"/>
  <c r="E41" i="3" s="1"/>
  <c r="M59" i="12"/>
  <c r="L59" i="12"/>
  <c r="K59" i="12"/>
  <c r="J59" i="12"/>
  <c r="P58" i="12"/>
  <c r="O58" i="12"/>
  <c r="N58" i="12"/>
  <c r="M58" i="12"/>
  <c r="L58" i="12"/>
  <c r="K58" i="12"/>
  <c r="J58" i="12"/>
  <c r="G116" i="16" s="1"/>
  <c r="P57" i="12"/>
  <c r="O57" i="12"/>
  <c r="N57" i="12"/>
  <c r="M57" i="12"/>
  <c r="L57" i="12"/>
  <c r="K57" i="12"/>
  <c r="J57" i="12"/>
  <c r="P56" i="12"/>
  <c r="O56" i="12"/>
  <c r="D35" i="3" s="1"/>
  <c r="N56" i="12"/>
  <c r="E35" i="3" s="1"/>
  <c r="M56" i="12"/>
  <c r="L56" i="12"/>
  <c r="K56" i="12"/>
  <c r="J56" i="12"/>
  <c r="C35" i="3" s="1"/>
  <c r="P55" i="12"/>
  <c r="O55" i="12"/>
  <c r="N55" i="12"/>
  <c r="M55" i="12"/>
  <c r="L55" i="12"/>
  <c r="K55" i="12"/>
  <c r="J55" i="12"/>
  <c r="P54" i="12"/>
  <c r="O54" i="12"/>
  <c r="N54" i="12"/>
  <c r="M54" i="12"/>
  <c r="L54" i="12"/>
  <c r="F7" i="11" s="1"/>
  <c r="K54" i="12"/>
  <c r="J54" i="12"/>
  <c r="P53" i="12"/>
  <c r="O53" i="12"/>
  <c r="N53" i="12"/>
  <c r="M53" i="12"/>
  <c r="L53" i="12"/>
  <c r="K53" i="12"/>
  <c r="J53" i="12"/>
  <c r="P52" i="12"/>
  <c r="O52" i="12"/>
  <c r="D33" i="3" s="1"/>
  <c r="N52" i="12"/>
  <c r="E33" i="3" s="1"/>
  <c r="M52" i="12"/>
  <c r="L52" i="12"/>
  <c r="K52" i="12"/>
  <c r="J52" i="12"/>
  <c r="C33" i="3" s="1"/>
  <c r="P51" i="12"/>
  <c r="O51" i="12"/>
  <c r="N51" i="12"/>
  <c r="E34" i="3" s="1"/>
  <c r="M51" i="12"/>
  <c r="L51" i="12"/>
  <c r="K51" i="12"/>
  <c r="J51" i="12"/>
  <c r="G320" i="16" s="1"/>
  <c r="P50" i="12"/>
  <c r="O50" i="12"/>
  <c r="N50" i="12"/>
  <c r="M50" i="12"/>
  <c r="L50" i="12"/>
  <c r="K50" i="12"/>
  <c r="J50" i="12"/>
  <c r="P49" i="12"/>
  <c r="O49" i="12"/>
  <c r="N49" i="12"/>
  <c r="M49" i="12"/>
  <c r="L49" i="12"/>
  <c r="K49" i="12"/>
  <c r="J49" i="12"/>
  <c r="P48" i="12"/>
  <c r="O48" i="12"/>
  <c r="N48" i="12"/>
  <c r="M48" i="12"/>
  <c r="L48" i="12"/>
  <c r="K48" i="12"/>
  <c r="J48" i="12"/>
  <c r="G213" i="16" s="1"/>
  <c r="P47" i="12"/>
  <c r="O47" i="12"/>
  <c r="N47" i="12"/>
  <c r="M47" i="12"/>
  <c r="L47" i="12"/>
  <c r="K47" i="12"/>
  <c r="J47" i="12"/>
  <c r="P46" i="12"/>
  <c r="O46" i="12"/>
  <c r="N46" i="12"/>
  <c r="M46" i="12"/>
  <c r="L46" i="12"/>
  <c r="K46" i="12"/>
  <c r="J46" i="12"/>
  <c r="P45" i="12"/>
  <c r="O45" i="12"/>
  <c r="N45" i="12"/>
  <c r="M45" i="12"/>
  <c r="L45" i="12"/>
  <c r="K45" i="12"/>
  <c r="J45" i="12"/>
  <c r="P44" i="12"/>
  <c r="O44" i="12"/>
  <c r="N44" i="12"/>
  <c r="M44" i="12"/>
  <c r="L44" i="12"/>
  <c r="K44" i="12"/>
  <c r="J44" i="12"/>
  <c r="G80" i="16" s="1"/>
  <c r="P43" i="12"/>
  <c r="O43" i="12"/>
  <c r="N43" i="12"/>
  <c r="M43" i="12"/>
  <c r="L43" i="12"/>
  <c r="K43" i="12"/>
  <c r="J43" i="12"/>
  <c r="P42" i="12"/>
  <c r="O42" i="12"/>
  <c r="N42" i="12"/>
  <c r="M42" i="12"/>
  <c r="L42" i="12"/>
  <c r="F6" i="11" s="1"/>
  <c r="K42" i="12"/>
  <c r="J42" i="12"/>
  <c r="P41" i="12"/>
  <c r="O41" i="12"/>
  <c r="N41" i="12"/>
  <c r="M41" i="12"/>
  <c r="L41" i="12"/>
  <c r="K41" i="12"/>
  <c r="J41" i="12"/>
  <c r="P40" i="12"/>
  <c r="O40" i="12"/>
  <c r="N40" i="12"/>
  <c r="M40" i="12"/>
  <c r="L40" i="12"/>
  <c r="K40" i="12"/>
  <c r="F15" i="6" s="1"/>
  <c r="J40" i="12"/>
  <c r="P39" i="12"/>
  <c r="O39" i="12"/>
  <c r="N39" i="12"/>
  <c r="M39" i="12"/>
  <c r="L39" i="12"/>
  <c r="K39" i="12"/>
  <c r="F20" i="6" s="1"/>
  <c r="J39" i="12"/>
  <c r="P38" i="12"/>
  <c r="O38" i="12"/>
  <c r="N38" i="12"/>
  <c r="M38" i="12"/>
  <c r="L38" i="12"/>
  <c r="K38" i="12"/>
  <c r="J38" i="12"/>
  <c r="P37" i="12"/>
  <c r="O37" i="12"/>
  <c r="D32" i="3" s="1"/>
  <c r="N37" i="12"/>
  <c r="M37" i="12"/>
  <c r="L37" i="12"/>
  <c r="K37" i="12"/>
  <c r="J37" i="12"/>
  <c r="P36" i="12"/>
  <c r="O36" i="12"/>
  <c r="N36" i="12"/>
  <c r="M36" i="12"/>
  <c r="L36" i="12"/>
  <c r="K36" i="12"/>
  <c r="J36" i="12"/>
  <c r="P35" i="12"/>
  <c r="O35" i="12"/>
  <c r="N35" i="12"/>
  <c r="E37" i="3" s="1"/>
  <c r="M35" i="12"/>
  <c r="L35" i="12"/>
  <c r="K35" i="12"/>
  <c r="J35" i="12"/>
  <c r="P34" i="12"/>
  <c r="O34" i="12"/>
  <c r="N34" i="12"/>
  <c r="E40" i="3" s="1"/>
  <c r="M34" i="12"/>
  <c r="L34" i="12"/>
  <c r="F5" i="11" s="1"/>
  <c r="C30" i="4" s="1"/>
  <c r="K34" i="12"/>
  <c r="J34" i="12"/>
  <c r="P33" i="12"/>
  <c r="O33" i="12"/>
  <c r="N33" i="12"/>
  <c r="M33" i="12"/>
  <c r="L33" i="12"/>
  <c r="K33" i="12"/>
  <c r="J33" i="12"/>
  <c r="P32" i="12"/>
  <c r="O32" i="12"/>
  <c r="N32" i="12"/>
  <c r="M32" i="12"/>
  <c r="L32" i="12"/>
  <c r="K32" i="12"/>
  <c r="J32" i="12"/>
  <c r="G96" i="16" s="1"/>
  <c r="P31" i="12"/>
  <c r="O31" i="12"/>
  <c r="N31" i="12"/>
  <c r="M31" i="12"/>
  <c r="L31" i="12"/>
  <c r="K31" i="12"/>
  <c r="J31" i="12"/>
  <c r="P30" i="12"/>
  <c r="O30" i="12"/>
  <c r="N30" i="12"/>
  <c r="M30" i="12"/>
  <c r="L30" i="12"/>
  <c r="K30" i="12"/>
  <c r="J30" i="12"/>
  <c r="P29" i="12"/>
  <c r="O29" i="12"/>
  <c r="N29" i="12"/>
  <c r="M29" i="12"/>
  <c r="L29" i="12"/>
  <c r="K29" i="12"/>
  <c r="J29" i="12"/>
  <c r="G129" i="16" s="1"/>
  <c r="P28" i="12"/>
  <c r="O28" i="12"/>
  <c r="N28" i="12"/>
  <c r="M28" i="12"/>
  <c r="L28" i="12"/>
  <c r="K28" i="12"/>
  <c r="J28" i="12"/>
  <c r="P27" i="12"/>
  <c r="O27" i="12"/>
  <c r="N27" i="12"/>
  <c r="M27" i="12"/>
  <c r="L27" i="12"/>
  <c r="K27" i="12"/>
  <c r="J27" i="12"/>
  <c r="P26" i="12"/>
  <c r="O26" i="12"/>
  <c r="N26" i="12"/>
  <c r="M26" i="12"/>
  <c r="L26" i="12"/>
  <c r="K26" i="12"/>
  <c r="J26" i="12"/>
  <c r="P25" i="12"/>
  <c r="O25" i="12"/>
  <c r="N25" i="12"/>
  <c r="M25" i="12"/>
  <c r="L25" i="12"/>
  <c r="K25" i="12"/>
  <c r="J25" i="12"/>
  <c r="G66" i="16" s="1"/>
  <c r="P24" i="12"/>
  <c r="O24" i="12"/>
  <c r="N24" i="12"/>
  <c r="M24" i="12"/>
  <c r="L24" i="12"/>
  <c r="K24" i="12"/>
  <c r="J24" i="12"/>
  <c r="P23" i="12"/>
  <c r="O23" i="12"/>
  <c r="N23" i="12"/>
  <c r="M23" i="12"/>
  <c r="L23" i="12"/>
  <c r="K23" i="12"/>
  <c r="J23" i="12"/>
  <c r="G77" i="16" s="1"/>
  <c r="P22" i="12"/>
  <c r="O22" i="12"/>
  <c r="N22" i="12"/>
  <c r="M22" i="12"/>
  <c r="L22" i="12"/>
  <c r="F4" i="11" s="1"/>
  <c r="K22" i="12"/>
  <c r="J22" i="12"/>
  <c r="P21" i="12"/>
  <c r="O21" i="12"/>
  <c r="N21" i="12"/>
  <c r="M21" i="12"/>
  <c r="L21" i="12"/>
  <c r="K21" i="12"/>
  <c r="J21" i="12"/>
  <c r="G107" i="16" s="1"/>
  <c r="P20" i="12"/>
  <c r="O20" i="12"/>
  <c r="N20" i="12"/>
  <c r="M20" i="12"/>
  <c r="L20" i="12"/>
  <c r="K20" i="12"/>
  <c r="J20" i="12"/>
  <c r="G189" i="16" s="1"/>
  <c r="P19" i="12"/>
  <c r="O19" i="12"/>
  <c r="N19" i="12"/>
  <c r="M19" i="12"/>
  <c r="L19" i="12"/>
  <c r="K19" i="12"/>
  <c r="J19" i="12"/>
  <c r="P18" i="12"/>
  <c r="O18" i="12"/>
  <c r="N18" i="12"/>
  <c r="M18" i="12"/>
  <c r="L18" i="12"/>
  <c r="K18" i="12"/>
  <c r="J18" i="12"/>
  <c r="P17" i="12"/>
  <c r="O17" i="12"/>
  <c r="N17" i="12"/>
  <c r="M17" i="12"/>
  <c r="L17" i="12"/>
  <c r="K17" i="12"/>
  <c r="F19" i="6" s="1"/>
  <c r="J17" i="12"/>
  <c r="P16" i="12"/>
  <c r="O16" i="12"/>
  <c r="N16" i="12"/>
  <c r="M16" i="12"/>
  <c r="L16" i="12"/>
  <c r="K16" i="12"/>
  <c r="J16" i="12"/>
  <c r="P15" i="12"/>
  <c r="O15" i="12"/>
  <c r="N15" i="12"/>
  <c r="M15" i="12"/>
  <c r="L15" i="12"/>
  <c r="K15" i="12"/>
  <c r="J15" i="12"/>
  <c r="P14" i="12"/>
  <c r="O14" i="12"/>
  <c r="N14" i="12"/>
  <c r="M14" i="12"/>
  <c r="L14" i="12"/>
  <c r="F3" i="11" s="1"/>
  <c r="C31" i="4" s="1"/>
  <c r="K14" i="12"/>
  <c r="J14" i="12"/>
  <c r="P13" i="12"/>
  <c r="O13" i="12"/>
  <c r="N13" i="12"/>
  <c r="M13" i="12"/>
  <c r="L13" i="12"/>
  <c r="K13" i="12"/>
  <c r="J13" i="12"/>
  <c r="P12" i="12"/>
  <c r="O12" i="12"/>
  <c r="D38" i="3" s="1"/>
  <c r="N12" i="12"/>
  <c r="E38" i="3" s="1"/>
  <c r="M12" i="12"/>
  <c r="L12" i="12"/>
  <c r="K12" i="12"/>
  <c r="J12" i="12"/>
  <c r="P11" i="12"/>
  <c r="O11" i="12"/>
  <c r="N11" i="12"/>
  <c r="M11" i="12"/>
  <c r="L11" i="12"/>
  <c r="K11" i="12"/>
  <c r="J11" i="12"/>
  <c r="P10" i="12"/>
  <c r="O10" i="12"/>
  <c r="N10" i="12"/>
  <c r="M10" i="12"/>
  <c r="L10" i="12"/>
  <c r="K10" i="12"/>
  <c r="J10" i="12"/>
  <c r="P9" i="12"/>
  <c r="O9" i="12"/>
  <c r="N9" i="12"/>
  <c r="M9" i="12"/>
  <c r="L9" i="12"/>
  <c r="K9" i="12"/>
  <c r="J9" i="12"/>
  <c r="P8" i="12"/>
  <c r="O8" i="12"/>
  <c r="N8" i="12"/>
  <c r="M8" i="12"/>
  <c r="L8" i="12"/>
  <c r="K8" i="12"/>
  <c r="J8" i="12"/>
  <c r="P7" i="12"/>
  <c r="O7" i="12"/>
  <c r="N7" i="12"/>
  <c r="M7" i="12"/>
  <c r="L7" i="12"/>
  <c r="K7" i="12"/>
  <c r="J7" i="12"/>
  <c r="P6" i="12"/>
  <c r="O6" i="12"/>
  <c r="N6" i="12"/>
  <c r="M6" i="12"/>
  <c r="L6" i="12"/>
  <c r="K6" i="12"/>
  <c r="J6" i="12"/>
  <c r="P5" i="12"/>
  <c r="O5" i="12"/>
  <c r="N5" i="12"/>
  <c r="M5" i="12"/>
  <c r="L5" i="12"/>
  <c r="K5" i="12"/>
  <c r="J5" i="12"/>
  <c r="P4" i="12"/>
  <c r="O4" i="12"/>
  <c r="N4" i="12"/>
  <c r="M4" i="12"/>
  <c r="L4" i="12"/>
  <c r="K4" i="12"/>
  <c r="J4" i="12"/>
  <c r="P3" i="12"/>
  <c r="O3" i="12"/>
  <c r="N3" i="12"/>
  <c r="M3" i="12"/>
  <c r="C6" i="6" s="1"/>
  <c r="G9" i="2" s="1"/>
  <c r="L3" i="12"/>
  <c r="K3" i="12"/>
  <c r="J3" i="12"/>
  <c r="P2" i="12"/>
  <c r="O2" i="12"/>
  <c r="N2" i="12"/>
  <c r="M2" i="12"/>
  <c r="L2" i="12"/>
  <c r="E6" i="6" s="1"/>
  <c r="K2" i="12"/>
  <c r="J2" i="12"/>
  <c r="E11" i="11"/>
  <c r="D11" i="11"/>
  <c r="C11" i="11"/>
  <c r="E10" i="11"/>
  <c r="D10" i="11"/>
  <c r="C10" i="11"/>
  <c r="E9" i="11"/>
  <c r="D9" i="11"/>
  <c r="C9" i="11"/>
  <c r="E8" i="11"/>
  <c r="D8" i="11"/>
  <c r="C8" i="11"/>
  <c r="E7" i="11"/>
  <c r="D7" i="11"/>
  <c r="C7" i="11"/>
  <c r="E6" i="11"/>
  <c r="D6" i="11"/>
  <c r="C6" i="11"/>
  <c r="E5" i="11"/>
  <c r="D5" i="11"/>
  <c r="C5" i="11"/>
  <c r="E4" i="11"/>
  <c r="D4" i="11"/>
  <c r="C4" i="11"/>
  <c r="E3" i="11"/>
  <c r="D3" i="11"/>
  <c r="C3" i="11"/>
  <c r="E2" i="11"/>
  <c r="D2" i="11"/>
  <c r="C2" i="11"/>
  <c r="H13" i="10"/>
  <c r="G13" i="10"/>
  <c r="F32" i="6" s="1"/>
  <c r="F13" i="10"/>
  <c r="H12" i="10"/>
  <c r="G12" i="10"/>
  <c r="F12" i="10"/>
  <c r="H11" i="10"/>
  <c r="G11" i="10"/>
  <c r="F11" i="10"/>
  <c r="H10" i="10"/>
  <c r="G10" i="10"/>
  <c r="F10" i="10"/>
  <c r="H9" i="10"/>
  <c r="G9" i="10"/>
  <c r="F35" i="6" s="1"/>
  <c r="F9" i="10"/>
  <c r="H8" i="10"/>
  <c r="G8" i="10"/>
  <c r="F8" i="10"/>
  <c r="H7" i="10"/>
  <c r="G7" i="10"/>
  <c r="F29" i="6" s="1"/>
  <c r="F7" i="10"/>
  <c r="E29" i="6" s="1"/>
  <c r="H6" i="10"/>
  <c r="G6" i="10"/>
  <c r="F6" i="10"/>
  <c r="H5" i="10"/>
  <c r="G5" i="10"/>
  <c r="F31" i="6" s="1"/>
  <c r="F5" i="10"/>
  <c r="H4" i="10"/>
  <c r="G4" i="10"/>
  <c r="F4" i="10"/>
  <c r="H3" i="10"/>
  <c r="G3" i="10"/>
  <c r="F25" i="6" s="1"/>
  <c r="F3" i="10"/>
  <c r="E25" i="6" s="1"/>
  <c r="H2" i="10"/>
  <c r="G2" i="10"/>
  <c r="F2" i="10"/>
  <c r="I61" i="9"/>
  <c r="J60" i="9"/>
  <c r="K60" i="9" s="1"/>
  <c r="I60" i="9"/>
  <c r="I59" i="9"/>
  <c r="I58" i="9"/>
  <c r="J57" i="9"/>
  <c r="K57" i="9" s="1"/>
  <c r="I57" i="9"/>
  <c r="J56" i="9"/>
  <c r="D52" i="3" s="1"/>
  <c r="I56" i="9"/>
  <c r="J55" i="9"/>
  <c r="K55" i="9" s="1"/>
  <c r="I55" i="9"/>
  <c r="I54" i="9"/>
  <c r="J53" i="9"/>
  <c r="K53" i="9" s="1"/>
  <c r="I53" i="9"/>
  <c r="J52" i="9"/>
  <c r="K52" i="9" s="1"/>
  <c r="I52" i="9"/>
  <c r="I51" i="9"/>
  <c r="I50" i="9"/>
  <c r="J49" i="9"/>
  <c r="K49" i="9" s="1"/>
  <c r="I49" i="9"/>
  <c r="J48" i="9"/>
  <c r="K48" i="9" s="1"/>
  <c r="I48" i="9"/>
  <c r="I47" i="9"/>
  <c r="K46" i="9"/>
  <c r="J46" i="9"/>
  <c r="I46" i="9"/>
  <c r="J45" i="9"/>
  <c r="K45" i="9" s="1"/>
  <c r="I45" i="9"/>
  <c r="J44" i="9"/>
  <c r="K44" i="9" s="1"/>
  <c r="I44" i="9"/>
  <c r="I43" i="9"/>
  <c r="I42" i="9"/>
  <c r="J41" i="9"/>
  <c r="D45" i="3" s="1"/>
  <c r="I41" i="9"/>
  <c r="J40" i="9"/>
  <c r="K40" i="9" s="1"/>
  <c r="I40" i="9"/>
  <c r="I39" i="9"/>
  <c r="I38" i="9"/>
  <c r="J37" i="9"/>
  <c r="K37" i="9" s="1"/>
  <c r="I37" i="9"/>
  <c r="J36" i="9"/>
  <c r="K36" i="9" s="1"/>
  <c r="I36" i="9"/>
  <c r="J35" i="9"/>
  <c r="K35" i="9" s="1"/>
  <c r="I35" i="9"/>
  <c r="I34" i="9"/>
  <c r="J33" i="9"/>
  <c r="K33" i="9" s="1"/>
  <c r="I33" i="9"/>
  <c r="J32" i="9"/>
  <c r="K32" i="9" s="1"/>
  <c r="I32" i="9"/>
  <c r="I31" i="9"/>
  <c r="I30" i="9"/>
  <c r="I29" i="9"/>
  <c r="J28" i="9"/>
  <c r="K28" i="9" s="1"/>
  <c r="I28" i="9"/>
  <c r="I27" i="9"/>
  <c r="I26" i="9"/>
  <c r="J25" i="9"/>
  <c r="K25" i="9" s="1"/>
  <c r="I25" i="9"/>
  <c r="J24" i="9"/>
  <c r="K24" i="9" s="1"/>
  <c r="I24" i="9"/>
  <c r="J23" i="9"/>
  <c r="K23" i="9" s="1"/>
  <c r="I23" i="9"/>
  <c r="I22" i="9"/>
  <c r="J21" i="9"/>
  <c r="K21" i="9" s="1"/>
  <c r="I21" i="9"/>
  <c r="J20" i="9"/>
  <c r="K20" i="9" s="1"/>
  <c r="I20" i="9"/>
  <c r="I19" i="9"/>
  <c r="I18" i="9"/>
  <c r="I17" i="9"/>
  <c r="J16" i="9"/>
  <c r="K16" i="9" s="1"/>
  <c r="I16" i="9"/>
  <c r="I15" i="9"/>
  <c r="I14" i="9"/>
  <c r="J13" i="9"/>
  <c r="K13" i="9" s="1"/>
  <c r="I13" i="9"/>
  <c r="J12" i="9"/>
  <c r="K12" i="9" s="1"/>
  <c r="I12" i="9"/>
  <c r="I11" i="9"/>
  <c r="I10" i="9"/>
  <c r="J9" i="9"/>
  <c r="K9" i="9" s="1"/>
  <c r="I9" i="9"/>
  <c r="J8" i="9"/>
  <c r="K8" i="9" s="1"/>
  <c r="I8" i="9"/>
  <c r="I7" i="9"/>
  <c r="K6" i="9"/>
  <c r="J6" i="9"/>
  <c r="I6" i="9"/>
  <c r="J5" i="9"/>
  <c r="K5" i="9" s="1"/>
  <c r="I5" i="9"/>
  <c r="J4" i="9"/>
  <c r="K4" i="9" s="1"/>
  <c r="I4" i="9"/>
  <c r="J3" i="9"/>
  <c r="K3" i="9" s="1"/>
  <c r="I3" i="9"/>
  <c r="I2" i="9"/>
  <c r="G9" i="3" s="1"/>
  <c r="P37" i="8"/>
  <c r="O37" i="8"/>
  <c r="N37" i="8"/>
  <c r="M37" i="8"/>
  <c r="L37" i="8"/>
  <c r="K37" i="8"/>
  <c r="P36" i="8"/>
  <c r="O36" i="8"/>
  <c r="N36" i="8"/>
  <c r="M36" i="8"/>
  <c r="L36" i="8"/>
  <c r="K36" i="8"/>
  <c r="P35" i="8"/>
  <c r="O35" i="8"/>
  <c r="N35" i="8"/>
  <c r="M35" i="8"/>
  <c r="L35" i="8"/>
  <c r="K35" i="8"/>
  <c r="P34" i="8"/>
  <c r="O34" i="8"/>
  <c r="N34" i="8"/>
  <c r="M34" i="8"/>
  <c r="L34" i="8"/>
  <c r="K34" i="8"/>
  <c r="P33" i="8"/>
  <c r="O33" i="8"/>
  <c r="N33" i="8"/>
  <c r="M33" i="8"/>
  <c r="L33" i="8"/>
  <c r="K33" i="8"/>
  <c r="P32" i="8"/>
  <c r="O32" i="8"/>
  <c r="N32" i="8"/>
  <c r="M32" i="8"/>
  <c r="L32" i="8"/>
  <c r="K32" i="8"/>
  <c r="P31" i="8"/>
  <c r="O31" i="8"/>
  <c r="N31" i="8"/>
  <c r="M31" i="8"/>
  <c r="L31" i="8"/>
  <c r="K31" i="8"/>
  <c r="P30" i="8"/>
  <c r="O30" i="8"/>
  <c r="N30" i="8"/>
  <c r="M30" i="8"/>
  <c r="L30" i="8"/>
  <c r="K30" i="8"/>
  <c r="P29" i="8"/>
  <c r="O29" i="8"/>
  <c r="N29" i="8"/>
  <c r="M29" i="8"/>
  <c r="L29" i="8"/>
  <c r="K29" i="8"/>
  <c r="P28" i="8"/>
  <c r="O28" i="8"/>
  <c r="N28" i="8"/>
  <c r="M28" i="8"/>
  <c r="L28" i="8"/>
  <c r="K28" i="8"/>
  <c r="P27" i="8"/>
  <c r="O27" i="8"/>
  <c r="N27" i="8"/>
  <c r="M27" i="8"/>
  <c r="L27" i="8"/>
  <c r="K27" i="8"/>
  <c r="P26" i="8"/>
  <c r="O26" i="8"/>
  <c r="N26" i="8"/>
  <c r="M26" i="8"/>
  <c r="L26" i="8"/>
  <c r="K26" i="8"/>
  <c r="P25" i="8"/>
  <c r="O25" i="8"/>
  <c r="N25" i="8"/>
  <c r="M25" i="8"/>
  <c r="L25" i="8"/>
  <c r="K25" i="8"/>
  <c r="P24" i="8"/>
  <c r="O24" i="8"/>
  <c r="N24" i="8"/>
  <c r="M24" i="8"/>
  <c r="L24" i="8"/>
  <c r="K24" i="8"/>
  <c r="P23" i="8"/>
  <c r="O23" i="8"/>
  <c r="N23" i="8"/>
  <c r="M23" i="8"/>
  <c r="L23" i="8"/>
  <c r="K23" i="8"/>
  <c r="P22" i="8"/>
  <c r="O22" i="8"/>
  <c r="N22" i="8"/>
  <c r="M22" i="8"/>
  <c r="L22" i="8"/>
  <c r="K22" i="8"/>
  <c r="P21" i="8"/>
  <c r="O21" i="8"/>
  <c r="N21" i="8"/>
  <c r="M21" i="8"/>
  <c r="L21" i="8"/>
  <c r="K21" i="8"/>
  <c r="P20" i="8"/>
  <c r="O20" i="8"/>
  <c r="N20" i="8"/>
  <c r="M20" i="8"/>
  <c r="L20" i="8"/>
  <c r="K20" i="8"/>
  <c r="P19" i="8"/>
  <c r="O19" i="8"/>
  <c r="N19" i="8"/>
  <c r="M19" i="8"/>
  <c r="L19" i="8"/>
  <c r="K19" i="8"/>
  <c r="P18" i="8"/>
  <c r="O18" i="8"/>
  <c r="N18" i="8"/>
  <c r="M18" i="8"/>
  <c r="L18" i="8"/>
  <c r="K18" i="8"/>
  <c r="P17" i="8"/>
  <c r="O17" i="8"/>
  <c r="N17" i="8"/>
  <c r="M17" i="8"/>
  <c r="L17" i="8"/>
  <c r="K17" i="8"/>
  <c r="P16" i="8"/>
  <c r="O16" i="8"/>
  <c r="N16" i="8"/>
  <c r="M16" i="8"/>
  <c r="L16" i="8"/>
  <c r="K16" i="8"/>
  <c r="P15" i="8"/>
  <c r="O15" i="8"/>
  <c r="N15" i="8"/>
  <c r="M15" i="8"/>
  <c r="L15" i="8"/>
  <c r="K15" i="8"/>
  <c r="P14" i="8"/>
  <c r="O14" i="8"/>
  <c r="N14" i="8"/>
  <c r="M14" i="8"/>
  <c r="L14" i="8"/>
  <c r="K14" i="8"/>
  <c r="P13" i="8"/>
  <c r="O13" i="8"/>
  <c r="N13" i="8"/>
  <c r="M13" i="8"/>
  <c r="L13" i="8"/>
  <c r="K13" i="8"/>
  <c r="P12" i="8"/>
  <c r="O12" i="8"/>
  <c r="N12" i="8"/>
  <c r="M12" i="8"/>
  <c r="L12" i="8"/>
  <c r="K12" i="8"/>
  <c r="P11" i="8"/>
  <c r="O11" i="8"/>
  <c r="C61" i="3" s="1"/>
  <c r="N11" i="8"/>
  <c r="M11" i="8"/>
  <c r="L11" i="8"/>
  <c r="K11" i="8"/>
  <c r="O10" i="8"/>
  <c r="C60" i="3" s="1"/>
  <c r="N10" i="8"/>
  <c r="M10" i="8"/>
  <c r="L10" i="8"/>
  <c r="K10" i="8"/>
  <c r="O9" i="8"/>
  <c r="C59" i="3" s="1"/>
  <c r="N9" i="8"/>
  <c r="M9" i="8"/>
  <c r="L9" i="8"/>
  <c r="K9" i="8"/>
  <c r="P8" i="8"/>
  <c r="O8" i="8"/>
  <c r="N8" i="8"/>
  <c r="D44" i="5" s="1"/>
  <c r="M8" i="8"/>
  <c r="L8" i="8"/>
  <c r="K8" i="8"/>
  <c r="C44" i="5" s="1"/>
  <c r="P7" i="8"/>
  <c r="O7" i="8"/>
  <c r="N7" i="8"/>
  <c r="M7" i="8"/>
  <c r="L7" i="8"/>
  <c r="K7" i="8"/>
  <c r="C43" i="5" s="1"/>
  <c r="P6" i="8"/>
  <c r="O6" i="8"/>
  <c r="N6" i="8"/>
  <c r="M6" i="8"/>
  <c r="L6" i="8"/>
  <c r="K6" i="8"/>
  <c r="C42" i="5" s="1"/>
  <c r="P5" i="8"/>
  <c r="O5" i="8"/>
  <c r="N5" i="8"/>
  <c r="M5" i="8"/>
  <c r="L5" i="8"/>
  <c r="K5" i="8"/>
  <c r="C41" i="5" s="1"/>
  <c r="P4" i="8"/>
  <c r="O4" i="8"/>
  <c r="N4" i="8"/>
  <c r="D40" i="5" s="1"/>
  <c r="M4" i="8"/>
  <c r="L4" i="8"/>
  <c r="K4" i="8"/>
  <c r="C40" i="5" s="1"/>
  <c r="P3" i="8"/>
  <c r="O3" i="8"/>
  <c r="N3" i="8"/>
  <c r="M3" i="8"/>
  <c r="L3" i="8"/>
  <c r="K3" i="8"/>
  <c r="C39" i="5" s="1"/>
  <c r="O2" i="8"/>
  <c r="C58" i="3" s="1"/>
  <c r="N2" i="8"/>
  <c r="G9" i="5" s="1"/>
  <c r="M2" i="8"/>
  <c r="L2" i="8"/>
  <c r="K2" i="8"/>
  <c r="G8" i="7"/>
  <c r="F8" i="7"/>
  <c r="E25" i="4" s="1"/>
  <c r="E8" i="7"/>
  <c r="D8" i="7"/>
  <c r="B77" i="2" s="1"/>
  <c r="G7" i="7"/>
  <c r="F24" i="4" s="1"/>
  <c r="F7" i="7"/>
  <c r="E24" i="4" s="1"/>
  <c r="E7" i="7"/>
  <c r="D7" i="7"/>
  <c r="C24" i="4" s="1"/>
  <c r="G6" i="7"/>
  <c r="F6" i="7"/>
  <c r="E23" i="4" s="1"/>
  <c r="E6" i="7"/>
  <c r="D6" i="7"/>
  <c r="B75" i="2" s="1"/>
  <c r="G5" i="7"/>
  <c r="F22" i="4" s="1"/>
  <c r="F5" i="7"/>
  <c r="E22" i="4" s="1"/>
  <c r="E5" i="7"/>
  <c r="D5" i="7"/>
  <c r="C22" i="4" s="1"/>
  <c r="G4" i="7"/>
  <c r="F4" i="7"/>
  <c r="E21" i="4" s="1"/>
  <c r="E4" i="7"/>
  <c r="D4" i="7"/>
  <c r="B73" i="2" s="1"/>
  <c r="G3" i="7"/>
  <c r="F20" i="4" s="1"/>
  <c r="F3" i="7"/>
  <c r="E20" i="4" s="1"/>
  <c r="E3" i="7"/>
  <c r="D3" i="7"/>
  <c r="C20" i="4" s="1"/>
  <c r="G2" i="7"/>
  <c r="F19" i="4" s="1"/>
  <c r="E2" i="7"/>
  <c r="F2" i="7" s="1"/>
  <c r="E19" i="4" s="1"/>
  <c r="D2" i="7"/>
  <c r="B71" i="2" s="1"/>
  <c r="C56" i="6"/>
  <c r="D56" i="6" s="1"/>
  <c r="A56" i="6"/>
  <c r="C55" i="6"/>
  <c r="D55" i="6" s="1"/>
  <c r="A55" i="6"/>
  <c r="B55" i="6" s="1"/>
  <c r="C54" i="6"/>
  <c r="D54" i="6" s="1"/>
  <c r="A54" i="6"/>
  <c r="C53" i="6"/>
  <c r="D53" i="6" s="1"/>
  <c r="A53" i="6"/>
  <c r="C52" i="6"/>
  <c r="D52" i="6" s="1"/>
  <c r="A52" i="6"/>
  <c r="C51" i="6"/>
  <c r="D51" i="6" s="1"/>
  <c r="A51" i="6"/>
  <c r="C50" i="6"/>
  <c r="D50" i="6" s="1"/>
  <c r="A50" i="6"/>
  <c r="C49" i="6"/>
  <c r="D49" i="6" s="1"/>
  <c r="A49" i="6"/>
  <c r="B49" i="6" s="1"/>
  <c r="C48" i="6"/>
  <c r="D48" i="6" s="1"/>
  <c r="A48" i="6"/>
  <c r="C47" i="6"/>
  <c r="D47" i="6" s="1"/>
  <c r="A47" i="6"/>
  <c r="B47" i="6" s="1"/>
  <c r="C43" i="6"/>
  <c r="B43" i="6"/>
  <c r="C42" i="6"/>
  <c r="B42" i="6"/>
  <c r="C41" i="6"/>
  <c r="B41" i="6"/>
  <c r="C40" i="6"/>
  <c r="B40" i="6"/>
  <c r="C39" i="6"/>
  <c r="B39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F30" i="6"/>
  <c r="E30" i="6"/>
  <c r="D30" i="6"/>
  <c r="C30" i="6"/>
  <c r="B30" i="6"/>
  <c r="A30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D25" i="6"/>
  <c r="C25" i="6"/>
  <c r="B25" i="6"/>
  <c r="A25" i="6"/>
  <c r="F24" i="6"/>
  <c r="E24" i="6"/>
  <c r="D24" i="6"/>
  <c r="C24" i="6"/>
  <c r="B24" i="6"/>
  <c r="A24" i="6"/>
  <c r="E20" i="6"/>
  <c r="D20" i="6"/>
  <c r="C20" i="6"/>
  <c r="B20" i="6"/>
  <c r="E19" i="6"/>
  <c r="D19" i="6"/>
  <c r="C19" i="6"/>
  <c r="B19" i="6"/>
  <c r="F18" i="6"/>
  <c r="E18" i="6"/>
  <c r="D18" i="6"/>
  <c r="B18" i="6"/>
  <c r="F17" i="6"/>
  <c r="E17" i="6"/>
  <c r="D17" i="6"/>
  <c r="C17" i="6"/>
  <c r="B17" i="6"/>
  <c r="E16" i="6"/>
  <c r="D16" i="6"/>
  <c r="C16" i="6"/>
  <c r="B16" i="6"/>
  <c r="E15" i="6"/>
  <c r="D15" i="6"/>
  <c r="B15" i="6"/>
  <c r="F14" i="6"/>
  <c r="E14" i="6"/>
  <c r="D14" i="6"/>
  <c r="B14" i="6"/>
  <c r="F13" i="6"/>
  <c r="E13" i="6"/>
  <c r="D13" i="6"/>
  <c r="C13" i="6"/>
  <c r="B13" i="6"/>
  <c r="G9" i="6"/>
  <c r="E9" i="6"/>
  <c r="C9" i="6"/>
  <c r="A9" i="6"/>
  <c r="G6" i="6"/>
  <c r="A6" i="6"/>
  <c r="B44" i="5"/>
  <c r="D43" i="5"/>
  <c r="B43" i="5"/>
  <c r="D42" i="5"/>
  <c r="B42" i="5"/>
  <c r="D41" i="5"/>
  <c r="B41" i="5"/>
  <c r="B40" i="5"/>
  <c r="D39" i="5"/>
  <c r="B39" i="5"/>
  <c r="D38" i="5"/>
  <c r="C38" i="5"/>
  <c r="B38" i="5"/>
  <c r="C27" i="5"/>
  <c r="B27" i="5"/>
  <c r="C26" i="5"/>
  <c r="B26" i="5"/>
  <c r="C25" i="5"/>
  <c r="B25" i="5"/>
  <c r="C24" i="5"/>
  <c r="B24" i="5"/>
  <c r="C23" i="5"/>
  <c r="B23" i="5"/>
  <c r="F19" i="5"/>
  <c r="C19" i="5"/>
  <c r="B19" i="5"/>
  <c r="A19" i="5"/>
  <c r="F18" i="5"/>
  <c r="C18" i="5"/>
  <c r="B18" i="5"/>
  <c r="A18" i="5"/>
  <c r="F17" i="5"/>
  <c r="C17" i="5"/>
  <c r="B17" i="5"/>
  <c r="A17" i="5"/>
  <c r="F16" i="5"/>
  <c r="C16" i="5"/>
  <c r="B16" i="5"/>
  <c r="A16" i="5"/>
  <c r="F15" i="5"/>
  <c r="C15" i="5"/>
  <c r="B15" i="5"/>
  <c r="A15" i="5"/>
  <c r="F14" i="5"/>
  <c r="C14" i="5"/>
  <c r="B14" i="5"/>
  <c r="A14" i="5"/>
  <c r="F13" i="5"/>
  <c r="C13" i="5"/>
  <c r="A13" i="5"/>
  <c r="E9" i="5"/>
  <c r="C9" i="5"/>
  <c r="A9" i="5"/>
  <c r="E6" i="5"/>
  <c r="C6" i="5"/>
  <c r="D9" i="2" s="1"/>
  <c r="A6" i="5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D38" i="4"/>
  <c r="A38" i="4"/>
  <c r="B38" i="4" s="1"/>
  <c r="E38" i="4" s="1"/>
  <c r="D37" i="4"/>
  <c r="A37" i="4"/>
  <c r="C37" i="4" s="1"/>
  <c r="A36" i="4"/>
  <c r="D36" i="4" s="1"/>
  <c r="D35" i="4"/>
  <c r="B35" i="4"/>
  <c r="E35" i="4" s="1"/>
  <c r="A35" i="4"/>
  <c r="D34" i="4"/>
  <c r="A34" i="4"/>
  <c r="B34" i="4" s="1"/>
  <c r="E34" i="4" s="1"/>
  <c r="D33" i="4"/>
  <c r="A33" i="4"/>
  <c r="A32" i="4"/>
  <c r="D32" i="4" s="1"/>
  <c r="D31" i="4"/>
  <c r="B31" i="4"/>
  <c r="E31" i="4" s="1"/>
  <c r="A31" i="4"/>
  <c r="D30" i="4"/>
  <c r="A30" i="4"/>
  <c r="B30" i="4" s="1"/>
  <c r="E30" i="4" s="1"/>
  <c r="D29" i="4"/>
  <c r="A29" i="4"/>
  <c r="C29" i="4" s="1"/>
  <c r="F25" i="4"/>
  <c r="D25" i="4"/>
  <c r="C25" i="4"/>
  <c r="B25" i="4"/>
  <c r="A25" i="4"/>
  <c r="D24" i="4"/>
  <c r="B24" i="4"/>
  <c r="A24" i="4"/>
  <c r="F23" i="4"/>
  <c r="D23" i="4"/>
  <c r="C23" i="4"/>
  <c r="B23" i="4"/>
  <c r="A23" i="4"/>
  <c r="D22" i="4"/>
  <c r="B22" i="4"/>
  <c r="A22" i="4"/>
  <c r="F21" i="4"/>
  <c r="D21" i="4"/>
  <c r="C21" i="4"/>
  <c r="B21" i="4"/>
  <c r="A21" i="4"/>
  <c r="D20" i="4"/>
  <c r="B20" i="4"/>
  <c r="A20" i="4"/>
  <c r="D19" i="4"/>
  <c r="C19" i="4"/>
  <c r="B19" i="4"/>
  <c r="A19" i="4"/>
  <c r="H16" i="4"/>
  <c r="G16" i="4"/>
  <c r="H15" i="4"/>
  <c r="G15" i="4"/>
  <c r="C15" i="4"/>
  <c r="B15" i="4"/>
  <c r="D15" i="4" s="1"/>
  <c r="H14" i="4"/>
  <c r="G14" i="4"/>
  <c r="D14" i="4"/>
  <c r="C14" i="4"/>
  <c r="B14" i="4"/>
  <c r="H13" i="4"/>
  <c r="G13" i="4"/>
  <c r="D13" i="4"/>
  <c r="C13" i="4"/>
  <c r="B13" i="4"/>
  <c r="E9" i="4"/>
  <c r="C9" i="4"/>
  <c r="A9" i="4"/>
  <c r="C100" i="3"/>
  <c r="C99" i="3"/>
  <c r="B99" i="3"/>
  <c r="D99" i="3" s="1"/>
  <c r="B98" i="3"/>
  <c r="C96" i="3"/>
  <c r="C95" i="3"/>
  <c r="B95" i="3"/>
  <c r="D95" i="3" s="1"/>
  <c r="B94" i="3"/>
  <c r="C92" i="3"/>
  <c r="C91" i="3"/>
  <c r="B90" i="3"/>
  <c r="C88" i="3"/>
  <c r="C87" i="3"/>
  <c r="B87" i="3"/>
  <c r="D87" i="3" s="1"/>
  <c r="B86" i="3"/>
  <c r="C84" i="3"/>
  <c r="C83" i="3"/>
  <c r="B83" i="3"/>
  <c r="D83" i="3" s="1"/>
  <c r="B82" i="3"/>
  <c r="C80" i="3"/>
  <c r="C79" i="3"/>
  <c r="B79" i="3"/>
  <c r="D79" i="3" s="1"/>
  <c r="B78" i="3"/>
  <c r="C76" i="3"/>
  <c r="C75" i="3"/>
  <c r="B75" i="3"/>
  <c r="B24" i="2" s="1"/>
  <c r="C72" i="3"/>
  <c r="C71" i="3"/>
  <c r="B71" i="3"/>
  <c r="B20" i="2" s="1"/>
  <c r="C68" i="3"/>
  <c r="C67" i="3"/>
  <c r="B67" i="3"/>
  <c r="B16" i="2" s="1"/>
  <c r="B66" i="3"/>
  <c r="D61" i="3"/>
  <c r="B61" i="3"/>
  <c r="B60" i="3"/>
  <c r="B59" i="3"/>
  <c r="B58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D47" i="3"/>
  <c r="C47" i="3"/>
  <c r="B47" i="3"/>
  <c r="C46" i="3"/>
  <c r="B46" i="3"/>
  <c r="C45" i="3"/>
  <c r="B45" i="3"/>
  <c r="D41" i="3"/>
  <c r="C41" i="3"/>
  <c r="B41" i="3"/>
  <c r="D40" i="3"/>
  <c r="C40" i="3"/>
  <c r="B40" i="3"/>
  <c r="E39" i="3"/>
  <c r="C39" i="3"/>
  <c r="B39" i="3"/>
  <c r="B38" i="3"/>
  <c r="D37" i="3"/>
  <c r="C37" i="3"/>
  <c r="B37" i="3"/>
  <c r="E36" i="3"/>
  <c r="D36" i="3"/>
  <c r="C36" i="3"/>
  <c r="B36" i="3"/>
  <c r="B35" i="3"/>
  <c r="D34" i="3"/>
  <c r="C34" i="3"/>
  <c r="B34" i="3"/>
  <c r="B33" i="3"/>
  <c r="E32" i="3"/>
  <c r="C32" i="3"/>
  <c r="B32" i="3"/>
  <c r="C27" i="3"/>
  <c r="D22" i="3"/>
  <c r="C22" i="3"/>
  <c r="A22" i="3"/>
  <c r="B22" i="3" s="1"/>
  <c r="B61" i="2" s="1"/>
  <c r="D21" i="3"/>
  <c r="C21" i="3"/>
  <c r="A21" i="3"/>
  <c r="B21" i="3" s="1"/>
  <c r="B60" i="2" s="1"/>
  <c r="D20" i="3"/>
  <c r="C20" i="3"/>
  <c r="A20" i="3"/>
  <c r="B20" i="3" s="1"/>
  <c r="B59" i="2" s="1"/>
  <c r="D19" i="3"/>
  <c r="C19" i="3"/>
  <c r="A19" i="3"/>
  <c r="B19" i="3" s="1"/>
  <c r="B58" i="2" s="1"/>
  <c r="D18" i="3"/>
  <c r="C18" i="3"/>
  <c r="A18" i="3"/>
  <c r="B18" i="3" s="1"/>
  <c r="B57" i="2" s="1"/>
  <c r="H17" i="3"/>
  <c r="A17" i="3"/>
  <c r="D17" i="3" s="1"/>
  <c r="H16" i="3"/>
  <c r="D16" i="3"/>
  <c r="C16" i="3"/>
  <c r="A16" i="3"/>
  <c r="B16" i="3" s="1"/>
  <c r="B55" i="2" s="1"/>
  <c r="A15" i="3"/>
  <c r="D15" i="3" s="1"/>
  <c r="H14" i="3"/>
  <c r="D14" i="3"/>
  <c r="C14" i="3"/>
  <c r="A14" i="3"/>
  <c r="B14" i="3" s="1"/>
  <c r="B53" i="2" s="1"/>
  <c r="H13" i="3"/>
  <c r="G13" i="3"/>
  <c r="A13" i="3"/>
  <c r="D13" i="3" s="1"/>
  <c r="E9" i="3"/>
  <c r="G6" i="3"/>
  <c r="A6" i="3"/>
  <c r="C9" i="3" s="1"/>
  <c r="A77" i="2"/>
  <c r="B76" i="2"/>
  <c r="A76" i="2"/>
  <c r="A75" i="2"/>
  <c r="B74" i="2"/>
  <c r="A74" i="2"/>
  <c r="A73" i="2"/>
  <c r="B72" i="2"/>
  <c r="A72" i="2"/>
  <c r="A71" i="2"/>
  <c r="B68" i="2"/>
  <c r="B67" i="2"/>
  <c r="B66" i="2"/>
  <c r="B65" i="2"/>
  <c r="B64" i="2"/>
  <c r="A60" i="2"/>
  <c r="A58" i="2"/>
  <c r="A49" i="2"/>
  <c r="A48" i="2"/>
  <c r="B47" i="2"/>
  <c r="A47" i="2"/>
  <c r="A46" i="2"/>
  <c r="A45" i="2"/>
  <c r="A44" i="2"/>
  <c r="B43" i="2"/>
  <c r="A43" i="2"/>
  <c r="A42" i="2"/>
  <c r="A41" i="2"/>
  <c r="A40" i="2"/>
  <c r="B39" i="2"/>
  <c r="A39" i="2"/>
  <c r="A38" i="2"/>
  <c r="A37" i="2"/>
  <c r="A36" i="2"/>
  <c r="B35" i="2"/>
  <c r="A35" i="2"/>
  <c r="A34" i="2"/>
  <c r="A33" i="2"/>
  <c r="A32" i="2"/>
  <c r="B31" i="2"/>
  <c r="A31" i="2"/>
  <c r="A30" i="2"/>
  <c r="A29" i="2"/>
  <c r="A28" i="2"/>
  <c r="B27" i="2"/>
  <c r="A27" i="2"/>
  <c r="A26" i="2"/>
  <c r="A25" i="2"/>
  <c r="A24" i="2"/>
  <c r="A23" i="2"/>
  <c r="A22" i="2"/>
  <c r="A21" i="2"/>
  <c r="A20" i="2"/>
  <c r="A19" i="2"/>
  <c r="A18" i="2"/>
  <c r="A17" i="2"/>
  <c r="A16" i="2"/>
  <c r="B15" i="2"/>
  <c r="A15" i="2"/>
  <c r="A14" i="2"/>
  <c r="A9" i="2"/>
  <c r="J6" i="2"/>
  <c r="E19" i="5"/>
  <c r="E17" i="5"/>
  <c r="E15" i="5"/>
  <c r="E13" i="5"/>
  <c r="D19" i="5"/>
  <c r="D15" i="5"/>
  <c r="D13" i="5"/>
  <c r="E18" i="5"/>
  <c r="E16" i="5"/>
  <c r="D18" i="5"/>
  <c r="D14" i="5"/>
  <c r="D17" i="5"/>
  <c r="E14" i="5"/>
  <c r="D16" i="5"/>
  <c r="B32" i="5" l="1"/>
  <c r="B13" i="5"/>
  <c r="B33" i="5"/>
  <c r="B31" i="5"/>
  <c r="C33" i="4"/>
  <c r="B51" i="6"/>
  <c r="G270" i="15"/>
  <c r="J29" i="9"/>
  <c r="K29" i="9" s="1"/>
  <c r="B70" i="3"/>
  <c r="B49" i="2"/>
  <c r="D100" i="3"/>
  <c r="D78" i="3"/>
  <c r="J91" i="13"/>
  <c r="B53" i="6"/>
  <c r="E61" i="3"/>
  <c r="B48" i="6"/>
  <c r="B52" i="6"/>
  <c r="B54" i="6"/>
  <c r="B56" i="6"/>
  <c r="G111" i="16"/>
  <c r="G55" i="16"/>
  <c r="G61" i="16"/>
  <c r="G165" i="16"/>
  <c r="G50" i="16"/>
  <c r="G95" i="16"/>
  <c r="G83" i="16"/>
  <c r="G280" i="16"/>
  <c r="G172" i="16"/>
  <c r="G100" i="16"/>
  <c r="G186" i="16"/>
  <c r="G184" i="16"/>
  <c r="C38" i="3"/>
  <c r="D46" i="3"/>
  <c r="B32" i="4"/>
  <c r="E32" i="4" s="1"/>
  <c r="F2" i="11"/>
  <c r="B50" i="6" s="1"/>
  <c r="G123" i="16"/>
  <c r="G264" i="16"/>
  <c r="G252" i="16"/>
  <c r="G69" i="16"/>
  <c r="G290" i="16"/>
  <c r="G195" i="16"/>
  <c r="G191" i="16"/>
  <c r="G336" i="16"/>
  <c r="G248" i="16"/>
  <c r="G225" i="16"/>
  <c r="G294" i="16"/>
  <c r="G234" i="16"/>
  <c r="G229" i="16"/>
  <c r="G259" i="16"/>
  <c r="G239" i="16"/>
  <c r="G139" i="16"/>
  <c r="G316" i="16"/>
  <c r="G104" i="16"/>
  <c r="G37" i="16"/>
  <c r="G202" i="16"/>
  <c r="G114" i="16"/>
  <c r="G271" i="16"/>
  <c r="G344" i="16"/>
  <c r="G11" i="16"/>
  <c r="G313" i="16"/>
  <c r="G197" i="16"/>
  <c r="G303" i="16"/>
  <c r="G304" i="16"/>
  <c r="G84" i="16"/>
  <c r="G270" i="16"/>
  <c r="G300" i="16"/>
  <c r="G268" i="16"/>
  <c r="G28" i="16"/>
  <c r="G97" i="16"/>
  <c r="G21" i="16"/>
  <c r="G226" i="16"/>
  <c r="G86" i="16"/>
  <c r="G112" i="16"/>
  <c r="G7" i="16"/>
  <c r="G173" i="16"/>
  <c r="G291" i="16"/>
  <c r="G188" i="16"/>
  <c r="G329" i="16"/>
  <c r="G9" i="16"/>
  <c r="G247" i="16"/>
  <c r="G231" i="16"/>
  <c r="G193" i="16"/>
  <c r="G295" i="16"/>
  <c r="G59" i="16"/>
  <c r="G175" i="16"/>
  <c r="G131" i="16"/>
  <c r="G125" i="16"/>
  <c r="G158" i="16"/>
  <c r="G151" i="16"/>
  <c r="G228" i="16"/>
  <c r="G164" i="16"/>
  <c r="G120" i="16"/>
  <c r="G150" i="16"/>
  <c r="G102" i="16"/>
  <c r="G251" i="16"/>
  <c r="G171" i="16"/>
  <c r="G67" i="16"/>
  <c r="G15" i="16"/>
  <c r="G348" i="16"/>
  <c r="G255" i="16"/>
  <c r="G215" i="16"/>
  <c r="G145" i="16"/>
  <c r="G277" i="16"/>
  <c r="G287" i="15"/>
  <c r="J332" i="13"/>
  <c r="G295" i="15"/>
  <c r="J340" i="13"/>
  <c r="G308" i="15"/>
  <c r="J356" i="13"/>
  <c r="G322" i="15"/>
  <c r="J372" i="13"/>
  <c r="G337" i="15"/>
  <c r="J388" i="13"/>
  <c r="L987" i="14"/>
  <c r="L1060" i="14"/>
  <c r="H335" i="13"/>
  <c r="A9" i="3"/>
  <c r="G210" i="16"/>
  <c r="G88" i="16"/>
  <c r="G46" i="16"/>
  <c r="G272" i="16"/>
  <c r="G93" i="16"/>
  <c r="G105" i="16"/>
  <c r="G325" i="16"/>
  <c r="G162" i="16"/>
  <c r="G227" i="16"/>
  <c r="G63" i="16"/>
  <c r="G38" i="16"/>
  <c r="G115" i="16"/>
  <c r="G140" i="16"/>
  <c r="G65" i="16"/>
  <c r="G250" i="16"/>
  <c r="G170" i="16"/>
  <c r="G235" i="16"/>
  <c r="G258" i="16"/>
  <c r="G71" i="16"/>
  <c r="G221" i="16"/>
  <c r="A52" i="2"/>
  <c r="A54" i="2"/>
  <c r="A56" i="2"/>
  <c r="B54" i="2"/>
  <c r="B36" i="4"/>
  <c r="E36" i="4" s="1"/>
  <c r="K41" i="9"/>
  <c r="G286" i="16"/>
  <c r="G267" i="16"/>
  <c r="G79" i="16"/>
  <c r="G297" i="16"/>
  <c r="G289" i="16"/>
  <c r="G121" i="16"/>
  <c r="G178" i="16"/>
  <c r="G200" i="16"/>
  <c r="G351" i="16"/>
  <c r="G49" i="16"/>
  <c r="G122" i="16"/>
  <c r="G335" i="16"/>
  <c r="G307" i="16"/>
  <c r="G204" i="16"/>
  <c r="G124" i="16"/>
  <c r="G350" i="16"/>
  <c r="G119" i="16"/>
  <c r="G160" i="16"/>
  <c r="G24" i="16"/>
  <c r="J5" i="13"/>
  <c r="B36" i="2"/>
  <c r="B44" i="2"/>
  <c r="B48" i="2"/>
  <c r="C13" i="3"/>
  <c r="G14" i="3"/>
  <c r="C15" i="3"/>
  <c r="C66" i="3"/>
  <c r="D66" i="3" s="1"/>
  <c r="D67" i="3"/>
  <c r="C70" i="3"/>
  <c r="D71" i="3"/>
  <c r="C74" i="3"/>
  <c r="D75" i="3"/>
  <c r="C32" i="4"/>
  <c r="B33" i="4"/>
  <c r="E33" i="4" s="1"/>
  <c r="C14" i="6"/>
  <c r="C18" i="6"/>
  <c r="J7" i="9"/>
  <c r="J15" i="9"/>
  <c r="K15" i="9" s="1"/>
  <c r="J27" i="9"/>
  <c r="K27" i="9" s="1"/>
  <c r="J31" i="9"/>
  <c r="J43" i="9"/>
  <c r="K43" i="9" s="1"/>
  <c r="J51" i="9"/>
  <c r="K56" i="9"/>
  <c r="G278" i="16"/>
  <c r="G299" i="16"/>
  <c r="G211" i="16"/>
  <c r="G244" i="16"/>
  <c r="G220" i="16"/>
  <c r="G209" i="16"/>
  <c r="G73" i="16"/>
  <c r="G194" i="16"/>
  <c r="G332" i="16"/>
  <c r="G157" i="16"/>
  <c r="G342" i="16"/>
  <c r="G207" i="16"/>
  <c r="G323" i="16"/>
  <c r="G223" i="16"/>
  <c r="G340" i="16"/>
  <c r="G180" i="16"/>
  <c r="G177" i="16"/>
  <c r="G141" i="16"/>
  <c r="G185" i="16"/>
  <c r="G302" i="16"/>
  <c r="G110" i="16"/>
  <c r="G78" i="16"/>
  <c r="G159" i="16"/>
  <c r="G284" i="16"/>
  <c r="G89" i="16"/>
  <c r="G198" i="16"/>
  <c r="G19" i="16"/>
  <c r="G341" i="16"/>
  <c r="G190" i="16"/>
  <c r="G127" i="16"/>
  <c r="G68" i="16"/>
  <c r="G349" i="16"/>
  <c r="G219" i="16"/>
  <c r="G51" i="16"/>
  <c r="G216" i="16"/>
  <c r="G136" i="16"/>
  <c r="G2" i="16"/>
  <c r="G182" i="16"/>
  <c r="G82" i="16"/>
  <c r="G241" i="16"/>
  <c r="G201" i="16"/>
  <c r="G314" i="16"/>
  <c r="G266" i="16"/>
  <c r="G337" i="16"/>
  <c r="G310" i="16"/>
  <c r="G70" i="16"/>
  <c r="G62" i="16"/>
  <c r="G26" i="16"/>
  <c r="G39" i="16"/>
  <c r="G168" i="16"/>
  <c r="G60" i="16"/>
  <c r="G321" i="16"/>
  <c r="G273" i="16"/>
  <c r="G217" i="16"/>
  <c r="G276" i="16"/>
  <c r="G257" i="16"/>
  <c r="G237" i="16"/>
  <c r="G166" i="16"/>
  <c r="G199" i="16"/>
  <c r="G167" i="16"/>
  <c r="G103" i="16"/>
  <c r="G113" i="16"/>
  <c r="J8" i="13"/>
  <c r="J16" i="13"/>
  <c r="J20" i="13"/>
  <c r="J24" i="13"/>
  <c r="J28" i="13"/>
  <c r="J36" i="13"/>
  <c r="J40" i="13"/>
  <c r="J44" i="13"/>
  <c r="J48" i="13"/>
  <c r="J52" i="13"/>
  <c r="J60" i="13"/>
  <c r="J64" i="13"/>
  <c r="J68" i="13"/>
  <c r="J72" i="13"/>
  <c r="H74" i="13"/>
  <c r="J76" i="13"/>
  <c r="J80" i="13"/>
  <c r="J84" i="13"/>
  <c r="J88" i="13"/>
  <c r="J92" i="13"/>
  <c r="J100" i="13"/>
  <c r="J104" i="13"/>
  <c r="J108" i="13"/>
  <c r="J112" i="13"/>
  <c r="J116" i="13"/>
  <c r="J120" i="13"/>
  <c r="J128" i="13"/>
  <c r="J132" i="13"/>
  <c r="J136" i="13"/>
  <c r="J140" i="13"/>
  <c r="J144" i="13"/>
  <c r="I314" i="13"/>
  <c r="J314" i="13" s="1"/>
  <c r="G273" i="15"/>
  <c r="J319" i="13"/>
  <c r="G279" i="15"/>
  <c r="J323" i="13"/>
  <c r="G283" i="15"/>
  <c r="J327" i="13"/>
  <c r="G298" i="15"/>
  <c r="J344" i="13"/>
  <c r="G311" i="15"/>
  <c r="J360" i="13"/>
  <c r="G341" i="15"/>
  <c r="J392" i="13"/>
  <c r="L188" i="14"/>
  <c r="G134" i="16"/>
  <c r="G58" i="16"/>
  <c r="G14" i="16"/>
  <c r="G279" i="16"/>
  <c r="G27" i="16"/>
  <c r="G183" i="16"/>
  <c r="G265" i="16"/>
  <c r="G33" i="16"/>
  <c r="G5" i="16"/>
  <c r="G179" i="16"/>
  <c r="G312" i="16"/>
  <c r="G196" i="16"/>
  <c r="G132" i="16"/>
  <c r="G72" i="16"/>
  <c r="G56" i="16"/>
  <c r="G153" i="16"/>
  <c r="G137" i="16"/>
  <c r="G254" i="16"/>
  <c r="G222" i="16"/>
  <c r="G311" i="16"/>
  <c r="B13" i="3"/>
  <c r="B52" i="2" s="1"/>
  <c r="B17" i="3"/>
  <c r="B56" i="2" s="1"/>
  <c r="G256" i="16"/>
  <c r="G17" i="16"/>
  <c r="G146" i="16"/>
  <c r="G41" i="16"/>
  <c r="B28" i="2"/>
  <c r="B32" i="2"/>
  <c r="G16" i="3"/>
  <c r="C17" i="3"/>
  <c r="B26" i="3"/>
  <c r="B65" i="3"/>
  <c r="B69" i="3"/>
  <c r="B73" i="3"/>
  <c r="B77" i="3"/>
  <c r="C78" i="3"/>
  <c r="B81" i="3"/>
  <c r="C82" i="3"/>
  <c r="D82" i="3" s="1"/>
  <c r="B85" i="3"/>
  <c r="C86" i="3"/>
  <c r="D86" i="3" s="1"/>
  <c r="B89" i="3"/>
  <c r="C90" i="3"/>
  <c r="D90" i="3" s="1"/>
  <c r="B93" i="3"/>
  <c r="C94" i="3"/>
  <c r="D94" i="3" s="1"/>
  <c r="B97" i="3"/>
  <c r="C98" i="3"/>
  <c r="D98" i="3" s="1"/>
  <c r="B29" i="4"/>
  <c r="E29" i="4" s="1"/>
  <c r="C36" i="4"/>
  <c r="B37" i="4"/>
  <c r="E37" i="4" s="1"/>
  <c r="G6" i="5"/>
  <c r="B34" i="5"/>
  <c r="J11" i="9"/>
  <c r="J19" i="9"/>
  <c r="K19" i="9" s="1"/>
  <c r="J39" i="9"/>
  <c r="K39" i="9" s="1"/>
  <c r="J47" i="9"/>
  <c r="K47" i="9" s="1"/>
  <c r="J59" i="9"/>
  <c r="K59" i="9" s="1"/>
  <c r="G98" i="16"/>
  <c r="G343" i="16"/>
  <c r="G236" i="16"/>
  <c r="G149" i="16"/>
  <c r="G315" i="16"/>
  <c r="G281" i="16"/>
  <c r="G117" i="16"/>
  <c r="G246" i="16"/>
  <c r="G142" i="16"/>
  <c r="G94" i="16"/>
  <c r="G22" i="16"/>
  <c r="G275" i="16"/>
  <c r="G147" i="16"/>
  <c r="G91" i="16"/>
  <c r="G324" i="16"/>
  <c r="G309" i="16"/>
  <c r="G90" i="16"/>
  <c r="G260" i="16"/>
  <c r="G4" i="16"/>
  <c r="G298" i="16"/>
  <c r="G174" i="16"/>
  <c r="G232" i="16"/>
  <c r="G176" i="16"/>
  <c r="G13" i="16"/>
  <c r="G47" i="16"/>
  <c r="G36" i="16"/>
  <c r="G32" i="16"/>
  <c r="G306" i="16"/>
  <c r="G25" i="16"/>
  <c r="G85" i="16"/>
  <c r="A53" i="2"/>
  <c r="A55" i="2"/>
  <c r="A57" i="2"/>
  <c r="A59" i="2"/>
  <c r="A61" i="2"/>
  <c r="C26" i="3"/>
  <c r="C65" i="3"/>
  <c r="B68" i="3"/>
  <c r="C69" i="3"/>
  <c r="B72" i="3"/>
  <c r="C73" i="3"/>
  <c r="B76" i="3"/>
  <c r="C77" i="3"/>
  <c r="B80" i="3"/>
  <c r="C81" i="3"/>
  <c r="B84" i="3"/>
  <c r="C85" i="3"/>
  <c r="B88" i="3"/>
  <c r="C89" i="3"/>
  <c r="B92" i="3"/>
  <c r="C93" i="3"/>
  <c r="B96" i="3"/>
  <c r="C97" i="3"/>
  <c r="C15" i="6"/>
  <c r="P10" i="8"/>
  <c r="D60" i="3" s="1"/>
  <c r="E60" i="3" s="1"/>
  <c r="J2" i="9"/>
  <c r="K2" i="9" s="1"/>
  <c r="J10" i="9"/>
  <c r="K10" i="9" s="1"/>
  <c r="J14" i="9"/>
  <c r="K14" i="9" s="1"/>
  <c r="J18" i="9"/>
  <c r="K18" i="9" s="1"/>
  <c r="J26" i="9"/>
  <c r="K26" i="9" s="1"/>
  <c r="J30" i="9"/>
  <c r="K30" i="9" s="1"/>
  <c r="J34" i="9"/>
  <c r="J38" i="9"/>
  <c r="K38" i="9" s="1"/>
  <c r="J42" i="9"/>
  <c r="K42" i="9" s="1"/>
  <c r="J54" i="9"/>
  <c r="K54" i="9" s="1"/>
  <c r="J58" i="9"/>
  <c r="K58" i="9" s="1"/>
  <c r="G74" i="16"/>
  <c r="G319" i="16"/>
  <c r="G8" i="16"/>
  <c r="G238" i="16"/>
  <c r="G253" i="16"/>
  <c r="G44" i="16"/>
  <c r="G20" i="16"/>
  <c r="G161" i="16"/>
  <c r="G317" i="16"/>
  <c r="G53" i="16"/>
  <c r="G31" i="16"/>
  <c r="G296" i="16"/>
  <c r="G152" i="16"/>
  <c r="G108" i="16"/>
  <c r="G181" i="16"/>
  <c r="G346" i="16"/>
  <c r="G35" i="16"/>
  <c r="G269" i="16"/>
  <c r="G57" i="16"/>
  <c r="G347" i="16"/>
  <c r="G328" i="16"/>
  <c r="G169" i="16"/>
  <c r="G230" i="16"/>
  <c r="G327" i="16"/>
  <c r="G287" i="16"/>
  <c r="G155" i="16"/>
  <c r="G130" i="16"/>
  <c r="G233" i="16"/>
  <c r="G322" i="16"/>
  <c r="G282" i="16"/>
  <c r="G339" i="16"/>
  <c r="G143" i="16"/>
  <c r="G288" i="16"/>
  <c r="G52" i="16"/>
  <c r="G133" i="16"/>
  <c r="G263" i="16"/>
  <c r="G240" i="16"/>
  <c r="G301" i="16"/>
  <c r="G75" i="16"/>
  <c r="G23" i="16"/>
  <c r="G48" i="16"/>
  <c r="G3" i="16"/>
  <c r="G249" i="16"/>
  <c r="G6" i="16"/>
  <c r="G331" i="16"/>
  <c r="G224" i="16"/>
  <c r="G76" i="16"/>
  <c r="G345" i="16"/>
  <c r="G261" i="16"/>
  <c r="G338" i="16"/>
  <c r="G292" i="16"/>
  <c r="G29" i="16"/>
  <c r="G330" i="16"/>
  <c r="G148" i="16"/>
  <c r="G30" i="16"/>
  <c r="G18" i="16"/>
  <c r="G308" i="16"/>
  <c r="O74" i="12"/>
  <c r="G334" i="16"/>
  <c r="G242" i="16"/>
  <c r="G99" i="16"/>
  <c r="G16" i="16"/>
  <c r="G187" i="16"/>
  <c r="G192" i="16"/>
  <c r="G40" i="16"/>
  <c r="G285" i="16"/>
  <c r="G205" i="16"/>
  <c r="G274" i="16"/>
  <c r="G283" i="16"/>
  <c r="G212" i="16"/>
  <c r="G81" i="16"/>
  <c r="G12" i="16"/>
  <c r="G245" i="16"/>
  <c r="G218" i="16"/>
  <c r="G43" i="16"/>
  <c r="J3" i="13"/>
  <c r="J7" i="13"/>
  <c r="J15" i="13"/>
  <c r="J19" i="13"/>
  <c r="J23" i="13"/>
  <c r="J27" i="13"/>
  <c r="J31" i="13"/>
  <c r="J47" i="13"/>
  <c r="J51" i="13"/>
  <c r="J59" i="13"/>
  <c r="J67" i="13"/>
  <c r="H69" i="13"/>
  <c r="B28" i="3" s="1"/>
  <c r="J71" i="13"/>
  <c r="J75" i="13"/>
  <c r="J79" i="13"/>
  <c r="J87" i="13"/>
  <c r="J103" i="13"/>
  <c r="J107" i="13"/>
  <c r="J111" i="13"/>
  <c r="J123" i="13"/>
  <c r="J127" i="13"/>
  <c r="J131" i="13"/>
  <c r="J135" i="13"/>
  <c r="J139" i="13"/>
  <c r="J143" i="13"/>
  <c r="J147" i="13"/>
  <c r="J155" i="13"/>
  <c r="J163" i="13"/>
  <c r="J167" i="13"/>
  <c r="J171" i="13"/>
  <c r="J175" i="13"/>
  <c r="J179" i="13"/>
  <c r="J183" i="13"/>
  <c r="J187" i="13"/>
  <c r="J195" i="13"/>
  <c r="J199" i="13"/>
  <c r="J203" i="13"/>
  <c r="J207" i="13"/>
  <c r="J211" i="13"/>
  <c r="J219" i="13"/>
  <c r="J223" i="13"/>
  <c r="J235" i="13"/>
  <c r="J239" i="13"/>
  <c r="J243" i="13"/>
  <c r="J247" i="13"/>
  <c r="J251" i="13"/>
  <c r="J255" i="13"/>
  <c r="J267" i="13"/>
  <c r="J271" i="13"/>
  <c r="J275" i="13"/>
  <c r="J279" i="13"/>
  <c r="J283" i="13"/>
  <c r="J291" i="13"/>
  <c r="J295" i="13"/>
  <c r="J299" i="13"/>
  <c r="J303" i="13"/>
  <c r="J307" i="13"/>
  <c r="J311" i="13"/>
  <c r="I313" i="13"/>
  <c r="C6" i="4" s="1"/>
  <c r="I316" i="13"/>
  <c r="J316" i="13" s="1"/>
  <c r="G276" i="15"/>
  <c r="J320" i="13"/>
  <c r="G280" i="15"/>
  <c r="J324" i="13"/>
  <c r="J328" i="13"/>
  <c r="G286" i="15"/>
  <c r="J331" i="13"/>
  <c r="G314" i="15"/>
  <c r="J364" i="13"/>
  <c r="G329" i="15"/>
  <c r="J380" i="13"/>
  <c r="L178" i="14"/>
  <c r="L194" i="14"/>
  <c r="L210" i="14"/>
  <c r="L236" i="14"/>
  <c r="G318" i="16"/>
  <c r="G333" i="16"/>
  <c r="G293" i="16"/>
  <c r="G54" i="16"/>
  <c r="G42" i="16"/>
  <c r="G87" i="16"/>
  <c r="G10" i="16"/>
  <c r="G206" i="16"/>
  <c r="G138" i="16"/>
  <c r="G243" i="16"/>
  <c r="G203" i="16"/>
  <c r="G92" i="16"/>
  <c r="G326" i="16"/>
  <c r="G214" i="16"/>
  <c r="G106" i="16"/>
  <c r="G64" i="16"/>
  <c r="G163" i="16"/>
  <c r="G135" i="16"/>
  <c r="G156" i="16"/>
  <c r="G128" i="16"/>
  <c r="G262" i="16"/>
  <c r="G118" i="16"/>
  <c r="G34" i="16"/>
  <c r="G208" i="16"/>
  <c r="G109" i="16"/>
  <c r="G45" i="16"/>
  <c r="G101" i="16"/>
  <c r="J146" i="13"/>
  <c r="J150" i="13"/>
  <c r="J154" i="13"/>
  <c r="J158" i="13"/>
  <c r="J162" i="13"/>
  <c r="J166" i="13"/>
  <c r="J170" i="13"/>
  <c r="J174" i="13"/>
  <c r="J178" i="13"/>
  <c r="J182" i="13"/>
  <c r="J186" i="13"/>
  <c r="J190" i="13"/>
  <c r="J194" i="13"/>
  <c r="J198" i="13"/>
  <c r="J202" i="13"/>
  <c r="J206" i="13"/>
  <c r="J210" i="13"/>
  <c r="J214" i="13"/>
  <c r="J218" i="13"/>
  <c r="J222" i="13"/>
  <c r="J226" i="13"/>
  <c r="J230" i="13"/>
  <c r="J238" i="13"/>
  <c r="J242" i="13"/>
  <c r="J246" i="13"/>
  <c r="J250" i="13"/>
  <c r="J254" i="13"/>
  <c r="J258" i="13"/>
  <c r="J262" i="13"/>
  <c r="J266" i="13"/>
  <c r="J270" i="13"/>
  <c r="J274" i="13"/>
  <c r="J278" i="13"/>
  <c r="J286" i="13"/>
  <c r="J290" i="13"/>
  <c r="J294" i="13"/>
  <c r="J298" i="13"/>
  <c r="J302" i="13"/>
  <c r="J306" i="13"/>
  <c r="J310" i="13"/>
  <c r="J312" i="13"/>
  <c r="I318" i="13"/>
  <c r="J318" i="13" s="1"/>
  <c r="G291" i="15"/>
  <c r="J336" i="13"/>
  <c r="G304" i="15"/>
  <c r="J352" i="13"/>
  <c r="G318" i="15"/>
  <c r="J368" i="13"/>
  <c r="G333" i="15"/>
  <c r="J384" i="13"/>
  <c r="G348" i="15"/>
  <c r="J400" i="13"/>
  <c r="L3" i="14"/>
  <c r="L5" i="14"/>
  <c r="L7" i="14"/>
  <c r="L9" i="14"/>
  <c r="L11" i="14"/>
  <c r="L13" i="14"/>
  <c r="L15" i="14"/>
  <c r="L17" i="14"/>
  <c r="L19" i="14"/>
  <c r="L21" i="14"/>
  <c r="L23" i="14"/>
  <c r="L25" i="14"/>
  <c r="L27" i="14"/>
  <c r="L29" i="14"/>
  <c r="L31" i="14"/>
  <c r="L33" i="14"/>
  <c r="L35" i="14"/>
  <c r="L37" i="14"/>
  <c r="L39" i="14"/>
  <c r="L41" i="14"/>
  <c r="L43" i="14"/>
  <c r="L45" i="14"/>
  <c r="L47" i="14"/>
  <c r="L49" i="14"/>
  <c r="L51" i="14"/>
  <c r="L53" i="14"/>
  <c r="L55" i="14"/>
  <c r="L57" i="14"/>
  <c r="L59" i="14"/>
  <c r="L61" i="14"/>
  <c r="L63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82" i="14"/>
  <c r="L198" i="14"/>
  <c r="L216" i="14"/>
  <c r="L213" i="14"/>
  <c r="L288" i="14"/>
  <c r="L304" i="14"/>
  <c r="L320" i="14"/>
  <c r="L336" i="14"/>
  <c r="L352" i="14"/>
  <c r="L368" i="14"/>
  <c r="L380" i="14"/>
  <c r="L284" i="14"/>
  <c r="L286" i="14"/>
  <c r="L300" i="14"/>
  <c r="L302" i="14"/>
  <c r="L316" i="14"/>
  <c r="L318" i="14"/>
  <c r="L332" i="14"/>
  <c r="L334" i="14"/>
  <c r="L348" i="14"/>
  <c r="L350" i="14"/>
  <c r="L364" i="14"/>
  <c r="L366" i="14"/>
  <c r="L384" i="14"/>
  <c r="L392" i="14"/>
  <c r="L400" i="14"/>
  <c r="L408" i="14"/>
  <c r="L416" i="14"/>
  <c r="L424" i="14"/>
  <c r="L432" i="14"/>
  <c r="L440" i="14"/>
  <c r="L448" i="14"/>
  <c r="L456" i="14"/>
  <c r="L464" i="14"/>
  <c r="L472" i="14"/>
  <c r="L480" i="14"/>
  <c r="L488" i="14"/>
  <c r="L496" i="14"/>
  <c r="L504" i="14"/>
  <c r="L512" i="14"/>
  <c r="L520" i="14"/>
  <c r="L528" i="14"/>
  <c r="L536" i="14"/>
  <c r="L544" i="14"/>
  <c r="L552" i="14"/>
  <c r="L560" i="14"/>
  <c r="L568" i="14"/>
  <c r="L576" i="14"/>
  <c r="L584" i="14"/>
  <c r="L592" i="14"/>
  <c r="L600" i="14"/>
  <c r="L608" i="14"/>
  <c r="L616" i="14"/>
  <c r="L624" i="14"/>
  <c r="L632" i="14"/>
  <c r="L640" i="14"/>
  <c r="J339" i="13"/>
  <c r="J343" i="13"/>
  <c r="J347" i="13"/>
  <c r="J351" i="13"/>
  <c r="J355" i="13"/>
  <c r="J367" i="13"/>
  <c r="J371" i="13"/>
  <c r="J375" i="13"/>
  <c r="J379" i="13"/>
  <c r="J383" i="13"/>
  <c r="J387" i="13"/>
  <c r="J391" i="13"/>
  <c r="J395" i="13"/>
  <c r="J399" i="13"/>
  <c r="L240" i="14"/>
  <c r="L244" i="14"/>
  <c r="L248" i="14"/>
  <c r="L252" i="14"/>
  <c r="L256" i="14"/>
  <c r="L260" i="14"/>
  <c r="L264" i="14"/>
  <c r="L268" i="14"/>
  <c r="L272" i="14"/>
  <c r="L276" i="14"/>
  <c r="L280" i="14"/>
  <c r="L282" i="14"/>
  <c r="L296" i="14"/>
  <c r="L298" i="14"/>
  <c r="L312" i="14"/>
  <c r="L314" i="14"/>
  <c r="L328" i="14"/>
  <c r="L330" i="14"/>
  <c r="L344" i="14"/>
  <c r="L346" i="14"/>
  <c r="L360" i="14"/>
  <c r="L362" i="14"/>
  <c r="L648" i="14"/>
  <c r="L650" i="14"/>
  <c r="L652" i="14"/>
  <c r="L654" i="14"/>
  <c r="L656" i="14"/>
  <c r="L658" i="14"/>
  <c r="L660" i="14"/>
  <c r="L662" i="14"/>
  <c r="L664" i="14"/>
  <c r="L666" i="14"/>
  <c r="L668" i="14"/>
  <c r="L670" i="14"/>
  <c r="L672" i="14"/>
  <c r="L674" i="14"/>
  <c r="L676" i="14"/>
  <c r="L678" i="14"/>
  <c r="L680" i="14"/>
  <c r="L682" i="14"/>
  <c r="L684" i="14"/>
  <c r="L686" i="14"/>
  <c r="L688" i="14"/>
  <c r="L690" i="14"/>
  <c r="L692" i="14"/>
  <c r="L694" i="14"/>
  <c r="L696" i="14"/>
  <c r="L698" i="14"/>
  <c r="L700" i="14"/>
  <c r="L702" i="14"/>
  <c r="L704" i="14"/>
  <c r="L706" i="14"/>
  <c r="L708" i="14"/>
  <c r="L710" i="14"/>
  <c r="L712" i="14"/>
  <c r="L714" i="14"/>
  <c r="L716" i="14"/>
  <c r="L718" i="14"/>
  <c r="L720" i="14"/>
  <c r="L722" i="14"/>
  <c r="L724" i="14"/>
  <c r="L726" i="14"/>
  <c r="L729" i="14"/>
  <c r="L731" i="14"/>
  <c r="L745" i="14"/>
  <c r="L747" i="14"/>
  <c r="L761" i="14"/>
  <c r="L763" i="14"/>
  <c r="L777" i="14"/>
  <c r="L779" i="14"/>
  <c r="L793" i="14"/>
  <c r="L795" i="14"/>
  <c r="L809" i="14"/>
  <c r="L811" i="14"/>
  <c r="L825" i="14"/>
  <c r="L827" i="14"/>
  <c r="L841" i="14"/>
  <c r="L843" i="14"/>
  <c r="L857" i="14"/>
  <c r="L859" i="14"/>
  <c r="L873" i="14"/>
  <c r="L875" i="14"/>
  <c r="L889" i="14"/>
  <c r="L891" i="14"/>
  <c r="L905" i="14"/>
  <c r="L907" i="14"/>
  <c r="L921" i="14"/>
  <c r="L923" i="14"/>
  <c r="L957" i="14"/>
  <c r="L743" i="14"/>
  <c r="L759" i="14"/>
  <c r="L775" i="14"/>
  <c r="L791" i="14"/>
  <c r="L807" i="14"/>
  <c r="L823" i="14"/>
  <c r="L839" i="14"/>
  <c r="L855" i="14"/>
  <c r="L871" i="14"/>
  <c r="L887" i="14"/>
  <c r="L903" i="14"/>
  <c r="L919" i="14"/>
  <c r="L989" i="14"/>
  <c r="L991" i="14"/>
  <c r="L993" i="14"/>
  <c r="L995" i="14"/>
  <c r="L997" i="14"/>
  <c r="L999" i="14"/>
  <c r="L1001" i="14"/>
  <c r="L1003" i="14"/>
  <c r="L1005" i="14"/>
  <c r="L1007" i="14"/>
  <c r="L1009" i="14"/>
  <c r="L1010" i="14"/>
  <c r="L1011" i="14"/>
  <c r="L1012" i="14"/>
  <c r="L1013" i="14"/>
  <c r="L1014" i="14"/>
  <c r="L1015" i="14"/>
  <c r="L1016" i="14"/>
  <c r="L1017" i="14"/>
  <c r="L1018" i="14"/>
  <c r="L1019" i="14"/>
  <c r="L1020" i="14"/>
  <c r="L1021" i="14"/>
  <c r="L1022" i="14"/>
  <c r="L1023" i="14"/>
  <c r="L1024" i="14"/>
  <c r="L1025" i="14"/>
  <c r="L1026" i="14"/>
  <c r="L1027" i="14"/>
  <c r="L1028" i="14"/>
  <c r="L1029" i="14"/>
  <c r="L1030" i="14"/>
  <c r="L1031" i="14"/>
  <c r="L1032" i="14"/>
  <c r="L1033" i="14"/>
  <c r="L1034" i="14"/>
  <c r="L1035" i="14"/>
  <c r="L1036" i="14"/>
  <c r="L1037" i="14"/>
  <c r="L1080" i="14"/>
  <c r="L1084" i="14"/>
  <c r="L1088" i="14"/>
  <c r="L1092" i="14"/>
  <c r="L1096" i="14"/>
  <c r="L1100" i="14"/>
  <c r="L1104" i="14"/>
  <c r="L1108" i="14"/>
  <c r="L1112" i="14"/>
  <c r="L1116" i="14"/>
  <c r="L1120" i="14"/>
  <c r="L1124" i="14"/>
  <c r="L1128" i="14"/>
  <c r="L1132" i="14"/>
  <c r="L1136" i="14"/>
  <c r="L1144" i="14"/>
  <c r="L1148" i="14"/>
  <c r="L1042" i="14"/>
  <c r="L1058" i="14"/>
  <c r="L1074" i="14"/>
  <c r="L1154" i="14"/>
  <c r="L1156" i="14"/>
  <c r="L1158" i="14"/>
  <c r="L1160" i="14"/>
  <c r="L1163" i="14"/>
  <c r="L1177" i="14"/>
  <c r="L1193" i="14"/>
  <c r="L1171" i="14"/>
  <c r="L1173" i="14"/>
  <c r="L1189" i="14"/>
  <c r="L1235" i="14"/>
  <c r="L1251" i="14"/>
  <c r="L1223" i="14"/>
  <c r="L1239" i="14"/>
  <c r="B25" i="2" l="1"/>
  <c r="D76" i="3"/>
  <c r="B42" i="2"/>
  <c r="D93" i="3"/>
  <c r="B34" i="2"/>
  <c r="D85" i="3"/>
  <c r="D73" i="3"/>
  <c r="B22" i="2"/>
  <c r="K7" i="9"/>
  <c r="D51" i="3"/>
  <c r="G56" i="15"/>
  <c r="C6" i="3"/>
  <c r="B91" i="3"/>
  <c r="G15" i="3"/>
  <c r="J69" i="13"/>
  <c r="J61" i="9"/>
  <c r="K61" i="9" s="1"/>
  <c r="B33" i="2"/>
  <c r="D84" i="3"/>
  <c r="K51" i="9"/>
  <c r="D53" i="3"/>
  <c r="D70" i="3"/>
  <c r="B19" i="2"/>
  <c r="B45" i="2"/>
  <c r="D96" i="3"/>
  <c r="B37" i="2"/>
  <c r="D88" i="3"/>
  <c r="B29" i="2"/>
  <c r="D80" i="3"/>
  <c r="D72" i="3"/>
  <c r="B21" i="2"/>
  <c r="K11" i="9"/>
  <c r="D49" i="3"/>
  <c r="D97" i="3"/>
  <c r="B46" i="2"/>
  <c r="D89" i="3"/>
  <c r="B38" i="2"/>
  <c r="D81" i="3"/>
  <c r="B30" i="2"/>
  <c r="B18" i="2"/>
  <c r="D69" i="3"/>
  <c r="G61" i="15"/>
  <c r="J74" i="13"/>
  <c r="J50" i="9"/>
  <c r="P9" i="8"/>
  <c r="D59" i="3" s="1"/>
  <c r="E59" i="3" s="1"/>
  <c r="G17" i="3"/>
  <c r="K31" i="9"/>
  <c r="D48" i="3"/>
  <c r="G290" i="15"/>
  <c r="J335" i="13"/>
  <c r="J17" i="9"/>
  <c r="K17" i="9" s="1"/>
  <c r="B74" i="3"/>
  <c r="J313" i="13"/>
  <c r="B41" i="2"/>
  <c r="D92" i="3"/>
  <c r="B17" i="2"/>
  <c r="D68" i="3"/>
  <c r="A6" i="4"/>
  <c r="D77" i="3"/>
  <c r="B26" i="2"/>
  <c r="D54" i="3"/>
  <c r="K34" i="9"/>
  <c r="P2" i="8"/>
  <c r="D58" i="3" s="1"/>
  <c r="E58" i="3" s="1"/>
  <c r="B14" i="2"/>
  <c r="D65" i="3"/>
  <c r="B27" i="3"/>
  <c r="E6" i="3" l="1"/>
  <c r="A6" i="2"/>
  <c r="D74" i="3"/>
  <c r="B23" i="2"/>
  <c r="D50" i="3"/>
  <c r="K50" i="9"/>
  <c r="G9" i="4"/>
  <c r="J9" i="2" s="1"/>
  <c r="D91" i="3"/>
  <c r="B40" i="2"/>
  <c r="G6" i="4" l="1"/>
  <c r="G6" i="2" s="1"/>
  <c r="D6" i="2"/>
</calcChain>
</file>

<file path=xl/sharedStrings.xml><?xml version="1.0" encoding="utf-8"?>
<sst xmlns="http://schemas.openxmlformats.org/spreadsheetml/2006/main" count="4394" uniqueCount="1517">
  <si>
    <t>Company-Wide KPIs</t>
  </si>
  <si>
    <t>TOTAL REVENUE</t>
  </si>
  <si>
    <t>GROSS PROFIT</t>
  </si>
  <si>
    <t>GROSS MARGIN</t>
  </si>
  <si>
    <t>TOTAL ORDERS</t>
  </si>
  <si>
    <t>ACTIVE HEADCOUNT</t>
  </si>
  <si>
    <t>TOTAL PAYROLL</t>
  </si>
  <si>
    <t>SKUs NEEDING REORDER</t>
  </si>
  <si>
    <t>AR GAP (Uncollected)</t>
  </si>
  <si>
    <t>Month</t>
  </si>
  <si>
    <t>Revenue</t>
  </si>
  <si>
    <t>Category</t>
  </si>
  <si>
    <t>Status</t>
  </si>
  <si>
    <t>Count</t>
  </si>
  <si>
    <t>Delivered</t>
  </si>
  <si>
    <t>Returned</t>
  </si>
  <si>
    <t>Pending</t>
  </si>
  <si>
    <t>Cancelled</t>
  </si>
  <si>
    <t>Shipped</t>
  </si>
  <si>
    <t>Department</t>
  </si>
  <si>
    <t>Headcount</t>
  </si>
  <si>
    <t>Sales Performance Analysis</t>
  </si>
  <si>
    <t>Key Performance Indicators</t>
  </si>
  <si>
    <t>REVENUE (excl. Cancelled)</t>
  </si>
  <si>
    <t>AVG ORDER VALUE</t>
  </si>
  <si>
    <t>UNITS SOLD</t>
  </si>
  <si>
    <t>CANCELLATION RATE</t>
  </si>
  <si>
    <t>RETURN RATE</t>
  </si>
  <si>
    <t>AVG DISCOUNT GIVEN</t>
  </si>
  <si>
    <t>ACTIVE CUSTOMERS</t>
  </si>
  <si>
    <t>Revenue by Category</t>
  </si>
  <si>
    <t>Revenue by Ship Region</t>
  </si>
  <si>
    <t>Units Sold</t>
  </si>
  <si>
    <t>Product Count</t>
  </si>
  <si>
    <t>Region</t>
  </si>
  <si>
    <t>Orders</t>
  </si>
  <si>
    <t>North America</t>
  </si>
  <si>
    <t>Europe</t>
  </si>
  <si>
    <t>Asia Pacific</t>
  </si>
  <si>
    <t>Middle East</t>
  </si>
  <si>
    <t>Latin America</t>
  </si>
  <si>
    <t>Revenue by Customer Segment</t>
  </si>
  <si>
    <t>Segment</t>
  </si>
  <si>
    <t>Corporate</t>
  </si>
  <si>
    <t>Small Business</t>
  </si>
  <si>
    <t>Consumer</t>
  </si>
  <si>
    <t>Top 10 Products by Revenue</t>
  </si>
  <si>
    <t>Product ID</t>
  </si>
  <si>
    <t>Product Name</t>
  </si>
  <si>
    <t>Top 10 Customers by Revenue</t>
  </si>
  <si>
    <t>Customer ID</t>
  </si>
  <si>
    <t>Company</t>
  </si>
  <si>
    <t>Sales Rep Performance</t>
  </si>
  <si>
    <t>Employee ID</t>
  </si>
  <si>
    <t>Name</t>
  </si>
  <si>
    <t>Orders Handled</t>
  </si>
  <si>
    <t>Revenue Generated</t>
  </si>
  <si>
    <t>Avg Order Value</t>
  </si>
  <si>
    <t>Monthly Revenue Trend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</si>
  <si>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</si>
  <si>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</si>
  <si>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</si>
  <si>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</si>
  <si>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</si>
  <si>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</si>
  <si>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</si>
  <si>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</si>
  <si>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</si>
  <si>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</si>
  <si>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</si>
  <si>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</si>
  <si>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</si>
  <si>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</si>
  <si>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</si>
  <si>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</si>
  <si>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</si>
  <si>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</si>
  <si>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</si>
  <si>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</si>
  <si>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</si>
  <si>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</si>
  <si>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</si>
  <si>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</si>
  <si>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</si>
  <si>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</si>
  <si>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</si>
  <si>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</si>
  <si>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</si>
  <si>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</si>
  <si>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</si>
  <si>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</si>
  <si>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</si>
  <si>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</si>
  <si>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</si>
  <si>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</si>
  <si>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Finance Analysis</t>
  </si>
  <si>
    <t>GROSS REVENUE (excl. Cancelled)</t>
  </si>
  <si>
    <t>TOTAL COGS</t>
  </si>
  <si>
    <t>GROSS MARGIN %</t>
  </si>
  <si>
    <t>CASH COLLECTED (Completed)</t>
  </si>
  <si>
    <t>REFUNDED</t>
  </si>
  <si>
    <t>PENDING PAYMENTS</t>
  </si>
  <si>
    <t>AR GAP (Revenue-Collected)</t>
  </si>
  <si>
    <t>Payments by Status</t>
  </si>
  <si>
    <t>Payments by Method</t>
  </si>
  <si>
    <t>Total Amount</t>
  </si>
  <si>
    <t>% of Payments</t>
  </si>
  <si>
    <t>Method</t>
  </si>
  <si>
    <t>Completed</t>
  </si>
  <si>
    <t>Credit Card</t>
  </si>
  <si>
    <t>Refunded</t>
  </si>
  <si>
    <t>Bank Transfer</t>
  </si>
  <si>
    <t>PayPal</t>
  </si>
  <si>
    <t>Check</t>
  </si>
  <si>
    <t>Department Budget vs. Payroll Cost</t>
  </si>
  <si>
    <t>Budget</t>
  </si>
  <si>
    <t>Payroll Cost</t>
  </si>
  <si>
    <t>Variance</t>
  </si>
  <si>
    <t>Utilization %</t>
  </si>
  <si>
    <t>Category Profitability</t>
  </si>
  <si>
    <t>Inventory Value</t>
  </si>
  <si>
    <t>Est. COGS on Sales</t>
  </si>
  <si>
    <t>Est. Margin %</t>
  </si>
  <si>
    <t>Monthly Cash Collected (Completed Payments)</t>
  </si>
  <si>
    <t>Cash Collected</t>
  </si>
  <si>
    <t>Payment Count</t>
  </si>
  <si>
    <t>Human Resources Analysis</t>
  </si>
  <si>
    <t>TOTAL HEADCOUNT</t>
  </si>
  <si>
    <t>TOTAL PAYROLL (Annual)</t>
  </si>
  <si>
    <t>AVERAGE SALARY</t>
  </si>
  <si>
    <t>AVG TENURE (Years)</t>
  </si>
  <si>
    <t>TOTAL DEPT BUDGET</t>
  </si>
  <si>
    <t>PAYROLL / BUDGET %</t>
  </si>
  <si>
    <t>MEDIAN SALARY</t>
  </si>
  <si>
    <t>HEADCOUNT W/ DIRECT REPORTS</t>
  </si>
  <si>
    <t>Headcount &amp; Compensation by Department</t>
  </si>
  <si>
    <t>Avg Salary</t>
  </si>
  <si>
    <t>Min Salary</t>
  </si>
  <si>
    <t>Max Salary</t>
  </si>
  <si>
    <t>Total Payroll</t>
  </si>
  <si>
    <t>Headcount by Region</t>
  </si>
  <si>
    <t>Tenure Distribution</t>
  </si>
  <si>
    <t>Tenure Band</t>
  </si>
  <si>
    <t>0-2 years</t>
  </si>
  <si>
    <t>2-5 years</t>
  </si>
  <si>
    <t>5-8 years</t>
  </si>
  <si>
    <t>8+ years</t>
  </si>
  <si>
    <t>Manager Span of Control</t>
  </si>
  <si>
    <t>Manager Name</t>
  </si>
  <si>
    <t>Direct Reports</t>
  </si>
  <si>
    <t>Supply Chain &amp; Inventory Analysis</t>
  </si>
  <si>
    <t>TOTAL SKUs</t>
  </si>
  <si>
    <t>SKUs AT/BELOW REORDER LEVEL</t>
  </si>
  <si>
    <t>TOTAL INVENTORY VALUE</t>
  </si>
  <si>
    <t>DISCONTINUED W/ STOCK</t>
  </si>
  <si>
    <t>TOTAL RESTOCK UNITS</t>
  </si>
  <si>
    <t>TOTAL DAMAGED UNITS</t>
  </si>
  <si>
    <t>AVG SUPPLIER LEAD TIME (days)</t>
  </si>
  <si>
    <t>AVG SUPPLIER RATING</t>
  </si>
  <si>
    <t>Reorder Alert — Stock At or Below Reorder Level</t>
  </si>
  <si>
    <t>Stock Qty</t>
  </si>
  <si>
    <t>Reorder Level</t>
  </si>
  <si>
    <t>Supplier</t>
  </si>
  <si>
    <t>Supplier Performance Scorecard</t>
  </si>
  <si>
    <t>Country</t>
  </si>
  <si>
    <t>Lead Time (days)</t>
  </si>
  <si>
    <t>Rating</t>
  </si>
  <si>
    <t>Products Supplied</t>
  </si>
  <si>
    <t>Total Restock Qty</t>
  </si>
  <si>
    <t>Inventory Movement by Transaction Type</t>
  </si>
  <si>
    <t>Transaction Type</t>
  </si>
  <si>
    <t>Transaction Count</t>
  </si>
  <si>
    <t>Total Units</t>
  </si>
  <si>
    <t>Restock</t>
  </si>
  <si>
    <t>Sale</t>
  </si>
  <si>
    <t>Return</t>
  </si>
  <si>
    <t>Adjustment</t>
  </si>
  <si>
    <t>Damaged</t>
  </si>
  <si>
    <t>Inventory Value &amp; Sell-Through by Category</t>
  </si>
  <si>
    <t>Units Sold (YTD all)</t>
  </si>
  <si>
    <t>Sell-Through Ratio</t>
  </si>
  <si>
    <t>budget</t>
  </si>
  <si>
    <t>Total Salary Cost</t>
  </si>
  <si>
    <t>Budget Variance</t>
  </si>
  <si>
    <t>Budget Utilization %</t>
  </si>
  <si>
    <t>Sales</t>
  </si>
  <si>
    <t>Marketing</t>
  </si>
  <si>
    <t>Finance</t>
  </si>
  <si>
    <t>Operations</t>
  </si>
  <si>
    <t>Human Resources</t>
  </si>
  <si>
    <t>IT</t>
  </si>
  <si>
    <t>Customer Support</t>
  </si>
  <si>
    <t>email</t>
  </si>
  <si>
    <t>salary</t>
  </si>
  <si>
    <t>region</t>
  </si>
  <si>
    <t>Department Name</t>
  </si>
  <si>
    <t>Tenure (Years)</t>
  </si>
  <si>
    <t>Daniel</t>
  </si>
  <si>
    <t>Brown</t>
  </si>
  <si>
    <t>daniel.brown1@company.com</t>
  </si>
  <si>
    <t>Account Executive</t>
  </si>
  <si>
    <t>2015-02-21</t>
  </si>
  <si>
    <t>Linda</t>
  </si>
  <si>
    <t>Jones</t>
  </si>
  <si>
    <t>linda.jones2@company.com</t>
  </si>
  <si>
    <t>SEO Analyst</t>
  </si>
  <si>
    <t>2015-07-29</t>
  </si>
  <si>
    <t>John</t>
  </si>
  <si>
    <t>Jackson</t>
  </si>
  <si>
    <t>john.jackson3@company.com</t>
  </si>
  <si>
    <t>Controller</t>
  </si>
  <si>
    <t>2017-05-14</t>
  </si>
  <si>
    <t>Michael</t>
  </si>
  <si>
    <t>Davis</t>
  </si>
  <si>
    <t>michael.davis4@company.com</t>
  </si>
  <si>
    <t>Warehouse Supervisor</t>
  </si>
  <si>
    <t>2017-10-31</t>
  </si>
  <si>
    <t>Moore</t>
  </si>
  <si>
    <t>michael.moore5@company.com</t>
  </si>
  <si>
    <t>HR Manager</t>
  </si>
  <si>
    <t>2017-05-09</t>
  </si>
  <si>
    <t>William</t>
  </si>
  <si>
    <t>Smith</t>
  </si>
  <si>
    <t>william.smith6@company.com</t>
  </si>
  <si>
    <t>IT Manager</t>
  </si>
  <si>
    <t>2015-11-23</t>
  </si>
  <si>
    <t>william.jones7@company.com</t>
  </si>
  <si>
    <t>Customer Success Manager</t>
  </si>
  <si>
    <t>2016-03-16</t>
  </si>
  <si>
    <t>Gonzalez</t>
  </si>
  <si>
    <t>john.gonzalez8@company.com</t>
  </si>
  <si>
    <t>Senior Sales Rep</t>
  </si>
  <si>
    <t>2017-01-31</t>
  </si>
  <si>
    <t>Johnson</t>
  </si>
  <si>
    <t>william.johnson9@company.com</t>
  </si>
  <si>
    <t>Sales Manager</t>
  </si>
  <si>
    <t>2024-03-07</t>
  </si>
  <si>
    <t>john.moore10@company.com</t>
  </si>
  <si>
    <t>2019-04-15</t>
  </si>
  <si>
    <t>Nancy</t>
  </si>
  <si>
    <t>nancy.davis11@company.com</t>
  </si>
  <si>
    <t>Content Strategist</t>
  </si>
  <si>
    <t>2024-09-01</t>
  </si>
  <si>
    <t>Margaret</t>
  </si>
  <si>
    <t>margaret.brown12@company.com</t>
  </si>
  <si>
    <t>2020-04-05</t>
  </si>
  <si>
    <t>Jennifer</t>
  </si>
  <si>
    <t>Lopez</t>
  </si>
  <si>
    <t>jennifer.lopez13@company.com</t>
  </si>
  <si>
    <t>Marketing Specialist</t>
  </si>
  <si>
    <t>2019-12-26</t>
  </si>
  <si>
    <t>Garcia</t>
  </si>
  <si>
    <t>daniel.garcia14@company.com</t>
  </si>
  <si>
    <t>Finance Manager</t>
  </si>
  <si>
    <t>2021-12-27</t>
  </si>
  <si>
    <t>Richard</t>
  </si>
  <si>
    <t>Rodriguez</t>
  </si>
  <si>
    <t>richard.rodriguez15@company.com</t>
  </si>
  <si>
    <t>2023-03-06</t>
  </si>
  <si>
    <t>Mark</t>
  </si>
  <si>
    <t>mark.johnson16@company.com</t>
  </si>
  <si>
    <t>Financial Analyst</t>
  </si>
  <si>
    <t>2018-07-27</t>
  </si>
  <si>
    <t>Williams</t>
  </si>
  <si>
    <t>william.williams17@company.com</t>
  </si>
  <si>
    <t>2018-05-14</t>
  </si>
  <si>
    <t>Thomas</t>
  </si>
  <si>
    <t>michael.thomas18@company.com</t>
  </si>
  <si>
    <t>2020-06-08</t>
  </si>
  <si>
    <t>linda.moore19@company.com</t>
  </si>
  <si>
    <t>Logistics Coordinator</t>
  </si>
  <si>
    <t>2022-01-16</t>
  </si>
  <si>
    <t>Donald</t>
  </si>
  <si>
    <t>donald.jackson20@company.com</t>
  </si>
  <si>
    <t>2020-06-23</t>
  </si>
  <si>
    <t>thomas.thomas21@company.com</t>
  </si>
  <si>
    <t>Operations Analyst</t>
  </si>
  <si>
    <t>2017-01-07</t>
  </si>
  <si>
    <t>Wilson</t>
  </si>
  <si>
    <t>jennifer.wilson22@company.com</t>
  </si>
  <si>
    <t>HR Generalist</t>
  </si>
  <si>
    <t>2022-09-08</t>
  </si>
  <si>
    <t>Joseph</t>
  </si>
  <si>
    <t>Taylor</t>
  </si>
  <si>
    <t>joseph.taylor23@company.com</t>
  </si>
  <si>
    <t>2018-10-26</t>
  </si>
  <si>
    <t>nancy.moore24@company.com</t>
  </si>
  <si>
    <t>Recruiter</t>
  </si>
  <si>
    <t>2024-06-02</t>
  </si>
  <si>
    <t>Patricia</t>
  </si>
  <si>
    <t>Martinez</t>
  </si>
  <si>
    <t>patricia.martinez25@company.com</t>
  </si>
  <si>
    <t>2020-11-15</t>
  </si>
  <si>
    <t>thomas.garcia26@company.com</t>
  </si>
  <si>
    <t>2021-09-10</t>
  </si>
  <si>
    <t>Martin</t>
  </si>
  <si>
    <t>thomas.martin27@company.com</t>
  </si>
  <si>
    <t>Software Engineer</t>
  </si>
  <si>
    <t>2018-03-25</t>
  </si>
  <si>
    <t>Sarah</t>
  </si>
  <si>
    <t>sarah.taylor28@company.com</t>
  </si>
  <si>
    <t>Systems Administrator</t>
  </si>
  <si>
    <t>2016-01-03</t>
  </si>
  <si>
    <t>patricia.lopez29@company.com</t>
  </si>
  <si>
    <t>IT Support</t>
  </si>
  <si>
    <t>2025-01-17</t>
  </si>
  <si>
    <t>donald.jackson30@company.com</t>
  </si>
  <si>
    <t>2016-11-18</t>
  </si>
  <si>
    <t>Anthony</t>
  </si>
  <si>
    <t>anthony.moore31@company.com</t>
  </si>
  <si>
    <t>2024-08-02</t>
  </si>
  <si>
    <t>jennifer.rodriguez32@company.com</t>
  </si>
  <si>
    <t>Support Team Lead</t>
  </si>
  <si>
    <t>2021-12-01</t>
  </si>
  <si>
    <t>Miller</t>
  </si>
  <si>
    <t>anthony.miller33@company.com</t>
  </si>
  <si>
    <t>2023-12-30</t>
  </si>
  <si>
    <t>joseph.taylor34@company.com</t>
  </si>
  <si>
    <t>Support Agent</t>
  </si>
  <si>
    <t>2021-01-23</t>
  </si>
  <si>
    <t>David</t>
  </si>
  <si>
    <t>david.smith35@company.com</t>
  </si>
  <si>
    <t>2022-08-06</t>
  </si>
  <si>
    <t>john.johnson36@company.com</t>
  </si>
  <si>
    <t>2018-07-26</t>
  </si>
  <si>
    <t>customer_id</t>
  </si>
  <si>
    <t>country</t>
  </si>
  <si>
    <t>city</t>
  </si>
  <si>
    <t>segment</t>
  </si>
  <si>
    <t>Total Orders</t>
  </si>
  <si>
    <t>Total Revenue</t>
  </si>
  <si>
    <t>Summit Industries</t>
  </si>
  <si>
    <t>Linda Rodriguez</t>
  </si>
  <si>
    <t>linda.rodriguez1@example.com</t>
  </si>
  <si>
    <t>Italy</t>
  </si>
  <si>
    <t>Milan</t>
  </si>
  <si>
    <t>2021-05-27</t>
  </si>
  <si>
    <t>Ironclad Logistics</t>
  </si>
  <si>
    <t>Lisa Jackson</t>
  </si>
  <si>
    <t>lisa.jackson2@example.com</t>
  </si>
  <si>
    <t>UAE</t>
  </si>
  <si>
    <t>Dubai</t>
  </si>
  <si>
    <t>2021-09-22</t>
  </si>
  <si>
    <t>Crestline Wholesale</t>
  </si>
  <si>
    <t>Susan Miller</t>
  </si>
  <si>
    <t>susan.miller3@example.com</t>
  </si>
  <si>
    <t>USA</t>
  </si>
  <si>
    <t>Seattle</t>
  </si>
  <si>
    <t>2023-11-01</t>
  </si>
  <si>
    <t>Silver Group</t>
  </si>
  <si>
    <t>Susan Anderson</t>
  </si>
  <si>
    <t>susan.anderson4@example.com</t>
  </si>
  <si>
    <t>Chicago</t>
  </si>
  <si>
    <t>2020-02-08</t>
  </si>
  <si>
    <t>Prime Group</t>
  </si>
  <si>
    <t>Lisa Hernandez</t>
  </si>
  <si>
    <t>lisa.hernandez5@example.com</t>
  </si>
  <si>
    <t>2021-02-23</t>
  </si>
  <si>
    <t>Nova Industries</t>
  </si>
  <si>
    <t>Joseph Jones</t>
  </si>
  <si>
    <t>joseph.jones6@example.com</t>
  </si>
  <si>
    <t>Australia</t>
  </si>
  <si>
    <t>Melbourne</t>
  </si>
  <si>
    <t>2022-02-14</t>
  </si>
  <si>
    <t>Urban Supply Co</t>
  </si>
  <si>
    <t>Margaret Williams</t>
  </si>
  <si>
    <t>margaret.williams7@example.com</t>
  </si>
  <si>
    <t>Japan</t>
  </si>
  <si>
    <t>Tokyo</t>
  </si>
  <si>
    <t>2020-02-06</t>
  </si>
  <si>
    <t>Prime Solutions</t>
  </si>
  <si>
    <t>Sarah Smith</t>
  </si>
  <si>
    <t>sarah.smith8@example.com</t>
  </si>
  <si>
    <t>Austin</t>
  </si>
  <si>
    <t>2020-11-12</t>
  </si>
  <si>
    <t>Northern Distributors</t>
  </si>
  <si>
    <t>Jessica Miller</t>
  </si>
  <si>
    <t>jessica.miller9@example.com</t>
  </si>
  <si>
    <t>Sydney</t>
  </si>
  <si>
    <t>2020-11-05</t>
  </si>
  <si>
    <t>Horizon Traders</t>
  </si>
  <si>
    <t>Richard Rodriguez</t>
  </si>
  <si>
    <t>richard.rodriguez10@example.com</t>
  </si>
  <si>
    <t>2023-09-29</t>
  </si>
  <si>
    <t>Ironclad Solutions</t>
  </si>
  <si>
    <t>Matthew Thomas</t>
  </si>
  <si>
    <t>matthew.thomas11@example.com</t>
  </si>
  <si>
    <t>Canada</t>
  </si>
  <si>
    <t>Toronto</t>
  </si>
  <si>
    <t>2022-04-30</t>
  </si>
  <si>
    <t>Nova Traders</t>
  </si>
  <si>
    <t>Charles Moore</t>
  </si>
  <si>
    <t>charles.moore12@example.com</t>
  </si>
  <si>
    <t>2022-07-08</t>
  </si>
  <si>
    <t>Prime Traders</t>
  </si>
  <si>
    <t>Charles Thomas</t>
  </si>
  <si>
    <t>charles.thomas13@example.com</t>
  </si>
  <si>
    <t>Brazil</t>
  </si>
  <si>
    <t>Sao Paulo</t>
  </si>
  <si>
    <t>2020-10-06</t>
  </si>
  <si>
    <t>Prime Industries</t>
  </si>
  <si>
    <t>John Garcia</t>
  </si>
  <si>
    <t>john.garcia14@example.com</t>
  </si>
  <si>
    <t>2019-10-06</t>
  </si>
  <si>
    <t>Coastal Group</t>
  </si>
  <si>
    <t>Patricia Jackson</t>
  </si>
  <si>
    <t>patricia.jackson15@example.com</t>
  </si>
  <si>
    <t>UK</t>
  </si>
  <si>
    <t>Manchester</t>
  </si>
  <si>
    <t>2025-09-01</t>
  </si>
  <si>
    <t>Prime Partners</t>
  </si>
  <si>
    <t>John Wilson</t>
  </si>
  <si>
    <t>john.wilson16@example.com</t>
  </si>
  <si>
    <t>2025-05-04</t>
  </si>
  <si>
    <t>Delta Holdings</t>
  </si>
  <si>
    <t>Sandra Rodriguez</t>
  </si>
  <si>
    <t>sandra.rodriguez17@example.com</t>
  </si>
  <si>
    <t>London</t>
  </si>
  <si>
    <t>2022-07-10</t>
  </si>
  <si>
    <t>Coastal Enterprises</t>
  </si>
  <si>
    <t>Richard Jones</t>
  </si>
  <si>
    <t>richard.jones18@example.com</t>
  </si>
  <si>
    <t>2022-05-13</t>
  </si>
  <si>
    <t>Urban Holdings</t>
  </si>
  <si>
    <t>Sandra Williams</t>
  </si>
  <si>
    <t>sandra.williams19@example.com</t>
  </si>
  <si>
    <t>New York</t>
  </si>
  <si>
    <t>2025-04-25</t>
  </si>
  <si>
    <t>Blue Retail</t>
  </si>
  <si>
    <t>Sarah Miller</t>
  </si>
  <si>
    <t>sarah.miller20@example.com</t>
  </si>
  <si>
    <t>2020-06-26</t>
  </si>
  <si>
    <t>Silver Ventures</t>
  </si>
  <si>
    <t>John Davis</t>
  </si>
  <si>
    <t>john.davis21@example.com</t>
  </si>
  <si>
    <t>Spain</t>
  </si>
  <si>
    <t>Madrid</t>
  </si>
  <si>
    <t>2020-10-08</t>
  </si>
  <si>
    <t>Urban Imports</t>
  </si>
  <si>
    <t>Sarah Martinez</t>
  </si>
  <si>
    <t>sarah.martinez22@example.com</t>
  </si>
  <si>
    <t>Singapore</t>
  </si>
  <si>
    <t>2024-12-06</t>
  </si>
  <si>
    <t>Global Solutions</t>
  </si>
  <si>
    <t>Mark Moore</t>
  </si>
  <si>
    <t>mark.moore23@example.com</t>
  </si>
  <si>
    <t>Germany</t>
  </si>
  <si>
    <t>Munich</t>
  </si>
  <si>
    <t>2020-02-29</t>
  </si>
  <si>
    <t>Metro Enterprises</t>
  </si>
  <si>
    <t>Patricia Brown</t>
  </si>
  <si>
    <t>patricia.brown24@example.com</t>
  </si>
  <si>
    <t>Mexico</t>
  </si>
  <si>
    <t>Mexico City</t>
  </si>
  <si>
    <t>2022-01-20</t>
  </si>
  <si>
    <t>Pioneer Partners</t>
  </si>
  <si>
    <t>Michael Hernandez</t>
  </si>
  <si>
    <t>michael.hernandez25@example.com</t>
  </si>
  <si>
    <t>2021-12-17</t>
  </si>
  <si>
    <t>Delta Distributors</t>
  </si>
  <si>
    <t>William Johnson</t>
  </si>
  <si>
    <t>william.johnson26@example.com</t>
  </si>
  <si>
    <t>2023-10-01</t>
  </si>
  <si>
    <t>Union Traders</t>
  </si>
  <si>
    <t>James Hernandez</t>
  </si>
  <si>
    <t>james.hernandez27@example.com</t>
  </si>
  <si>
    <t>2021-12-08</t>
  </si>
  <si>
    <t>Alpha Systems</t>
  </si>
  <si>
    <t>Joseph Moore</t>
  </si>
  <si>
    <t>joseph.moore28@example.com</t>
  </si>
  <si>
    <t>2019-02-09</t>
  </si>
  <si>
    <t>Donald Jones</t>
  </si>
  <si>
    <t>donald.jones29@example.com</t>
  </si>
  <si>
    <t>2023-02-21</t>
  </si>
  <si>
    <t>Sunset Industries</t>
  </si>
  <si>
    <t>Robert Wilson</t>
  </si>
  <si>
    <t>robert.wilson30@example.com</t>
  </si>
  <si>
    <t>2022-06-16</t>
  </si>
  <si>
    <t>Sandra Johnson</t>
  </si>
  <si>
    <t>sandra.johnson31@example.com</t>
  </si>
  <si>
    <t>2021-10-19</t>
  </si>
  <si>
    <t>Blue Holdings</t>
  </si>
  <si>
    <t>Anthony Moore</t>
  </si>
  <si>
    <t>anthony.moore32@example.com</t>
  </si>
  <si>
    <t>2020-09-25</t>
  </si>
  <si>
    <t>Coastal Imports</t>
  </si>
  <si>
    <t>Jennifer Garcia</t>
  </si>
  <si>
    <t>jennifer.garcia33@example.com</t>
  </si>
  <si>
    <t>2021-01-04</t>
  </si>
  <si>
    <t>Vertex Wholesale</t>
  </si>
  <si>
    <t>Sandra Wilson</t>
  </si>
  <si>
    <t>sandra.wilson34@example.com</t>
  </si>
  <si>
    <t>2021-10-13</t>
  </si>
  <si>
    <t>Union Logistics</t>
  </si>
  <si>
    <t>Betty Brown</t>
  </si>
  <si>
    <t>betty.brown35@example.com</t>
  </si>
  <si>
    <t>2024-04-11</t>
  </si>
  <si>
    <t>Coastal Supply Co</t>
  </si>
  <si>
    <t>Mark Anderson</t>
  </si>
  <si>
    <t>mark.anderson36@example.com</t>
  </si>
  <si>
    <t>2021-07-21</t>
  </si>
  <si>
    <t>Coastal Traders</t>
  </si>
  <si>
    <t>Nancy Miller</t>
  </si>
  <si>
    <t>nancy.miller37@example.com</t>
  </si>
  <si>
    <t>2022-02-15</t>
  </si>
  <si>
    <t>Summit Wholesale</t>
  </si>
  <si>
    <t>William Lopez</t>
  </si>
  <si>
    <t>william.lopez38@example.com</t>
  </si>
  <si>
    <t>Netherlands</t>
  </si>
  <si>
    <t>Amsterdam</t>
  </si>
  <si>
    <t>2023-06-26</t>
  </si>
  <si>
    <t>Ironclad Holdings</t>
  </si>
  <si>
    <t>James Brown</t>
  </si>
  <si>
    <t>james.brown39@example.com</t>
  </si>
  <si>
    <t>Berlin</t>
  </si>
  <si>
    <t>2025-07-06</t>
  </si>
  <si>
    <t>Patricia Martin</t>
  </si>
  <si>
    <t>patricia.martin40@example.com</t>
  </si>
  <si>
    <t>Northern Partners</t>
  </si>
  <si>
    <t>Thomas Brown</t>
  </si>
  <si>
    <t>thomas.brown41@example.com</t>
  </si>
  <si>
    <t>2021-02-17</t>
  </si>
  <si>
    <t>Matthew Wilson</t>
  </si>
  <si>
    <t>matthew.wilson42@example.com</t>
  </si>
  <si>
    <t>2025-01-14</t>
  </si>
  <si>
    <t>Nova Holdings</t>
  </si>
  <si>
    <t>Susan Williams</t>
  </si>
  <si>
    <t>susan.williams43@example.com</t>
  </si>
  <si>
    <t>2022-07-09</t>
  </si>
  <si>
    <t>Blue Systems</t>
  </si>
  <si>
    <t>Donald Martinez</t>
  </si>
  <si>
    <t>donald.martinez44@example.com</t>
  </si>
  <si>
    <t>2023-07-31</t>
  </si>
  <si>
    <t>Vertex Group</t>
  </si>
  <si>
    <t>Matthew Martinez</t>
  </si>
  <si>
    <t>matthew.martinez45@example.com</t>
  </si>
  <si>
    <t>2021-02-24</t>
  </si>
  <si>
    <t>Northern Solutions</t>
  </si>
  <si>
    <t>Richard Garcia</t>
  </si>
  <si>
    <t>richard.garcia46@example.com</t>
  </si>
  <si>
    <t>2022-05-17</t>
  </si>
  <si>
    <t>Horizon Industries</t>
  </si>
  <si>
    <t>Mark Smith</t>
  </si>
  <si>
    <t>mark.smith47@example.com</t>
  </si>
  <si>
    <t>2021-05-10</t>
  </si>
  <si>
    <t>Northern Wholesale</t>
  </si>
  <si>
    <t>Charles Martin</t>
  </si>
  <si>
    <t>charles.martin48@example.com</t>
  </si>
  <si>
    <t>2024-03-19</t>
  </si>
  <si>
    <t>Urban Distributors</t>
  </si>
  <si>
    <t>nancy.miller49@example.com</t>
  </si>
  <si>
    <t>2020-11-26</t>
  </si>
  <si>
    <t>Summit Enterprises</t>
  </si>
  <si>
    <t>Thomas Martin</t>
  </si>
  <si>
    <t>thomas.martin50@example.com</t>
  </si>
  <si>
    <t>France</t>
  </si>
  <si>
    <t>Paris</t>
  </si>
  <si>
    <t>2021-08-20</t>
  </si>
  <si>
    <t>Pioneer Supply Co</t>
  </si>
  <si>
    <t>Betty Miller</t>
  </si>
  <si>
    <t>betty.miller51@example.com</t>
  </si>
  <si>
    <t>2019-07-09</t>
  </si>
  <si>
    <t>Coastal Distributors</t>
  </si>
  <si>
    <t>Karen Williams</t>
  </si>
  <si>
    <t>karen.williams52@example.com</t>
  </si>
  <si>
    <t>2025-06-15</t>
  </si>
  <si>
    <t>Nova Systems</t>
  </si>
  <si>
    <t>Matthew Gonzalez</t>
  </si>
  <si>
    <t>matthew.gonzalez53@example.com</t>
  </si>
  <si>
    <t>India</t>
  </si>
  <si>
    <t>Mumbai</t>
  </si>
  <si>
    <t>2021-09-26</t>
  </si>
  <si>
    <t>Metro Solutions</t>
  </si>
  <si>
    <t>Matthew Smith</t>
  </si>
  <si>
    <t>matthew.smith54@example.com</t>
  </si>
  <si>
    <t>2021-06-15</t>
  </si>
  <si>
    <t>Alpha Wholesale</t>
  </si>
  <si>
    <t>Matthew Taylor</t>
  </si>
  <si>
    <t>matthew.taylor55@example.com</t>
  </si>
  <si>
    <t>2025-04-02</t>
  </si>
  <si>
    <t>Coastal Ventures</t>
  </si>
  <si>
    <t>Margaret Brown</t>
  </si>
  <si>
    <t>margaret.brown56@example.com</t>
  </si>
  <si>
    <t>2024-03-18</t>
  </si>
  <si>
    <t>Delta Industries</t>
  </si>
  <si>
    <t>Karen Hernandez</t>
  </si>
  <si>
    <t>karen.hernandez57@example.com</t>
  </si>
  <si>
    <t>2024-08-29</t>
  </si>
  <si>
    <t>Northern Imports</t>
  </si>
  <si>
    <t>Sandra Moore</t>
  </si>
  <si>
    <t>sandra.moore58@example.com</t>
  </si>
  <si>
    <t>2024-04-28</t>
  </si>
  <si>
    <t>Urban Enterprises</t>
  </si>
  <si>
    <t>Anthony Davis</t>
  </si>
  <si>
    <t>anthony.davis59@example.com</t>
  </si>
  <si>
    <t>2024-11-05</t>
  </si>
  <si>
    <t>Crestline Solutions</t>
  </si>
  <si>
    <t>linda.rodriguez60@example.com</t>
  </si>
  <si>
    <t>2022-03-16</t>
  </si>
  <si>
    <t>rating</t>
  </si>
  <si>
    <t>Total Damaged Qty</t>
  </si>
  <si>
    <t>Acme Manufacturing</t>
  </si>
  <si>
    <t>China</t>
  </si>
  <si>
    <t>Global Parts Ltd</t>
  </si>
  <si>
    <t>EastPoint Textiles</t>
  </si>
  <si>
    <t>Nordic Components</t>
  </si>
  <si>
    <t>Vietnam</t>
  </si>
  <si>
    <t>Pacific Rim Supply</t>
  </si>
  <si>
    <t>Ironwood Industries</t>
  </si>
  <si>
    <t>BrightPath Goods</t>
  </si>
  <si>
    <t>South Korea</t>
  </si>
  <si>
    <t>Zenith Materials</t>
  </si>
  <si>
    <t>Continental Fabrics</t>
  </si>
  <si>
    <t>Turkey</t>
  </si>
  <si>
    <t>Summit Hardware</t>
  </si>
  <si>
    <t>Poland</t>
  </si>
  <si>
    <t>Redwood Electronics</t>
  </si>
  <si>
    <t>Taiwan</t>
  </si>
  <si>
    <t>Falcon Packaging</t>
  </si>
  <si>
    <t>Total Units Sold</t>
  </si>
  <si>
    <t>Electronics</t>
  </si>
  <si>
    <t>Office Supplies</t>
  </si>
  <si>
    <t>Furniture</t>
  </si>
  <si>
    <t>Apparel</t>
  </si>
  <si>
    <t>Home &amp; Kitchen</t>
  </si>
  <si>
    <t>Sporting Goods</t>
  </si>
  <si>
    <t>Toys &amp; Games</t>
  </si>
  <si>
    <t>Health &amp; Beauty</t>
  </si>
  <si>
    <t>Automotive Parts</t>
  </si>
  <si>
    <t>Groceries</t>
  </si>
  <si>
    <t>discontinued</t>
  </si>
  <si>
    <t>Category Name</t>
  </si>
  <si>
    <t>Supplier Name</t>
  </si>
  <si>
    <t>Reorder Flag</t>
  </si>
  <si>
    <t>Gross Margin %</t>
  </si>
  <si>
    <t>Wireless Mouse</t>
  </si>
  <si>
    <t>Bluetooth Speaker</t>
  </si>
  <si>
    <t>USB-C Hub</t>
  </si>
  <si>
    <t>4K Monitor</t>
  </si>
  <si>
    <t>Mechanical Keyboard</t>
  </si>
  <si>
    <t>Noise-Cancelling Headphones</t>
  </si>
  <si>
    <t>Smartwatch</t>
  </si>
  <si>
    <t>Portable Charger</t>
  </si>
  <si>
    <t>Webcam HD</t>
  </si>
  <si>
    <t>Laptop Stand</t>
  </si>
  <si>
    <t>Stapler</t>
  </si>
  <si>
    <t>Printer Paper (Ream)</t>
  </si>
  <si>
    <t>Ballpoint Pens (Box)</t>
  </si>
  <si>
    <t>Sticky Notes</t>
  </si>
  <si>
    <t>Desk Organizer</t>
  </si>
  <si>
    <t>Whiteboard</t>
  </si>
  <si>
    <t>Binder Clips</t>
  </si>
  <si>
    <t>Filing Cabinet</t>
  </si>
  <si>
    <t>Notebook</t>
  </si>
  <si>
    <t>Highlighter Set</t>
  </si>
  <si>
    <t>Office Chair</t>
  </si>
  <si>
    <t>Standing Desk</t>
  </si>
  <si>
    <t>Bookshelf</t>
  </si>
  <si>
    <t>Filing Cabinet Wood</t>
  </si>
  <si>
    <t>Conference Table</t>
  </si>
  <si>
    <t>Sofa</t>
  </si>
  <si>
    <t>Coffee Table</t>
  </si>
  <si>
    <t>Desk Lamp</t>
  </si>
  <si>
    <t>Storage Cabinet</t>
  </si>
  <si>
    <t>Bar Stool</t>
  </si>
  <si>
    <t>Cotton T-Shirt</t>
  </si>
  <si>
    <t>Denim Jacket</t>
  </si>
  <si>
    <t>Running Shoes</t>
  </si>
  <si>
    <t>Wool Sweater</t>
  </si>
  <si>
    <t>Baseball Cap</t>
  </si>
  <si>
    <t>Rain Jacket</t>
  </si>
  <si>
    <t>Yoga Pants</t>
  </si>
  <si>
    <t>Leather Belt</t>
  </si>
  <si>
    <t>Winter Gloves</t>
  </si>
  <si>
    <t>Dress Shirt</t>
  </si>
  <si>
    <t>Blender</t>
  </si>
  <si>
    <t>Coffee Maker</t>
  </si>
  <si>
    <t>Non-stick Pan Set</t>
  </si>
  <si>
    <t>Vacuum Cleaner</t>
  </si>
  <si>
    <t>Toaster</t>
  </si>
  <si>
    <t>Cutlery Set</t>
  </si>
  <si>
    <t>Air Fryer</t>
  </si>
  <si>
    <t>Dish Rack</t>
  </si>
  <si>
    <t>Storage Containers</t>
  </si>
  <si>
    <t>Electric Kettle</t>
  </si>
  <si>
    <t>Yoga Mat</t>
  </si>
  <si>
    <t>Dumbbell Set</t>
  </si>
  <si>
    <t>Soccer Ball</t>
  </si>
  <si>
    <t>Tennis Racket</t>
  </si>
  <si>
    <t>Camping Tent</t>
  </si>
  <si>
    <t>Bicycle Helmet</t>
  </si>
  <si>
    <t>Resistance Bands</t>
  </si>
  <si>
    <t>Water Bottle</t>
  </si>
  <si>
    <t>Hiking Backpack</t>
  </si>
  <si>
    <t>Jump Rope</t>
  </si>
  <si>
    <t>Building Blocks Set</t>
  </si>
  <si>
    <t>Board Game</t>
  </si>
  <si>
    <t>Puzzle 1000pc</t>
  </si>
  <si>
    <t>Remote Control Car</t>
  </si>
  <si>
    <t>Action Figure</t>
  </si>
  <si>
    <t>Card Game Deck</t>
  </si>
  <si>
    <t>Plush Toy</t>
  </si>
  <si>
    <t>Art Supply Kit</t>
  </si>
  <si>
    <t>Toy Drone</t>
  </si>
  <si>
    <t>Chess Set</t>
  </si>
  <si>
    <t>Electric Toothbrush</t>
  </si>
  <si>
    <t>Hair Dryer</t>
  </si>
  <si>
    <t>Skincare Set</t>
  </si>
  <si>
    <t>Vitamin Supplements</t>
  </si>
  <si>
    <t>Shampoo Bottle</t>
  </si>
  <si>
    <t>Massage Gun</t>
  </si>
  <si>
    <t>Sunscreen SPF50</t>
  </si>
  <si>
    <t>Makeup Kit</t>
  </si>
  <si>
    <t>Essential Oil Set</t>
  </si>
  <si>
    <t>Body Lotion</t>
  </si>
  <si>
    <t>Car Battery</t>
  </si>
  <si>
    <t>Brake Pads</t>
  </si>
  <si>
    <t>Air Filter</t>
  </si>
  <si>
    <t>Motor Oil (Qt)</t>
  </si>
  <si>
    <t>Windshield Wipers</t>
  </si>
  <si>
    <t>Spark Plugs</t>
  </si>
  <si>
    <t>Floor Mats</t>
  </si>
  <si>
    <t>Tire Pressure Gauge</t>
  </si>
  <si>
    <t>Car Charger</t>
  </si>
  <si>
    <t>Roof Rack</t>
  </si>
  <si>
    <t>Organic Coffee Beans</t>
  </si>
  <si>
    <t>Olive Oil 1L</t>
  </si>
  <si>
    <t>Pasta Pack</t>
  </si>
  <si>
    <t>Almond Butter</t>
  </si>
  <si>
    <t>Green Tea Box</t>
  </si>
  <si>
    <t>Granola Bars</t>
  </si>
  <si>
    <t>Sparkling Water Case</t>
  </si>
  <si>
    <t>Dark Chocolate Bar</t>
  </si>
  <si>
    <t>Honey Jar</t>
  </si>
  <si>
    <t>Trail Mix</t>
  </si>
  <si>
    <t>order_id</t>
  </si>
  <si>
    <t>status</t>
  </si>
  <si>
    <t>Order Revenue</t>
  </si>
  <si>
    <t>Order Cost</t>
  </si>
  <si>
    <t>Order Profit</t>
  </si>
  <si>
    <t>Order Month</t>
  </si>
  <si>
    <t>Customer Segment</t>
  </si>
  <si>
    <t>Sales Rep</t>
  </si>
  <si>
    <t>Fulfillment Days</t>
  </si>
  <si>
    <t>2025-03-24</t>
  </si>
  <si>
    <t>2024-03-29</t>
  </si>
  <si>
    <t>2024-04-06</t>
  </si>
  <si>
    <t>2023-11-13</t>
  </si>
  <si>
    <t>2025-01-04</t>
  </si>
  <si>
    <t>2025-01-11</t>
  </si>
  <si>
    <t>2024-05-13</t>
  </si>
  <si>
    <t>2024-05-23</t>
  </si>
  <si>
    <t>2024-11-03</t>
  </si>
  <si>
    <t>2024-11-13</t>
  </si>
  <si>
    <t>2024-10-25</t>
  </si>
  <si>
    <t>2024-10-28</t>
  </si>
  <si>
    <t>2025-01-19</t>
  </si>
  <si>
    <t>2025-05-23</t>
  </si>
  <si>
    <t>2025-05-31</t>
  </si>
  <si>
    <t>2024-10-27</t>
  </si>
  <si>
    <t>2025-07-17</t>
  </si>
  <si>
    <t>2025-02-05</t>
  </si>
  <si>
    <t>2025-02-13</t>
  </si>
  <si>
    <t>2023-05-03</t>
  </si>
  <si>
    <t>2024-12-18</t>
  </si>
  <si>
    <t>2024-11-26</t>
  </si>
  <si>
    <t>2025-07-18</t>
  </si>
  <si>
    <t>2025-05-18</t>
  </si>
  <si>
    <t>2025-05-28</t>
  </si>
  <si>
    <t>2023-01-16</t>
  </si>
  <si>
    <t>2023-01-21</t>
  </si>
  <si>
    <t>2025-02-17</t>
  </si>
  <si>
    <t>2025-02-26</t>
  </si>
  <si>
    <t>2025-05-05</t>
  </si>
  <si>
    <t>2025-05-07</t>
  </si>
  <si>
    <t>2023-06-30</t>
  </si>
  <si>
    <t>2024-12-02</t>
  </si>
  <si>
    <t>2024-12-20</t>
  </si>
  <si>
    <t>2024-12-24</t>
  </si>
  <si>
    <t>2025-08-08</t>
  </si>
  <si>
    <t>2025-08-18</t>
  </si>
  <si>
    <t>2025-07-14</t>
  </si>
  <si>
    <t>2025-07-15</t>
  </si>
  <si>
    <t>2024-10-20</t>
  </si>
  <si>
    <t>2024-10-29</t>
  </si>
  <si>
    <t>2025-06-24</t>
  </si>
  <si>
    <t>2023-10-17</t>
  </si>
  <si>
    <t>2023-02-07</t>
  </si>
  <si>
    <t>2025-11-05</t>
  </si>
  <si>
    <t>2025-11-11</t>
  </si>
  <si>
    <t>2023-03-31</t>
  </si>
  <si>
    <t>2024-09-25</t>
  </si>
  <si>
    <t>2024-09-29</t>
  </si>
  <si>
    <t>2023-07-30</t>
  </si>
  <si>
    <t>2023-08-04</t>
  </si>
  <si>
    <t>2023-02-24</t>
  </si>
  <si>
    <t>2023-03-20</t>
  </si>
  <si>
    <t>2023-03-28</t>
  </si>
  <si>
    <t>2024-05-01</t>
  </si>
  <si>
    <t>2024-05-03</t>
  </si>
  <si>
    <t>2023-10-22</t>
  </si>
  <si>
    <t>2023-10-29</t>
  </si>
  <si>
    <t>2023-10-07</t>
  </si>
  <si>
    <t>2023-03-17</t>
  </si>
  <si>
    <t>2023-03-21</t>
  </si>
  <si>
    <t>2024-01-27</t>
  </si>
  <si>
    <t>2024-02-02</t>
  </si>
  <si>
    <t>2023-06-19</t>
  </si>
  <si>
    <t>2023-12-08</t>
  </si>
  <si>
    <t>2023-12-14</t>
  </si>
  <si>
    <t>2025-01-15</t>
  </si>
  <si>
    <t>2023-06-07</t>
  </si>
  <si>
    <t>2023-06-16</t>
  </si>
  <si>
    <t>2024-03-15</t>
  </si>
  <si>
    <t>2024-03-23</t>
  </si>
  <si>
    <t>2024-12-12</t>
  </si>
  <si>
    <t>2024-12-21</t>
  </si>
  <si>
    <t>2023-02-23</t>
  </si>
  <si>
    <t>2025-07-10</t>
  </si>
  <si>
    <t>2025-07-19</t>
  </si>
  <si>
    <t>2023-11-28</t>
  </si>
  <si>
    <t>2023-11-12</t>
  </si>
  <si>
    <t>2023-11-22</t>
  </si>
  <si>
    <t>2025-10-16</t>
  </si>
  <si>
    <t>2025-10-21</t>
  </si>
  <si>
    <t>2025-09-18</t>
  </si>
  <si>
    <t>2025-09-22</t>
  </si>
  <si>
    <t>2024-08-17</t>
  </si>
  <si>
    <t>2023-07-04</t>
  </si>
  <si>
    <t>2023-08-09</t>
  </si>
  <si>
    <t>2025-01-12</t>
  </si>
  <si>
    <t>2025-10-22</t>
  </si>
  <si>
    <t>2023-11-29</t>
  </si>
  <si>
    <t>2025-01-24</t>
  </si>
  <si>
    <t>2023-10-30</t>
  </si>
  <si>
    <t>2023-10-31</t>
  </si>
  <si>
    <t>2024-02-22</t>
  </si>
  <si>
    <t>2025-12-27</t>
  </si>
  <si>
    <t>2024-02-29</t>
  </si>
  <si>
    <t>2024-03-06</t>
  </si>
  <si>
    <t>2023-06-11</t>
  </si>
  <si>
    <t>2024-05-11</t>
  </si>
  <si>
    <t>2024-05-20</t>
  </si>
  <si>
    <t>2025-04-13</t>
  </si>
  <si>
    <t>2025-04-21</t>
  </si>
  <si>
    <t>2025-03-27</t>
  </si>
  <si>
    <t>2023-10-02</t>
  </si>
  <si>
    <t>2024-08-27</t>
  </si>
  <si>
    <t>2024-08-30</t>
  </si>
  <si>
    <t>2025-07-03</t>
  </si>
  <si>
    <t>2025-07-09</t>
  </si>
  <si>
    <t>2024-05-21</t>
  </si>
  <si>
    <t>2024-05-30</t>
  </si>
  <si>
    <t>2025-09-28</t>
  </si>
  <si>
    <t>2025-10-07</t>
  </si>
  <si>
    <t>2025-08-04</t>
  </si>
  <si>
    <t>2025-08-05</t>
  </si>
  <si>
    <t>2025-08-24</t>
  </si>
  <si>
    <t>2025-08-29</t>
  </si>
  <si>
    <t>2024-12-13</t>
  </si>
  <si>
    <t>2024-12-16</t>
  </si>
  <si>
    <t>2024-05-27</t>
  </si>
  <si>
    <t>2024-05-16</t>
  </si>
  <si>
    <t>2024-04-30</t>
  </si>
  <si>
    <t>2025-10-12</t>
  </si>
  <si>
    <t>2025-10-18</t>
  </si>
  <si>
    <t>2023-04-29</t>
  </si>
  <si>
    <t>2023-03-22</t>
  </si>
  <si>
    <t>2023-03-26</t>
  </si>
  <si>
    <t>2023-10-26</t>
  </si>
  <si>
    <t>2025-10-01</t>
  </si>
  <si>
    <t>2025-10-04</t>
  </si>
  <si>
    <t>2025-04-24</t>
  </si>
  <si>
    <t>2025-04-28</t>
  </si>
  <si>
    <t>2023-02-02</t>
  </si>
  <si>
    <t>2023-02-11</t>
  </si>
  <si>
    <t>2025-12-09</t>
  </si>
  <si>
    <t>2025-12-13</t>
  </si>
  <si>
    <t>2025-02-15</t>
  </si>
  <si>
    <t>2025-12-17</t>
  </si>
  <si>
    <t>2025-12-21</t>
  </si>
  <si>
    <t>2024-09-04</t>
  </si>
  <si>
    <t>2024-09-14</t>
  </si>
  <si>
    <t>2024-10-30</t>
  </si>
  <si>
    <t>2024-11-04</t>
  </si>
  <si>
    <t>2025-07-08</t>
  </si>
  <si>
    <t>2025-02-27</t>
  </si>
  <si>
    <t>2025-03-04</t>
  </si>
  <si>
    <t>2023-05-10</t>
  </si>
  <si>
    <t>2023-05-17</t>
  </si>
  <si>
    <t>2024-11-11</t>
  </si>
  <si>
    <t>2024-08-19</t>
  </si>
  <si>
    <t>2025-06-16</t>
  </si>
  <si>
    <t>2025-06-18</t>
  </si>
  <si>
    <t>2025-12-30</t>
  </si>
  <si>
    <t>2023-08-12</t>
  </si>
  <si>
    <t>2023-08-18</t>
  </si>
  <si>
    <t>2025-03-12</t>
  </si>
  <si>
    <t>2025-03-22</t>
  </si>
  <si>
    <t>2024-12-03</t>
  </si>
  <si>
    <t>2024-12-07</t>
  </si>
  <si>
    <t>2025-11-22</t>
  </si>
  <si>
    <t>2025-12-01</t>
  </si>
  <si>
    <t>2024-02-09</t>
  </si>
  <si>
    <t>2024-02-19</t>
  </si>
  <si>
    <t>2025-09-29</t>
  </si>
  <si>
    <t>2024-05-05</t>
  </si>
  <si>
    <t>2023-12-13</t>
  </si>
  <si>
    <t>2025-04-17</t>
  </si>
  <si>
    <t>2024-07-02</t>
  </si>
  <si>
    <t>2024-09-09</t>
  </si>
  <si>
    <t>2024-02-28</t>
  </si>
  <si>
    <t>2023-10-05</t>
  </si>
  <si>
    <t>2025-10-09</t>
  </si>
  <si>
    <t>2023-07-10</t>
  </si>
  <si>
    <t>2023-07-16</t>
  </si>
  <si>
    <t>2023-02-03</t>
  </si>
  <si>
    <t>2023-02-06</t>
  </si>
  <si>
    <t>2023-04-17</t>
  </si>
  <si>
    <t>2023-06-09</t>
  </si>
  <si>
    <t>2025-01-22</t>
  </si>
  <si>
    <t>2025-01-25</t>
  </si>
  <si>
    <t>2024-03-12</t>
  </si>
  <si>
    <t>2023-02-28</t>
  </si>
  <si>
    <t>2023-09-28</t>
  </si>
  <si>
    <t>2023-05-04</t>
  </si>
  <si>
    <t>2024-07-22</t>
  </si>
  <si>
    <t>2024-07-27</t>
  </si>
  <si>
    <t>2024-09-27</t>
  </si>
  <si>
    <t>2023-09-17</t>
  </si>
  <si>
    <t>2023-09-19</t>
  </si>
  <si>
    <t>2025-02-23</t>
  </si>
  <si>
    <t>2025-11-29</t>
  </si>
  <si>
    <t>2025-02-09</t>
  </si>
  <si>
    <t>2025-02-11</t>
  </si>
  <si>
    <t>2023-06-03</t>
  </si>
  <si>
    <t>2023-06-10</t>
  </si>
  <si>
    <t>2024-07-10</t>
  </si>
  <si>
    <t>2024-07-12</t>
  </si>
  <si>
    <t>2025-04-12</t>
  </si>
  <si>
    <t>2024-03-16</t>
  </si>
  <si>
    <t>2024-06-16</t>
  </si>
  <si>
    <t>2024-06-17</t>
  </si>
  <si>
    <t>2025-02-01</t>
  </si>
  <si>
    <t>2023-04-14</t>
  </si>
  <si>
    <t>2023-04-24</t>
  </si>
  <si>
    <t>2024-09-03</t>
  </si>
  <si>
    <t>2024-12-05</t>
  </si>
  <si>
    <t>2023-11-23</t>
  </si>
  <si>
    <t>2023-11-27</t>
  </si>
  <si>
    <t>2023-02-27</t>
  </si>
  <si>
    <t>2023-09-25</t>
  </si>
  <si>
    <t>2023-07-26</t>
  </si>
  <si>
    <t>2024-08-26</t>
  </si>
  <si>
    <t>2023-12-10</t>
  </si>
  <si>
    <t>2023-12-16</t>
  </si>
  <si>
    <t>2023-08-10</t>
  </si>
  <si>
    <t>2023-08-11</t>
  </si>
  <si>
    <t>2023-05-31</t>
  </si>
  <si>
    <t>2023-06-05</t>
  </si>
  <si>
    <t>2023-03-05</t>
  </si>
  <si>
    <t>2023-04-12</t>
  </si>
  <si>
    <t>2023-06-17</t>
  </si>
  <si>
    <t>2024-06-23</t>
  </si>
  <si>
    <t>2024-06-28</t>
  </si>
  <si>
    <t>2024-04-10</t>
  </si>
  <si>
    <t>2024-04-17</t>
  </si>
  <si>
    <t>2023-12-21</t>
  </si>
  <si>
    <t>2023-12-25</t>
  </si>
  <si>
    <t>2024-10-16</t>
  </si>
  <si>
    <t>2024-10-18</t>
  </si>
  <si>
    <t>2023-08-05</t>
  </si>
  <si>
    <t>2024-09-28</t>
  </si>
  <si>
    <t>2024-10-06</t>
  </si>
  <si>
    <t>2024-01-20</t>
  </si>
  <si>
    <t>2024-01-24</t>
  </si>
  <si>
    <t>2023-04-30</t>
  </si>
  <si>
    <t>2023-09-11</t>
  </si>
  <si>
    <t>2023-09-15</t>
  </si>
  <si>
    <t>2025-03-02</t>
  </si>
  <si>
    <t>2025-03-05</t>
  </si>
  <si>
    <t>2023-01-19</t>
  </si>
  <si>
    <t>2023-01-22</t>
  </si>
  <si>
    <t>2024-09-11</t>
  </si>
  <si>
    <t>2024-10-17</t>
  </si>
  <si>
    <t>2026-01-05</t>
  </si>
  <si>
    <t>2024-03-31</t>
  </si>
  <si>
    <t>2025-10-28</t>
  </si>
  <si>
    <t>2023-06-15</t>
  </si>
  <si>
    <t>2023-06-21</t>
  </si>
  <si>
    <t>2025-05-29</t>
  </si>
  <si>
    <t>2024-05-24</t>
  </si>
  <si>
    <t>2025-07-22</t>
  </si>
  <si>
    <t>2024-03-08</t>
  </si>
  <si>
    <t>2025-05-16</t>
  </si>
  <si>
    <t>2024-06-22</t>
  </si>
  <si>
    <t>2025-10-08</t>
  </si>
  <si>
    <t>2025-10-10</t>
  </si>
  <si>
    <t>2024-06-24</t>
  </si>
  <si>
    <t>2024-06-25</t>
  </si>
  <si>
    <t>2023-12-11</t>
  </si>
  <si>
    <t>2025-01-07</t>
  </si>
  <si>
    <t>2025-12-06</t>
  </si>
  <si>
    <t>2025-07-04</t>
  </si>
  <si>
    <t>2024-11-29</t>
  </si>
  <si>
    <t>2023-08-22</t>
  </si>
  <si>
    <t>2023-08-26</t>
  </si>
  <si>
    <t>2023-08-08</t>
  </si>
  <si>
    <t>2023-04-06</t>
  </si>
  <si>
    <t>2023-08-01</t>
  </si>
  <si>
    <t>2024-10-04</t>
  </si>
  <si>
    <t>2024-10-08</t>
  </si>
  <si>
    <t>2025-12-29</t>
  </si>
  <si>
    <t>2025-01-06</t>
  </si>
  <si>
    <t>2023-09-24</t>
  </si>
  <si>
    <t>2023-10-04</t>
  </si>
  <si>
    <t>2023-04-15</t>
  </si>
  <si>
    <t>2023-04-23</t>
  </si>
  <si>
    <t>2024-11-10</t>
  </si>
  <si>
    <t>2023-03-23</t>
  </si>
  <si>
    <t>2025-09-23</t>
  </si>
  <si>
    <t>2025-05-22</t>
  </si>
  <si>
    <t>2023-05-25</t>
  </si>
  <si>
    <t>2023-05-30</t>
  </si>
  <si>
    <t>2023-05-29</t>
  </si>
  <si>
    <t>2023-03-08</t>
  </si>
  <si>
    <t>2023-09-10</t>
  </si>
  <si>
    <t>2024-01-07</t>
  </si>
  <si>
    <t>2024-01-16</t>
  </si>
  <si>
    <t>2024-10-12</t>
  </si>
  <si>
    <t>2025-09-09</t>
  </si>
  <si>
    <t>2025-09-17</t>
  </si>
  <si>
    <t>2023-02-08</t>
  </si>
  <si>
    <t>2023-02-18</t>
  </si>
  <si>
    <t>2023-10-11</t>
  </si>
  <si>
    <t>2025-07-02</t>
  </si>
  <si>
    <t>2025-07-05</t>
  </si>
  <si>
    <t>2025-03-13</t>
  </si>
  <si>
    <t>2025-01-18</t>
  </si>
  <si>
    <t>2025-01-27</t>
  </si>
  <si>
    <t>2024-03-09</t>
  </si>
  <si>
    <t>2023-10-28</t>
  </si>
  <si>
    <t>2025-07-16</t>
  </si>
  <si>
    <t>2023-05-21</t>
  </si>
  <si>
    <t>2023-05-28</t>
  </si>
  <si>
    <t>2024-01-09</t>
  </si>
  <si>
    <t>2025-06-02</t>
  </si>
  <si>
    <t>2025-02-19</t>
  </si>
  <si>
    <t>2025-02-07</t>
  </si>
  <si>
    <t>2025-03-31</t>
  </si>
  <si>
    <t>2023-07-25</t>
  </si>
  <si>
    <t>2023-08-03</t>
  </si>
  <si>
    <t>2023-07-05</t>
  </si>
  <si>
    <t>2025-07-20</t>
  </si>
  <si>
    <t>2023-06-04</t>
  </si>
  <si>
    <t>2024-06-12</t>
  </si>
  <si>
    <t>2024-06-19</t>
  </si>
  <si>
    <t>2024-03-26</t>
  </si>
  <si>
    <t>2025-10-05</t>
  </si>
  <si>
    <t>2025-10-14</t>
  </si>
  <si>
    <t>2023-04-21</t>
  </si>
  <si>
    <t>2025-02-16</t>
  </si>
  <si>
    <t>2025-02-22</t>
  </si>
  <si>
    <t>2024-07-26</t>
  </si>
  <si>
    <t>2024-07-29</t>
  </si>
  <si>
    <t>2024-02-06</t>
  </si>
  <si>
    <t>2024-09-06</t>
  </si>
  <si>
    <t>2024-09-15</t>
  </si>
  <si>
    <t>2025-09-02</t>
  </si>
  <si>
    <t>2025-09-10</t>
  </si>
  <si>
    <t>2024-08-05</t>
  </si>
  <si>
    <t>2024-04-12</t>
  </si>
  <si>
    <t>2023-09-14</t>
  </si>
  <si>
    <t>2025-12-11</t>
  </si>
  <si>
    <t>2025-09-11</t>
  </si>
  <si>
    <t>2025-06-23</t>
  </si>
  <si>
    <t>2025-06-29</t>
  </si>
  <si>
    <t>2025-09-04</t>
  </si>
  <si>
    <t>2025-09-05</t>
  </si>
  <si>
    <t>2025-02-18</t>
  </si>
  <si>
    <t>2024-08-16</t>
  </si>
  <si>
    <t>2024-08-24</t>
  </si>
  <si>
    <t>2025-06-20</t>
  </si>
  <si>
    <t>2024-11-07</t>
  </si>
  <si>
    <t>2025-03-03</t>
  </si>
  <si>
    <t>2025-12-02</t>
  </si>
  <si>
    <t>2025-12-07</t>
  </si>
  <si>
    <t>2023-09-03</t>
  </si>
  <si>
    <t>2023-11-14</t>
  </si>
  <si>
    <t>2023-08-16</t>
  </si>
  <si>
    <t>2024-05-28</t>
  </si>
  <si>
    <t>2024-06-05</t>
  </si>
  <si>
    <t>2023-03-07</t>
  </si>
  <si>
    <t>2023-05-05</t>
  </si>
  <si>
    <t>2025-12-24</t>
  </si>
  <si>
    <t>2025-11-26</t>
  </si>
  <si>
    <t>2025-07-31</t>
  </si>
  <si>
    <t>2023-06-08</t>
  </si>
  <si>
    <t>2024-11-15</t>
  </si>
  <si>
    <t>2025-03-15</t>
  </si>
  <si>
    <t>2025-03-25</t>
  </si>
  <si>
    <t>2023-10-13</t>
  </si>
  <si>
    <t>2025-05-17</t>
  </si>
  <si>
    <t>2023-10-27</t>
  </si>
  <si>
    <t>2023-01-29</t>
  </si>
  <si>
    <t>2023-08-14</t>
  </si>
  <si>
    <t>2025-10-31</t>
  </si>
  <si>
    <t>2024-11-30</t>
  </si>
  <si>
    <t>2025-05-14</t>
  </si>
  <si>
    <t>2025-05-30</t>
  </si>
  <si>
    <t>2025-06-09</t>
  </si>
  <si>
    <t>2025-04-22</t>
  </si>
  <si>
    <t>2025-04-30</t>
  </si>
  <si>
    <t>2024-04-20</t>
  </si>
  <si>
    <t>2024-04-21</t>
  </si>
  <si>
    <t>2024-01-12</t>
  </si>
  <si>
    <t>2023-12-29</t>
  </si>
  <si>
    <t>2024-01-08</t>
  </si>
  <si>
    <t>2025-07-13</t>
  </si>
  <si>
    <t>2025-08-07</t>
  </si>
  <si>
    <t>2025-08-09</t>
  </si>
  <si>
    <t>2024-01-02</t>
  </si>
  <si>
    <t>2025-02-14</t>
  </si>
  <si>
    <t>2025-05-09</t>
  </si>
  <si>
    <t>2023-01-12</t>
  </si>
  <si>
    <t>2023-03-18</t>
  </si>
  <si>
    <t>2024-03-04</t>
  </si>
  <si>
    <t>2025-10-15</t>
  </si>
  <si>
    <t>2024-11-14</t>
  </si>
  <si>
    <t>2023-01-13</t>
  </si>
  <si>
    <t>2025-08-01</t>
  </si>
  <si>
    <t>2024-03-21</t>
  </si>
  <si>
    <t>2025-12-08</t>
  </si>
  <si>
    <t>2025-12-14</t>
  </si>
  <si>
    <t>2025-12-05</t>
  </si>
  <si>
    <t>2023-11-19</t>
  </si>
  <si>
    <t>2023-11-21</t>
  </si>
  <si>
    <t>2025-06-27</t>
  </si>
  <si>
    <t>2025-06-30</t>
  </si>
  <si>
    <t>2024-10-01</t>
  </si>
  <si>
    <t>2025-03-19</t>
  </si>
  <si>
    <t>2025-04-10</t>
  </si>
  <si>
    <t>2025-04-16</t>
  </si>
  <si>
    <t>2023-08-23</t>
  </si>
  <si>
    <t>2023-08-29</t>
  </si>
  <si>
    <t>2024-11-01</t>
  </si>
  <si>
    <t>2024-11-02</t>
  </si>
  <si>
    <t>2024-02-05</t>
  </si>
  <si>
    <t>2024-02-11</t>
  </si>
  <si>
    <t>2023-08-13</t>
  </si>
  <si>
    <t>2024-01-21</t>
  </si>
  <si>
    <t>2023-06-23</t>
  </si>
  <si>
    <t>2025-10-24</t>
  </si>
  <si>
    <t>2024-05-17</t>
  </si>
  <si>
    <t>2024-05-19</t>
  </si>
  <si>
    <t>2025-11-01</t>
  </si>
  <si>
    <t>2025-11-06</t>
  </si>
  <si>
    <t>2023-11-06</t>
  </si>
  <si>
    <t>2025-04-01</t>
  </si>
  <si>
    <t>2024-10-03</t>
  </si>
  <si>
    <t>2024-08-03</t>
  </si>
  <si>
    <t>2024-08-07</t>
  </si>
  <si>
    <t>2023-09-13</t>
  </si>
  <si>
    <t>2024-10-24</t>
  </si>
  <si>
    <t>2025-03-23</t>
  </si>
  <si>
    <t>2023-08-02</t>
  </si>
  <si>
    <t>2025-09-06</t>
  </si>
  <si>
    <t>2023-09-06</t>
  </si>
  <si>
    <t>2025-02-25</t>
  </si>
  <si>
    <t>2023-10-14</t>
  </si>
  <si>
    <t>2023-10-18</t>
  </si>
  <si>
    <t>2023-05-11</t>
  </si>
  <si>
    <t>2023-05-13</t>
  </si>
  <si>
    <t>2024-11-18</t>
  </si>
  <si>
    <t>2024-11-20</t>
  </si>
  <si>
    <t>2023-09-20</t>
  </si>
  <si>
    <t>2024-01-29</t>
  </si>
  <si>
    <t>2024-02-07</t>
  </si>
  <si>
    <t>2023-03-30</t>
  </si>
  <si>
    <t>2023-04-05</t>
  </si>
  <si>
    <t>2023-11-20</t>
  </si>
  <si>
    <t>2024-10-31</t>
  </si>
  <si>
    <t>2023-04-22</t>
  </si>
  <si>
    <t>2025-01-08</t>
  </si>
  <si>
    <t>2023-12-17</t>
  </si>
  <si>
    <t>2025-08-27</t>
  </si>
  <si>
    <t>2025-09-08</t>
  </si>
  <si>
    <t>2025-09-16</t>
  </si>
  <si>
    <t>2023-07-13</t>
  </si>
  <si>
    <t>2024-07-01</t>
  </si>
  <si>
    <t>2025-10-23</t>
  </si>
  <si>
    <t>2025-10-13</t>
  </si>
  <si>
    <t>2025-10-17</t>
  </si>
  <si>
    <t>2025-05-10</t>
  </si>
  <si>
    <t>2025-05-11</t>
  </si>
  <si>
    <t>2025-09-30</t>
  </si>
  <si>
    <t>2025-02-02</t>
  </si>
  <si>
    <t>2024-11-24</t>
  </si>
  <si>
    <t>2023-07-09</t>
  </si>
  <si>
    <t>2025-01-09</t>
  </si>
  <si>
    <t>2025-05-01</t>
  </si>
  <si>
    <t>2025-05-06</t>
  </si>
  <si>
    <t>2023-01-06</t>
  </si>
  <si>
    <t>2023-01-11</t>
  </si>
  <si>
    <t>2025-01-01</t>
  </si>
  <si>
    <t>2025-01-02</t>
  </si>
  <si>
    <t>2023-12-09</t>
  </si>
  <si>
    <t>2023-08-27</t>
  </si>
  <si>
    <t>2023-08-28</t>
  </si>
  <si>
    <t>2023-03-04</t>
  </si>
  <si>
    <t>2024-06-04</t>
  </si>
  <si>
    <t>2024-01-14</t>
  </si>
  <si>
    <t>2025-11-02</t>
  </si>
  <si>
    <t>2023-07-22</t>
  </si>
  <si>
    <t>2025-04-14</t>
  </si>
  <si>
    <t>2025-04-20</t>
  </si>
  <si>
    <t>2024-09-30</t>
  </si>
  <si>
    <t>2024-12-04</t>
  </si>
  <si>
    <t>2025-03-30</t>
  </si>
  <si>
    <t>2025-10-20</t>
  </si>
  <si>
    <t>2023-03-09</t>
  </si>
  <si>
    <t>2024-12-15</t>
  </si>
  <si>
    <t>2024-05-22</t>
  </si>
  <si>
    <t>2023-02-10</t>
  </si>
  <si>
    <t>2025-09-27</t>
  </si>
  <si>
    <t>2023-04-08</t>
  </si>
  <si>
    <t>2023-04-18</t>
  </si>
  <si>
    <t>2025-12-23</t>
  </si>
  <si>
    <t>2024-01-05</t>
  </si>
  <si>
    <t>2024-05-07</t>
  </si>
  <si>
    <t>2024-05-12</t>
  </si>
  <si>
    <t>2025-05-19</t>
  </si>
  <si>
    <t>2023-08-20</t>
  </si>
  <si>
    <t>2024-09-08</t>
  </si>
  <si>
    <t>2024-09-12</t>
  </si>
  <si>
    <t>2025-10-03</t>
  </si>
  <si>
    <t>2024-01-15</t>
  </si>
  <si>
    <t>2024-06-27</t>
  </si>
  <si>
    <t>2023-07-02</t>
  </si>
  <si>
    <t>2023-07-06</t>
  </si>
  <si>
    <t>quantity</t>
  </si>
  <si>
    <t>discount</t>
  </si>
  <si>
    <t>Line Revenue</t>
  </si>
  <si>
    <t>Category ID</t>
  </si>
  <si>
    <t>Unit Cost</t>
  </si>
  <si>
    <t>Line Cost</t>
  </si>
  <si>
    <t>Line Profit</t>
  </si>
  <si>
    <t>payment_id</t>
  </si>
  <si>
    <t>payment_date</t>
  </si>
  <si>
    <t>amount</t>
  </si>
  <si>
    <t>method</t>
  </si>
  <si>
    <t>Payment Month</t>
  </si>
  <si>
    <t>Order Status</t>
  </si>
  <si>
    <t>2024-04-01</t>
  </si>
  <si>
    <t>2025-05-24</t>
  </si>
  <si>
    <t>2025-07-23</t>
  </si>
  <si>
    <t>2024-12-25</t>
  </si>
  <si>
    <t>2025-08-10</t>
  </si>
  <si>
    <t>2025-06-17</t>
  </si>
  <si>
    <t>2025-11-10</t>
  </si>
  <si>
    <t>2024-05-04</t>
  </si>
  <si>
    <t>2024-01-30</t>
  </si>
  <si>
    <t>2023-12-02</t>
  </si>
  <si>
    <t>2023-11-16</t>
  </si>
  <si>
    <t>2025-09-19</t>
  </si>
  <si>
    <t>2025-01-13</t>
  </si>
  <si>
    <t>2025-10-25</t>
  </si>
  <si>
    <t>2025-01-28</t>
  </si>
  <si>
    <t>2025-12-28</t>
  </si>
  <si>
    <t>2024-03-01</t>
  </si>
  <si>
    <t>2023-06-12</t>
  </si>
  <si>
    <t>2025-03-26</t>
  </si>
  <si>
    <t>2025-07-07</t>
  </si>
  <si>
    <t>2024-05-25</t>
  </si>
  <si>
    <t>2024-12-17</t>
  </si>
  <si>
    <t>2024-10-23</t>
  </si>
  <si>
    <t>2025-12-18</t>
  </si>
  <si>
    <t>2025-03-01</t>
  </si>
  <si>
    <t>2025-06-19</t>
  </si>
  <si>
    <t>2025-03-17</t>
  </si>
  <si>
    <t>2024-12-08</t>
  </si>
  <si>
    <t>2025-11-27</t>
  </si>
  <si>
    <t>2024-02-10</t>
  </si>
  <si>
    <t>2024-05-06</t>
  </si>
  <si>
    <t>2024-07-05</t>
  </si>
  <si>
    <t>2024-03-03</t>
  </si>
  <si>
    <t>2025-10-02</t>
  </si>
  <si>
    <t>2023-06-14</t>
  </si>
  <si>
    <t>2024-03-14</t>
  </si>
  <si>
    <t>2024-07-25</t>
  </si>
  <si>
    <t>2025-11-24</t>
  </si>
  <si>
    <t>2024-07-11</t>
  </si>
  <si>
    <t>2024-03-20</t>
  </si>
  <si>
    <t>2025-02-03</t>
  </si>
  <si>
    <t>2024-12-09</t>
  </si>
  <si>
    <t>2023-11-24</t>
  </si>
  <si>
    <t>2023-07-27</t>
  </si>
  <si>
    <t>2023-12-15</t>
  </si>
  <si>
    <t>2024-04-14</t>
  </si>
  <si>
    <t>2023-12-26</t>
  </si>
  <si>
    <t>2024-10-19</t>
  </si>
  <si>
    <t>2023-08-07</t>
  </si>
  <si>
    <t>2023-05-01</t>
  </si>
  <si>
    <t>2023-09-16</t>
  </si>
  <si>
    <t>2025-03-07</t>
  </si>
  <si>
    <t>2026-01-04</t>
  </si>
  <si>
    <t>2024-04-05</t>
  </si>
  <si>
    <t>2023-12-19</t>
  </si>
  <si>
    <t>2023-04-10</t>
  </si>
  <si>
    <t>2025-12-31</t>
  </si>
  <si>
    <t>2023-03-10</t>
  </si>
  <si>
    <t>2024-10-14</t>
  </si>
  <si>
    <t>2023-10-06</t>
  </si>
  <si>
    <t>2025-03-09</t>
  </si>
  <si>
    <t>2023-11-02</t>
  </si>
  <si>
    <t>2023-05-24</t>
  </si>
  <si>
    <t>2023-06-01</t>
  </si>
  <si>
    <t>2024-03-24</t>
  </si>
  <si>
    <t>2024-07-30</t>
  </si>
  <si>
    <t>2024-09-07</t>
  </si>
  <si>
    <t>2025-09-07</t>
  </si>
  <si>
    <t>2024-04-15</t>
  </si>
  <si>
    <t>2023-09-18</t>
  </si>
  <si>
    <t>2024-06-01</t>
  </si>
  <si>
    <t>2025-07-11</t>
  </si>
  <si>
    <t>2023-05-09</t>
  </si>
  <si>
    <t>2025-11-30</t>
  </si>
  <si>
    <t>2024-11-17</t>
  </si>
  <si>
    <t>2023-10-09</t>
  </si>
  <si>
    <t>2025-04-26</t>
  </si>
  <si>
    <t>2024-04-24</t>
  </si>
  <si>
    <t>2024-01-06</t>
  </si>
  <si>
    <t>2025-05-12</t>
  </si>
  <si>
    <t>2023-07-14</t>
  </si>
  <si>
    <t>2024-03-05</t>
  </si>
  <si>
    <t>2024-11-16</t>
  </si>
  <si>
    <t>2025-08-03</t>
  </si>
  <si>
    <t>2024-10-05</t>
  </si>
  <si>
    <t>2023-06-27</t>
  </si>
  <si>
    <t>2024-05-18</t>
  </si>
  <si>
    <t>2023-11-10</t>
  </si>
  <si>
    <t>2024-07-16</t>
  </si>
  <si>
    <t>2023-09-08</t>
  </si>
  <si>
    <t>2023-10-19</t>
  </si>
  <si>
    <t>2024-03-11</t>
  </si>
  <si>
    <t>2023-05-12</t>
  </si>
  <si>
    <t>2024-11-19</t>
  </si>
  <si>
    <t>2024-02-01</t>
  </si>
  <si>
    <t>2023-07-08</t>
  </si>
  <si>
    <t>2025-04-15</t>
  </si>
  <si>
    <t>2025-01-23</t>
  </si>
  <si>
    <t>2025-02-04</t>
  </si>
  <si>
    <t>2024-11-28</t>
  </si>
  <si>
    <t>2025-05-03</t>
  </si>
  <si>
    <t>2023-01-08</t>
  </si>
  <si>
    <t>2024-11-27</t>
  </si>
  <si>
    <t>2025-04-04</t>
  </si>
  <si>
    <t>2025-10-19</t>
  </si>
  <si>
    <t>2023-02-14</t>
  </si>
  <si>
    <t>2025-12-26</t>
  </si>
  <si>
    <t>2024-05-10</t>
  </si>
  <si>
    <t>2024-01-31</t>
  </si>
  <si>
    <t>2025-05-20</t>
  </si>
  <si>
    <t>2023-08-25</t>
  </si>
  <si>
    <t>Supplier ID</t>
  </si>
  <si>
    <t>2024-02-21</t>
  </si>
  <si>
    <t>2024-08-12</t>
  </si>
  <si>
    <t>2025-07-27</t>
  </si>
  <si>
    <t>2025-02-24</t>
  </si>
  <si>
    <t>2024-11-12</t>
  </si>
  <si>
    <t>2023-04-04</t>
  </si>
  <si>
    <t>2025-01-29</t>
  </si>
  <si>
    <t>2025-10-06</t>
  </si>
  <si>
    <t>2024-10-11</t>
  </si>
  <si>
    <t>2023-12-01</t>
  </si>
  <si>
    <t>2023-03-25</t>
  </si>
  <si>
    <t>2025-09-20</t>
  </si>
  <si>
    <t>2024-03-10</t>
  </si>
  <si>
    <t>2023-09-07</t>
  </si>
  <si>
    <t>2023-09-22</t>
  </si>
  <si>
    <t>2023-11-30</t>
  </si>
  <si>
    <t>2025-07-01</t>
  </si>
  <si>
    <t>2024-01-17</t>
  </si>
  <si>
    <t>2023-03-24</t>
  </si>
  <si>
    <t>2024-08-18</t>
  </si>
  <si>
    <t>2023-06-06</t>
  </si>
  <si>
    <t>2023-04-03</t>
  </si>
  <si>
    <t>2024-06-15</t>
  </si>
  <si>
    <t>2023-12-18</t>
  </si>
  <si>
    <t>2023-06-29</t>
  </si>
  <si>
    <t>2024-01-26</t>
  </si>
  <si>
    <t>2023-11-09</t>
  </si>
  <si>
    <t>2023-01-17</t>
  </si>
  <si>
    <t>2025-06-03</t>
  </si>
  <si>
    <t>2025-11-17</t>
  </si>
  <si>
    <t>2024-12-11</t>
  </si>
  <si>
    <t>2024-11-25</t>
  </si>
  <si>
    <t>2024-08-23</t>
  </si>
  <si>
    <t>2024-08-01</t>
  </si>
  <si>
    <t>2024-04-09</t>
  </si>
  <si>
    <t>2023-03-27</t>
  </si>
  <si>
    <t>2025-01-10</t>
  </si>
  <si>
    <t>2024-02-18</t>
  </si>
  <si>
    <t>2023-01-14</t>
  </si>
  <si>
    <t>2025-12-20</t>
  </si>
  <si>
    <t>2025-11-23</t>
  </si>
  <si>
    <t>2023-12-03</t>
  </si>
  <si>
    <t>2025-05-08</t>
  </si>
  <si>
    <t>2025-04-07</t>
  </si>
  <si>
    <t>2024-06-13</t>
  </si>
  <si>
    <t>2025-05-15</t>
  </si>
  <si>
    <t>2023-07-20</t>
  </si>
  <si>
    <t>2023-08-30</t>
  </si>
  <si>
    <t>2023-11-18</t>
  </si>
  <si>
    <t>2025-01-30</t>
  </si>
  <si>
    <t>2024-08-25</t>
  </si>
  <si>
    <t>2025-05-13</t>
  </si>
  <si>
    <t>2023-05-19</t>
  </si>
  <si>
    <t>2024-09-26</t>
  </si>
  <si>
    <t>2025-04-18</t>
  </si>
  <si>
    <t>2024-09-24</t>
  </si>
  <si>
    <t>2023-04-19</t>
  </si>
  <si>
    <t>2025-12-25</t>
  </si>
  <si>
    <t>2024-02-26</t>
  </si>
  <si>
    <t>2025-06-28</t>
  </si>
  <si>
    <t>2023-02-17</t>
  </si>
  <si>
    <t>2023-02-19</t>
  </si>
  <si>
    <t>2023-07-03</t>
  </si>
  <si>
    <t>2024-04-29</t>
  </si>
  <si>
    <t>2024-04-23</t>
  </si>
  <si>
    <t>2023-01-03</t>
  </si>
  <si>
    <t>2024-07-13</t>
  </si>
  <si>
    <t>2024-10-13</t>
  </si>
  <si>
    <t>2023-01-05</t>
  </si>
  <si>
    <t>2023-12-22</t>
  </si>
  <si>
    <t>2025-01-03</t>
  </si>
  <si>
    <t>2023-01-18</t>
  </si>
  <si>
    <t>2024-03-28</t>
  </si>
  <si>
    <t>2023-05-14</t>
  </si>
  <si>
    <t>2024-07-15</t>
  </si>
  <si>
    <t>2025-10-11</t>
  </si>
  <si>
    <t>2024-04-04</t>
  </si>
  <si>
    <t>2024-02-03</t>
  </si>
  <si>
    <t>2024-05-26</t>
  </si>
  <si>
    <t>2023-04-25</t>
  </si>
  <si>
    <t>2025-11-08</t>
  </si>
  <si>
    <t>2025-11-16</t>
  </si>
  <si>
    <t>2024-02-17</t>
  </si>
  <si>
    <t>2024-11-09</t>
  </si>
  <si>
    <t>2024-09-05</t>
  </si>
  <si>
    <t>2024-01-13</t>
  </si>
  <si>
    <t>2023-12-23</t>
  </si>
  <si>
    <t>2024-01-01</t>
  </si>
  <si>
    <t>2024-09-16</t>
  </si>
  <si>
    <t>2024-05-15</t>
  </si>
  <si>
    <t>2024-07-03</t>
  </si>
  <si>
    <t>2023-03-16</t>
  </si>
  <si>
    <t>2025-08-15</t>
  </si>
  <si>
    <t>2025-01-05</t>
  </si>
  <si>
    <t>2023-05-27</t>
  </si>
  <si>
    <t>2023-10-10</t>
  </si>
  <si>
    <t>2025-11-15</t>
  </si>
  <si>
    <t>2025-08-02</t>
  </si>
  <si>
    <t>2023-03-03</t>
  </si>
  <si>
    <t>2024-09-17</t>
  </si>
  <si>
    <t>2024-12-27</t>
  </si>
  <si>
    <t>2025-04-06</t>
  </si>
  <si>
    <t>2023-11-11</t>
  </si>
  <si>
    <t>2025-03-11</t>
  </si>
  <si>
    <t>2024-01-18</t>
  </si>
  <si>
    <t>2024-08-04</t>
  </si>
  <si>
    <t>2025-08-30</t>
  </si>
  <si>
    <t>2024-02-20</t>
  </si>
  <si>
    <t>2023-07-15</t>
  </si>
  <si>
    <t>2024-08-20</t>
  </si>
  <si>
    <t>2025-07-12</t>
  </si>
  <si>
    <t>2023-04-02</t>
  </si>
  <si>
    <t>2023-05-20</t>
  </si>
  <si>
    <t>2023-01-23</t>
  </si>
  <si>
    <t>2023-12-31</t>
  </si>
  <si>
    <t>Retail &amp; Distribution Co. Executive Dashboard</t>
  </si>
  <si>
    <t xml:space="preserve">Sales · Finance · HR · Supply Chain  </t>
  </si>
  <si>
    <t>Chart Data</t>
  </si>
  <si>
    <t>Revenue, cost, margin, payments and payroll vs. budget</t>
  </si>
  <si>
    <t>Headcount, compensation, tenure and org structure</t>
  </si>
  <si>
    <t>Stock health, supplier performance and inventory movement</t>
  </si>
  <si>
    <t>department name</t>
  </si>
  <si>
    <t>first name</t>
  </si>
  <si>
    <t>employee id</t>
  </si>
  <si>
    <t>last name</t>
  </si>
  <si>
    <t>department id</t>
  </si>
  <si>
    <t>manager id</t>
  </si>
  <si>
    <t>job title</t>
  </si>
  <si>
    <t>hire date</t>
  </si>
  <si>
    <t>signup date</t>
  </si>
  <si>
    <t>contact name</t>
  </si>
  <si>
    <t>company name</t>
  </si>
  <si>
    <t>supplier id</t>
  </si>
  <si>
    <t>lead time days</t>
  </si>
  <si>
    <t>supplier name</t>
  </si>
  <si>
    <t>category id</t>
  </si>
  <si>
    <t>category name</t>
  </si>
  <si>
    <t>transaction id</t>
  </si>
  <si>
    <t>product id</t>
  </si>
  <si>
    <t>transaction date</t>
  </si>
  <si>
    <t>transaction type</t>
  </si>
  <si>
    <t>order item_id</t>
  </si>
  <si>
    <t>order id</t>
  </si>
  <si>
    <t>unit price</t>
  </si>
  <si>
    <t>customer id</t>
  </si>
  <si>
    <t>order date</t>
  </si>
  <si>
    <t>ship date</t>
  </si>
  <si>
    <t>ship region</t>
  </si>
  <si>
    <t>product name</t>
  </si>
  <si>
    <t>unit cost</t>
  </si>
  <si>
    <t>stock quantity</t>
  </si>
  <si>
    <t>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</si>
</sst>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"/>
    <numFmt numFmtId="165" formatCode="0.0%"/>
    <numFmt numFmtId="166" formatCode="\$#,##0.00"/>
    <numFmt numFmtId="167" formatCode="0.0"/>
  </numFmts>
  <fonts count="14" x14ac:knownFonts="1">
    <font>
      <sz val="11"/>
      <color theme="1"/>
      <name val="Calibri"/>
      <family val="2"/>
      <charset val="1"/>
    </font>
    <font>
      <b/>
      <sz val="20"/>
      <color rgb="FF1F4E78"/>
      <name val="Arial"/>
      <family val="2"/>
    </font>
    <font>
      <i/>
      <sz val="10"/>
      <color rgb="FF666666"/>
      <name val="Arial"/>
      <family val="2"/>
    </font>
    <font>
      <i/>
      <sz val="11"/>
      <color rgb="FF66666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1F4E78"/>
      <name val="Arial"/>
      <family val="2"/>
    </font>
    <font>
      <b/>
      <sz val="11"/>
      <color rgb="FFFFFFFF"/>
      <name val="Arial"/>
      <family val="2"/>
    </font>
    <font>
      <b/>
      <sz val="18"/>
      <color rgb="FF1F4E78"/>
      <name val="Arial"/>
      <family val="2"/>
    </font>
    <font>
      <b/>
      <sz val="10"/>
      <color rgb="FFFFFFFF"/>
      <name val="Arial"/>
      <family val="2"/>
    </font>
    <font>
      <b/>
      <sz val="11"/>
      <color rgb="FF666666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8" fillId="4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indent="1"/>
    </xf>
    <xf numFmtId="0" fontId="2" fillId="0" borderId="0" xfId="0" applyFont="1" applyBorder="1" applyAlignment="1"/>
    <xf numFmtId="3" fontId="1" fillId="4" borderId="0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indent="1"/>
    </xf>
    <xf numFmtId="0" fontId="3" fillId="0" borderId="0" xfId="0" applyFont="1" applyBorder="1" applyAlignment="1"/>
    <xf numFmtId="0" fontId="0" fillId="0" borderId="0" xfId="0" applyAlignment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164" fontId="0" fillId="0" borderId="1" xfId="0" applyNumberFormat="1" applyBorder="1" applyAlignment="1"/>
    <xf numFmtId="166" fontId="0" fillId="0" borderId="1" xfId="0" applyNumberFormat="1" applyBorder="1" applyAlignment="1"/>
    <xf numFmtId="165" fontId="0" fillId="0" borderId="1" xfId="0" applyNumberFormat="1" applyBorder="1" applyAlignment="1"/>
    <xf numFmtId="2" fontId="0" fillId="0" borderId="1" xfId="0" applyNumberFormat="1" applyBorder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164" fontId="8" fillId="4" borderId="0" xfId="0" applyNumberFormat="1" applyFont="1" applyFill="1" applyBorder="1" applyAlignment="1">
      <alignment horizontal="center" vertical="center"/>
    </xf>
    <xf numFmtId="166" fontId="8" fillId="4" borderId="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Border="1" applyAlignment="1">
      <alignment horizontal="center" vertical="center"/>
    </xf>
    <xf numFmtId="167" fontId="8" fillId="4" borderId="0" xfId="0" applyNumberFormat="1" applyFont="1" applyFill="1" applyBorder="1" applyAlignment="1">
      <alignment horizontal="center" vertical="center"/>
    </xf>
    <xf numFmtId="2" fontId="8" fillId="4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/>
    <xf numFmtId="0" fontId="0" fillId="0" borderId="2" xfId="0" applyFont="1" applyBorder="1" applyAlignment="1"/>
    <xf numFmtId="0" fontId="0" fillId="0" borderId="2" xfId="0" applyBorder="1" applyAlignment="1"/>
    <xf numFmtId="0" fontId="1" fillId="5" borderId="0" xfId="0" applyFont="1" applyFill="1" applyBorder="1" applyAlignment="1"/>
    <xf numFmtId="0" fontId="12" fillId="6" borderId="2" xfId="0" applyFont="1" applyFill="1" applyBorder="1" applyAlignment="1"/>
    <xf numFmtId="0" fontId="12" fillId="7" borderId="2" xfId="0" applyFont="1" applyFill="1" applyBorder="1" applyAlignment="1"/>
    <xf numFmtId="164" fontId="12" fillId="7" borderId="2" xfId="0" applyNumberFormat="1" applyFont="1" applyFill="1" applyBorder="1" applyAlignment="1"/>
    <xf numFmtId="0" fontId="11" fillId="0" borderId="0" xfId="0" applyFont="1" applyBorder="1" applyAlignment="1"/>
    <xf numFmtId="0" fontId="0" fillId="0" borderId="0" xfId="0" applyFont="1" applyBorder="1" applyAlignment="1"/>
    <xf numFmtId="0" fontId="12" fillId="8" borderId="2" xfId="0" applyFont="1" applyFill="1" applyBorder="1" applyAlignment="1"/>
    <xf numFmtId="164" fontId="12" fillId="8" borderId="2" xfId="0" applyNumberFormat="1" applyFont="1" applyFill="1" applyBorder="1" applyAlignment="1"/>
    <xf numFmtId="0" fontId="12" fillId="9" borderId="3" xfId="0" applyFont="1" applyFill="1" applyBorder="1" applyAlignment="1"/>
    <xf numFmtId="0" fontId="6" fillId="9" borderId="0" xfId="0" applyFont="1" applyFill="1" applyBorder="1" applyAlignment="1"/>
    <xf numFmtId="0" fontId="13" fillId="0" borderId="0" xfId="0" applyFont="1" applyBorder="1" applyAlignment="1"/>
    <xf numFmtId="0" fontId="9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5" formatCode="0.0%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\$#,##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4" formatCode="\$#,##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\$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165" formatCode="0.0%"/>
      <alignment horizontal="general" vertical="bottom" textRotation="0" wrapText="0" indent="0" justifyLastLine="0" shrinkToFit="0" readingOrder="0"/>
    </dxf>
    <dxf>
      <numFmt numFmtId="164" formatCode="\$#,##0"/>
      <alignment horizontal="general" vertical="bottom" textRotation="0" wrapText="0" indent="0" justifyLastLine="0" shrinkToFit="0" readingOrder="0"/>
    </dxf>
    <dxf>
      <numFmt numFmtId="164" formatCode="\$#,##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\$#,##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08080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A6A6A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Dashboard!$A$52:$A$61</c:f>
              <c:strCache>
                <c:ptCount val="10"/>
                <c:pt idx="0">
                  <c:v>Sporting Goods</c:v>
                </c:pt>
                <c:pt idx="1">
                  <c:v>Apparel</c:v>
                </c:pt>
                <c:pt idx="2">
                  <c:v>Office Supplies</c:v>
                </c:pt>
                <c:pt idx="3">
                  <c:v>Electronics</c:v>
                </c:pt>
                <c:pt idx="4">
                  <c:v>Groceries</c:v>
                </c:pt>
                <c:pt idx="5">
                  <c:v>Health &amp; Beauty</c:v>
                </c:pt>
                <c:pt idx="6">
                  <c:v>Automotive Parts</c:v>
                </c:pt>
                <c:pt idx="7">
                  <c:v>Furniture</c:v>
                </c:pt>
                <c:pt idx="8">
                  <c:v>Home &amp; Kitchen</c:v>
                </c:pt>
                <c:pt idx="9">
                  <c:v>Toys &amp; Games</c:v>
                </c:pt>
              </c:strCache>
            </c:strRef>
          </c:cat>
          <c:val>
            <c:numRef>
              <c:f>Dashboard!$B$52:$B$61</c:f>
              <c:numCache>
                <c:formatCode>\$#,##0</c:formatCode>
                <c:ptCount val="10"/>
                <c:pt idx="0">
                  <c:v>269240.83549999993</c:v>
                </c:pt>
                <c:pt idx="1">
                  <c:v>206243.00250000015</c:v>
                </c:pt>
                <c:pt idx="2">
                  <c:v>188788.63850000003</c:v>
                </c:pt>
                <c:pt idx="3">
                  <c:v>185455.91750000004</c:v>
                </c:pt>
                <c:pt idx="4">
                  <c:v>184134.40049999993</c:v>
                </c:pt>
                <c:pt idx="5">
                  <c:v>177044.39250000005</c:v>
                </c:pt>
                <c:pt idx="6">
                  <c:v>155430.55749999997</c:v>
                </c:pt>
                <c:pt idx="7">
                  <c:v>144037.6985</c:v>
                </c:pt>
                <c:pt idx="8">
                  <c:v>135507.77950000003</c:v>
                </c:pt>
                <c:pt idx="9">
                  <c:v>109793.86750000004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665632"/>
        <c:axId val="336636960"/>
      </c:barChart>
      <c:catAx>
        <c:axId val="27366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636960"/>
        <c:crosses val="autoZero"/>
        <c:auto val="1"/>
        <c:lblAlgn val="ctr"/>
        <c:lblOffset val="100"/>
        <c:noMultiLvlLbl val="0"/>
      </c:catAx>
      <c:valAx>
        <c:axId val="3366369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665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Revenue Trend (2023–2025)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Dashboard!$A$14:$A$49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Dashboard!$B$14:$B$49</c:f>
              <c:numCache>
                <c:formatCode>\$#,##0</c:formatCode>
                <c:ptCount val="36"/>
                <c:pt idx="0">
                  <c:v>35933.362500000003</c:v>
                </c:pt>
                <c:pt idx="1">
                  <c:v>49557.449000000001</c:v>
                </c:pt>
                <c:pt idx="2">
                  <c:v>37361.666000000005</c:v>
                </c:pt>
                <c:pt idx="3">
                  <c:v>26172.149000000001</c:v>
                </c:pt>
                <c:pt idx="4">
                  <c:v>45340.938000000002</c:v>
                </c:pt>
                <c:pt idx="5">
                  <c:v>49946.830999999998</c:v>
                </c:pt>
                <c:pt idx="6">
                  <c:v>52097.838500000005</c:v>
                </c:pt>
                <c:pt idx="7">
                  <c:v>69113.531499999997</c:v>
                </c:pt>
                <c:pt idx="8">
                  <c:v>36998.580499999996</c:v>
                </c:pt>
                <c:pt idx="9">
                  <c:v>39838.620000000003</c:v>
                </c:pt>
                <c:pt idx="10">
                  <c:v>34961.760999999999</c:v>
                </c:pt>
                <c:pt idx="11">
                  <c:v>41076.233</c:v>
                </c:pt>
                <c:pt idx="12">
                  <c:v>39136.84550000001</c:v>
                </c:pt>
                <c:pt idx="13">
                  <c:v>26471.002499999999</c:v>
                </c:pt>
                <c:pt idx="14">
                  <c:v>47857.284500000002</c:v>
                </c:pt>
                <c:pt idx="15">
                  <c:v>19458.900999999998</c:v>
                </c:pt>
                <c:pt idx="16">
                  <c:v>50602.822499999995</c:v>
                </c:pt>
                <c:pt idx="17">
                  <c:v>28218.436999999998</c:v>
                </c:pt>
                <c:pt idx="18">
                  <c:v>19855.005000000001</c:v>
                </c:pt>
                <c:pt idx="19">
                  <c:v>47825.254999999997</c:v>
                </c:pt>
                <c:pt idx="20">
                  <c:v>36433.2745</c:v>
                </c:pt>
                <c:pt idx="21">
                  <c:v>58073.473999999995</c:v>
                </c:pt>
                <c:pt idx="22">
                  <c:v>32191.155500000001</c:v>
                </c:pt>
                <c:pt idx="23">
                  <c:v>29453.992000000002</c:v>
                </c:pt>
                <c:pt idx="24">
                  <c:v>64112.87999999999</c:v>
                </c:pt>
                <c:pt idx="25">
                  <c:v>67165.506999999998</c:v>
                </c:pt>
                <c:pt idx="26">
                  <c:v>58236.655999999988</c:v>
                </c:pt>
                <c:pt idx="27">
                  <c:v>25785.7045</c:v>
                </c:pt>
                <c:pt idx="28">
                  <c:v>42043.126000000004</c:v>
                </c:pt>
                <c:pt idx="29">
                  <c:v>22032.504499999999</c:v>
                </c:pt>
                <c:pt idx="30">
                  <c:v>50550.074500000002</c:v>
                </c:pt>
                <c:pt idx="31">
                  <c:v>39153.822500000002</c:v>
                </c:pt>
                <c:pt idx="32">
                  <c:v>78296.22649999999</c:v>
                </c:pt>
                <c:pt idx="33">
                  <c:v>78908.868499999968</c:v>
                </c:pt>
                <c:pt idx="34">
                  <c:v>22532.359500000002</c:v>
                </c:pt>
                <c:pt idx="35">
                  <c:v>41335.0265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smooth val="0"/>
        <c:axId val="336640880"/>
        <c:axId val="336642056"/>
      </c:lineChart>
      <c:catAx>
        <c:axId val="336640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2056"/>
        <c:crosses val="autoZero"/>
        <c:auto val="1"/>
        <c:lblAlgn val="ctr"/>
        <c:lblOffset val="100"/>
        <c:noMultiLvlLbl val="0"/>
      </c:catAx>
      <c:valAx>
        <c:axId val="336642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08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Dashboard!$B$63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 val="1.3449351633127013E-2"/>
                  <c:y val="-0.2484712721916600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Dashboard!$A$64:$A$68</c:f>
              <c:strCache>
                <c:ptCount val="5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  <c:pt idx="4">
                  <c:v>Shipped</c:v>
                </c:pt>
              </c:strCache>
            </c:strRef>
          </c:cat>
          <c:val>
            <c:numRef>
              <c:f>Dashboard!$B$64:$B$68</c:f>
              <c:numCache>
                <c:formatCode>General</c:formatCode>
                <c:ptCount val="5"/>
                <c:pt idx="0">
                  <c:v>182</c:v>
                </c:pt>
                <c:pt idx="1">
                  <c:v>68</c:v>
                </c:pt>
                <c:pt idx="2">
                  <c:v>56</c:v>
                </c:pt>
                <c:pt idx="3">
                  <c:v>52</c:v>
                </c:pt>
                <c:pt idx="4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layout/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Dashboard!$B$70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Dashboard!$A$71:$A$77</c:f>
              <c:strCache>
                <c:ptCount val="7"/>
                <c:pt idx="0">
                  <c:v>Sales</c:v>
                </c:pt>
                <c:pt idx="1">
                  <c:v>Marketing</c:v>
                </c:pt>
                <c:pt idx="2">
                  <c:v>Finance</c:v>
                </c:pt>
                <c:pt idx="3">
                  <c:v>Operations</c:v>
                </c:pt>
                <c:pt idx="4">
                  <c:v>Human Resources</c:v>
                </c:pt>
                <c:pt idx="5">
                  <c:v>IT</c:v>
                </c:pt>
                <c:pt idx="6">
                  <c:v>Customer Support</c:v>
                </c:pt>
              </c:strCache>
            </c:strRef>
          </c:cat>
          <c:val>
            <c:numRef>
              <c:f>Dashboard!$B$71:$B$77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637352"/>
        <c:axId val="336642448"/>
      </c:barChart>
      <c:catAx>
        <c:axId val="336637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36642448"/>
        <c:crosses val="autoZero"/>
        <c:auto val="1"/>
        <c:lblAlgn val="ctr"/>
        <c:lblOffset val="100"/>
        <c:noMultiLvlLbl val="0"/>
      </c:catAx>
      <c:valAx>
        <c:axId val="336642448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layout/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36637352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619124</xdr:colOff>
      <xdr:row>10</xdr:row>
      <xdr:rowOff>66674</xdr:rowOff>
    </xdr:from>
    <xdr:to>
      <xdr:col>6</xdr:col>
      <xdr:colOff>742949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1047750</xdr:colOff>
      <xdr:row>10</xdr:row>
      <xdr:rowOff>66675</xdr:rowOff>
    </xdr:from>
    <xdr:to>
      <xdr:col>13</xdr:col>
      <xdr:colOff>295335</xdr:colOff>
      <xdr:row>25</xdr:row>
      <xdr:rowOff>10245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638175</xdr:colOff>
      <xdr:row>25</xdr:row>
      <xdr:rowOff>95251</xdr:rowOff>
    </xdr:from>
    <xdr:to>
      <xdr:col>7</xdr:col>
      <xdr:colOff>320625</xdr:colOff>
      <xdr:row>40</xdr:row>
      <xdr:rowOff>105495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523875</xdr:colOff>
      <xdr:row>25</xdr:row>
      <xdr:rowOff>95250</xdr:rowOff>
    </xdr:from>
    <xdr:to>
      <xdr:col>13</xdr:col>
      <xdr:colOff>63450</xdr:colOff>
      <xdr:row>42</xdr:row>
      <xdr:rowOff>95970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8" totalsRowShown="0" headerRowDxfId="136" dataDxfId="137" headerRowBorderDxfId="145" tableBorderDxfId="146">
  <autoFilter ref="A1:G8"/>
  <tableColumns count="7">
    <tableColumn id="1" name="Retail &amp; Distribution Co. Executive Dashboard" dataDxfId="144"/>
    <tableColumn id="2" name="department name" dataDxfId="143"/>
    <tableColumn id="3" name="budget" dataDxfId="142"/>
    <tableColumn id="4" name="Headcount" dataDxfId="141">
      <calculatedColumnFormula>COUNTIF(Employees!$E$2:$E$37,A2)</calculatedColumnFormula>
    </tableColumn>
    <tableColumn id="5" name="Total Salary Cost" dataDxfId="140">
      <calculatedColumnFormula>SUMIF(Employees!$E$2:$E$37,A2,Employees!$I$2:$I$37)</calculatedColumnFormula>
    </tableColumn>
    <tableColumn id="6" name="Budget Variance" dataDxfId="139">
      <calculatedColumnFormula>C2-E2</calculatedColumnFormula>
    </tableColumn>
    <tableColumn id="7" name="Budget Utilization %" dataDxfId="138">
      <calculatedColumnFormula>IFERROR(E2/C2,0)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37" totalsRowShown="0" headerRowDxfId="116" dataDxfId="117" headerRowBorderDxfId="134" tableBorderDxfId="135">
  <autoFilter ref="A1:P37"/>
  <tableColumns count="16">
    <tableColumn id="1" name="employee id" dataDxfId="133"/>
    <tableColumn id="2" name="first name" dataDxfId="132"/>
    <tableColumn id="3" name="last name" dataDxfId="131"/>
    <tableColumn id="4" name="email" dataDxfId="130"/>
    <tableColumn id="5" name="department id" dataDxfId="129"/>
    <tableColumn id="6" name="manager id" dataDxfId="128"/>
    <tableColumn id="7" name="job title" dataDxfId="127"/>
    <tableColumn id="8" name="hire date" dataDxfId="126"/>
    <tableColumn id="9" name="salary" dataDxfId="125"/>
    <tableColumn id="10" name="region" dataDxfId="124"/>
    <tableColumn id="11" name="Department Name" dataDxfId="123">
      <calculatedColumnFormula>IFERROR(INDEX(Departments!$B$2:$B$8,MATCH(E2,Departments!$A$2:$A$8,0)),"Unassigned")</calculatedColumnFormula>
    </tableColumn>
    <tableColumn id="12" name="Tenure (Years)" dataDxfId="122">
      <calculatedColumnFormula>ROUND((TODAY()-H2)/365.25,1)</calculatedColumnFormula>
    </tableColumn>
    <tableColumn id="13" name="Manager Name" dataDxfId="121">
      <calculatedColumnFormula>IFERROR(INDEX($B$2:$B$37,MATCH(F2,$A$2:$A$37,0))&amp;" "&amp;INDEX($C$2:$C$37,MATCH(F2,$A$2:$A$37,0)),"(Top Level)")</calculatedColumnFormula>
    </tableColumn>
    <tableColumn id="14" name="Direct Reports" dataDxfId="120">
      <calculatedColumnFormula>COUNTIF($F$2:$F$37,A2)</calculatedColumnFormula>
    </tableColumn>
    <tableColumn id="15" name="Orders Handled" dataDxfId="119">
      <calculatedColumnFormula>COUNTIF(Orders!$C$2:$C$401,A2)</calculatedColumnFormula>
    </tableColumn>
    <tableColumn id="16" name="Revenue Generated" dataDxfId="118">
      <calculatedColumnFormula>SUMIF(Orders!$C$2:$C$401,A2,Orders!$H$2:$H$401)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K61" totalsRowShown="0" headerRowDxfId="101" dataDxfId="102" headerRowBorderDxfId="114" tableBorderDxfId="115">
  <autoFilter ref="A1:K61"/>
  <tableColumns count="11">
    <tableColumn id="1" name="customer_id" dataDxfId="113"/>
    <tableColumn id="2" name="company name" dataDxfId="112"/>
    <tableColumn id="3" name="contact name" dataDxfId="111"/>
    <tableColumn id="4" name="email" dataDxfId="110"/>
    <tableColumn id="5" name="country" dataDxfId="109"/>
    <tableColumn id="6" name="city" dataDxfId="108"/>
    <tableColumn id="7" name="segment" dataDxfId="107"/>
    <tableColumn id="8" name="signup date" dataDxfId="106"/>
    <tableColumn id="9" name="Total Orders" dataDxfId="105">
      <calculatedColumnFormula>COUNTIF(Orders!$B$2:$B$401,A2)</calculatedColumnFormula>
    </tableColumn>
    <tableColumn id="10" name="Total Revenue" dataDxfId="104">
      <calculatedColumnFormula>SUMIF(Orders!$B$2:$B$401,A2,Orders!$H$2:$H$401)</calculatedColumnFormula>
    </tableColumn>
    <tableColumn id="11" name="Avg Order Value" dataDxfId="103">
      <calculatedColumnFormula>IFERROR(J2/I2,0)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3" totalsRowShown="0" headerRowDxfId="89" dataDxfId="90" headerRowBorderDxfId="99" tableBorderDxfId="100">
  <autoFilter ref="A1:H13"/>
  <tableColumns count="8">
    <tableColumn id="1" name="supplier id" dataDxfId="98"/>
    <tableColumn id="2" name="supplier name" dataDxfId="97"/>
    <tableColumn id="3" name="country" dataDxfId="96"/>
    <tableColumn id="4" name="lead time days" dataDxfId="95"/>
    <tableColumn id="5" name="rating" dataDxfId="94"/>
    <tableColumn id="6" name="Products Supplied" dataDxfId="93">
      <calculatedColumnFormula>COUNTIF(Products!$D$2:$D$101,A2)</calculatedColumnFormula>
    </tableColumn>
    <tableColumn id="7" name="Total Restock Qty" dataDxfId="92">
      <calculatedColumnFormula>SUMIFS(InventoryTransactions!$E$2:$E$351,InventoryTransactions!$H$2:$H$351,A2,InventoryTransactions!$D$2:$D$351,"Restock")</calculatedColumnFormula>
    </tableColumn>
    <tableColumn id="8" name="Total Damaged Qty" dataDxfId="91">
      <calculatedColumnFormula>-SUMIFS(InventoryTransactions!$E$2:$E$351,InventoryTransactions!$H$2:$H$351,A2,InventoryTransactions!$D$2:$D$351,"Damaged")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1" totalsRowShown="0" headerRowDxfId="79" dataDxfId="80" headerRowBorderDxfId="87" tableBorderDxfId="88">
  <autoFilter ref="A1:F11"/>
  <tableColumns count="6">
    <tableColumn id="1" name="category id" dataDxfId="86"/>
    <tableColumn id="2" name="category name" dataDxfId="85"/>
    <tableColumn id="3" name="Product Count" dataDxfId="84">
      <calculatedColumnFormula>COUNTIF(Products!$C$2:$C$101,A2)</calculatedColumnFormula>
    </tableColumn>
    <tableColumn id="4" name="Total Units Sold" dataDxfId="83">
      <calculatedColumnFormula>SUMIF(OrderItems!$H$2:$H$1254,A2,OrderItems!$D$2:$D$1254)</calculatedColumnFormula>
    </tableColumn>
    <tableColumn id="5" name="Total Revenue" dataDxfId="82">
      <calculatedColumnFormula>SUMIF(OrderItems!$H$2:$H$1254,A2,OrderItems!$G$2:$G$1254)</calculatedColumnFormula>
    </tableColumn>
    <tableColumn id="6" name="Inventory Value" dataDxfId="81">
      <calculatedColumnFormula>SUMIF(Products!$C$2:$C$101,A2,Products!$L$2:$L$101)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101" totalsRowShown="0" headerRowDxfId="59" dataDxfId="60" headerRowBorderDxfId="77" tableBorderDxfId="78">
  <autoFilter ref="A1:P101"/>
  <tableColumns count="16">
    <tableColumn id="1" name="product id" dataDxfId="76"/>
    <tableColumn id="2" name="product name" dataDxfId="75"/>
    <tableColumn id="3" name="category id" dataDxfId="74"/>
    <tableColumn id="4" name="supplier id" dataDxfId="73"/>
    <tableColumn id="5" name="unit cost" dataDxfId="72"/>
    <tableColumn id="6" name="unit price" dataDxfId="71"/>
    <tableColumn id="7" name="stock quantity" dataDxfId="70"/>
    <tableColumn id="8" name="reorder level" dataDxfId="69"/>
    <tableColumn id="9" name="discontinued" dataDxfId="68"/>
    <tableColumn id="10" name="Category Name" dataDxfId="67">
      <calculatedColumnFormula>INDEX(Categories!$B$2:$B$11,MATCH(C2,Categories!$A$2:$A$11,0))</calculatedColumnFormula>
    </tableColumn>
    <tableColumn id="11" name="Supplier Name" dataDxfId="66">
      <calculatedColumnFormula>INDEX(Suppliers!$B$2:$B$13,MATCH(D2,Suppliers!$A$2:$A$13,0))</calculatedColumnFormula>
    </tableColumn>
    <tableColumn id="12" name="Inventory Value" dataDxfId="65">
      <calculatedColumnFormula>G2*E2</calculatedColumnFormula>
    </tableColumn>
    <tableColumn id="13" name="Reorder Flag" dataDxfId="64">
      <calculatedColumnFormula>IF(G2&lt;=H2,"REORDER","OK")</calculatedColumnFormula>
    </tableColumn>
    <tableColumn id="14" name="Units Sold" dataDxfId="63">
      <calculatedColumnFormula>SUMIF(OrderItems!$C$2:$C$1254,A2,OrderItems!$D$2:$D$1254)</calculatedColumnFormula>
    </tableColumn>
    <tableColumn id="15" name="Revenue Generated" dataDxfId="62">
      <calculatedColumnFormula>SUMIF(OrderItems!$C$2:$C$1254,A2,OrderItems!$G$2:$G$1254)</calculatedColumnFormula>
    </tableColumn>
    <tableColumn id="16" name="Gross Margin %" dataDxfId="61">
      <calculatedColumnFormula>IFERROR((F2-E2)/F2,0)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N401" totalsRowShown="0" headerRowDxfId="0" dataDxfId="1" headerRowBorderDxfId="16" tableBorderDxfId="17">
  <autoFilter ref="A1:N401"/>
  <tableColumns count="14">
    <tableColumn id="1" name="order_id" dataDxfId="15"/>
    <tableColumn id="2" name="customer id" dataDxfId="14"/>
    <tableColumn id="3" name="employee id" dataDxfId="13"/>
    <tableColumn id="4" name="order date" dataDxfId="12"/>
    <tableColumn id="5" name="ship date" dataDxfId="11"/>
    <tableColumn id="6" name="status" dataDxfId="10"/>
    <tableColumn id="7" name="ship region" dataDxfId="9"/>
    <tableColumn id="8" name="Order Revenue" dataDxfId="8">
      <calculatedColumnFormula>SUMIF(OrderItems!$B$2:$B$1254,A2,OrderItems!$G$2:$G$1254)</calculatedColumnFormula>
    </tableColumn>
    <tableColumn id="9" name="Order Cost" dataDxfId="7">
      <calculatedColumnFormula>SUMIF(OrderItems!$B$2:$B$1254,A2,OrderItems!$K$2:$K$1254)</calculatedColumnFormula>
    </tableColumn>
    <tableColumn id="10" name="Order Profit" dataDxfId="6">
      <calculatedColumnFormula>H2-I2</calculatedColumnFormula>
    </tableColumn>
    <tableColumn id="11" name="Order Month" dataDxfId="5">
      <calculatedColumnFormula>IF(D2="","",TEXT(D2,"YYYY-MM"))</calculatedColumnFormula>
    </tableColumn>
    <tableColumn id="12" name="Customer Segment" dataDxfId="4">
      <calculatedColumnFormula>IFERROR(INDEX(Customers!$G$2:$G$61,MATCH(B2,Customers!$A$2:$A$61,0)),"")</calculatedColumnFormula>
    </tableColumn>
    <tableColumn id="13" name="Sales Rep" dataDxfId="3">
      <calculatedColumnFormula>IFERROR(INDEX(Employees!$B$2:$B$37,MATCH(C2,Employees!$A$2:$A$37,0))&amp;" "&amp;INDEX(Employees!$C$2:$C$37,MATCH(C2,Employees!$A$2:$A$37,0)),"")</calculatedColumnFormula>
    </tableColumn>
    <tableColumn id="14" name="Fulfillment Days" dataDxfId="2">
      <calculatedColumnFormula>IF(E2="","",E2-D2)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1:L1254" totalsRowShown="0" headerRowDxfId="18" dataDxfId="19" headerRowBorderDxfId="32" tableBorderDxfId="33">
  <autoFilter ref="A1:L1254"/>
  <tableColumns count="12">
    <tableColumn id="1" name="order item_id" dataDxfId="31"/>
    <tableColumn id="2" name="order id" dataDxfId="30"/>
    <tableColumn id="3" name="product id" dataDxfId="29"/>
    <tableColumn id="4" name="quantity" dataDxfId="28"/>
    <tableColumn id="5" name="unit price" dataDxfId="27"/>
    <tableColumn id="6" name="discount" dataDxfId="26"/>
    <tableColumn id="7" name="Line Revenue" dataDxfId="25">
      <calculatedColumnFormula>D2*E2*(1-F2)</calculatedColumnFormula>
    </tableColumn>
    <tableColumn id="8" name="Category ID" dataDxfId="24">
      <calculatedColumnFormula>INDEX(Products!$C$2:$C$101,MATCH(C2,Products!$A$2:$A$101,0))</calculatedColumnFormula>
    </tableColumn>
    <tableColumn id="9" name="Category Name" dataDxfId="23">
      <calculatedColumnFormula>INDEX(Categories!$B$2:$B$11,MATCH(H2,Categories!$A$2:$A$11,0))</calculatedColumnFormula>
    </tableColumn>
    <tableColumn id="10" name="Unit Cost" dataDxfId="22">
      <calculatedColumnFormula>INDEX(Products!$E$2:$E$101,MATCH(C2,Products!$A$2:$A$101,0))</calculatedColumnFormula>
    </tableColumn>
    <tableColumn id="11" name="Line Cost" dataDxfId="21">
      <calculatedColumnFormula>D2*J2</calculatedColumnFormula>
    </tableColumn>
    <tableColumn id="12" name="Line Profit" dataDxfId="20">
      <calculatedColumnFormula>G2-K2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Table8" displayName="Table8" ref="A1:I349" totalsRowShown="0" headerRowDxfId="34" dataDxfId="35" headerRowBorderDxfId="45" tableBorderDxfId="46">
  <autoFilter ref="A1:I349"/>
  <tableColumns count="9">
    <tableColumn id="1" name="payment_id" dataDxfId="44"/>
    <tableColumn id="2" name="order_id" dataDxfId="43"/>
    <tableColumn id="3" name="payment_date" dataDxfId="42"/>
    <tableColumn id="4" name="amount" dataDxfId="41"/>
    <tableColumn id="5" name="method" dataDxfId="40"/>
    <tableColumn id="6" name="status" dataDxfId="39"/>
    <tableColumn id="7" name="Order Revenue" dataDxfId="38">
      <calculatedColumnFormula>IFERROR(INDEX(Orders!$H$2:$H$401,MATCH(B2,Orders!$A$2:$A$401,0)),"")</calculatedColumnFormula>
    </tableColumn>
    <tableColumn id="8" name="Payment Month" dataDxfId="37">
      <calculatedColumnFormula>IF(C2="","",TEXT(C2,"YYYY-MM"))</calculatedColumnFormula>
    </tableColumn>
    <tableColumn id="9" name="Order Status" dataDxfId="36">
      <calculatedColumnFormula>IFERROR(INDEX(Orders!$F$2:$F$401,MATCH(B2,Orders!$A$2:$A$401,0)),"")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7" name="Table7" displayName="Table7" ref="A1:H351" totalsRowShown="0" headerRowDxfId="47" dataDxfId="48" headerRowBorderDxfId="57" tableBorderDxfId="58">
  <autoFilter ref="A1:H351"/>
  <tableColumns count="8">
    <tableColumn id="1" name="transaction id" dataDxfId="56"/>
    <tableColumn id="2" name="product id" dataDxfId="55"/>
    <tableColumn id="3" name="transaction date" dataDxfId="54"/>
    <tableColumn id="4" name="transaction type" dataDxfId="53"/>
    <tableColumn id="5" name="quantity" dataDxfId="52"/>
    <tableColumn id="6" name="Product Name" dataDxfId="51">
      <calculatedColumnFormula>INDEX(Products!$B$2:$B$101,MATCH(B2,Products!$A$2:$A$101,0))</calculatedColumnFormula>
    </tableColumn>
    <tableColumn id="7" name="Category Name" dataDxfId="50">
      <calculatedColumnFormula>INDEX(Products!$J$2:$J$101,MATCH(B2,Products!$A$2:$A$101,0))</calculatedColumnFormula>
    </tableColumn>
    <tableColumn id="8" name="Supplier ID" dataDxfId="49">
      <calculatedColumnFormula>INDEX(Products!$D$2:$D$101,MATCH(B2,Products!$A$2:$A$101,0))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L77"/>
  <sheetViews>
    <sheetView showGridLines="0" zoomScaleNormal="100" workbookViewId="0">
      <pane ySplit="3" topLeftCell="A36" activePane="bottomLeft" state="frozen"/>
      <selection sqref="A1:H1"/>
      <selection pane="bottomLeft" activeCell="B52" sqref="B52"/>
    </sheetView>
  </sheetViews>
  <sheetFormatPr defaultColWidth="8.7109375" defaultRowHeight="15" x14ac:dyDescent="0.25"/>
  <cols>
    <col min="1" max="12" width="16" style="10" customWidth="1"/>
  </cols>
  <sheetData>
    <row r="1" spans="1:12" ht="30" customHeight="1" x14ac:dyDescent="0.4">
      <c r="A1" s="28" t="s">
        <v>1480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8" customHeight="1" x14ac:dyDescent="0.25">
      <c r="A2" s="25" t="s">
        <v>1481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21.75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30" customHeight="1" x14ac:dyDescent="0.25">
      <c r="A5" s="7" t="s">
        <v>1</v>
      </c>
      <c r="B5" s="7"/>
      <c r="C5" s="7"/>
      <c r="D5" s="7" t="s">
        <v>2</v>
      </c>
      <c r="E5" s="7"/>
      <c r="F5" s="7"/>
      <c r="G5" s="7" t="s">
        <v>3</v>
      </c>
      <c r="H5" s="7"/>
      <c r="I5" s="7"/>
      <c r="J5" s="7" t="s">
        <v>4</v>
      </c>
      <c r="K5" s="7"/>
      <c r="L5" s="7"/>
    </row>
    <row r="6" spans="1:12" ht="30" customHeight="1" x14ac:dyDescent="0.25">
      <c r="A6" s="6">
        <f>'Sales Analysis'!C6</f>
        <v>1544129.1649999998</v>
      </c>
      <c r="B6" s="6"/>
      <c r="C6" s="6"/>
      <c r="D6" s="6">
        <f>'Finance Analysis'!E6</f>
        <v>638866.24499999988</v>
      </c>
      <c r="E6" s="6"/>
      <c r="F6" s="6"/>
      <c r="G6" s="5">
        <f>'Finance Analysis'!G6</f>
        <v>0.41373886296616902</v>
      </c>
      <c r="H6" s="5"/>
      <c r="I6" s="5"/>
      <c r="J6" s="4">
        <f>'Sales Analysis'!A6</f>
        <v>400</v>
      </c>
      <c r="K6" s="4"/>
      <c r="L6" s="4"/>
    </row>
    <row r="8" spans="1:12" ht="30" customHeight="1" x14ac:dyDescent="0.25">
      <c r="A8" s="7" t="s">
        <v>5</v>
      </c>
      <c r="B8" s="7"/>
      <c r="C8" s="7"/>
      <c r="D8" s="7" t="s">
        <v>6</v>
      </c>
      <c r="E8" s="7"/>
      <c r="F8" s="7"/>
      <c r="G8" s="7" t="s">
        <v>7</v>
      </c>
      <c r="H8" s="7"/>
      <c r="I8" s="7"/>
      <c r="J8" s="7" t="s">
        <v>8</v>
      </c>
      <c r="K8" s="7"/>
      <c r="L8" s="7"/>
    </row>
    <row r="9" spans="1:12" ht="30" customHeight="1" x14ac:dyDescent="0.25">
      <c r="A9" s="4">
        <f>'HR Analysis'!A6</f>
        <v>36</v>
      </c>
      <c r="B9" s="4"/>
      <c r="C9" s="4"/>
      <c r="D9" s="6">
        <f>'HR Analysis'!C6</f>
        <v>2921761.9799999991</v>
      </c>
      <c r="E9" s="6"/>
      <c r="F9" s="6"/>
      <c r="G9" s="4">
        <f>'Supply Chain Analysis'!C6</f>
        <v>8</v>
      </c>
      <c r="H9" s="4"/>
      <c r="I9" s="4"/>
      <c r="J9" s="6">
        <f>'Finance Analysis'!G9</f>
        <v>275847.29500000062</v>
      </c>
      <c r="K9" s="6"/>
      <c r="L9" s="6"/>
    </row>
    <row r="12" spans="1:12" ht="15" customHeight="1" x14ac:dyDescent="0.25">
      <c r="A12" s="32" t="s">
        <v>1482</v>
      </c>
      <c r="B12" s="33"/>
    </row>
    <row r="13" spans="1:12" ht="15" customHeight="1" x14ac:dyDescent="0.25">
      <c r="A13" s="36" t="s">
        <v>9</v>
      </c>
      <c r="B13" s="36" t="s">
        <v>10</v>
      </c>
    </row>
    <row r="14" spans="1:12" ht="15" customHeight="1" x14ac:dyDescent="0.25">
      <c r="A14" s="34" t="str">
        <f>'Sales Analysis'!A65</f>
        <v>2023-01</v>
      </c>
      <c r="B14" s="35">
        <f>'Sales Analysis'!B65</f>
        <v>35933.362500000003</v>
      </c>
    </row>
    <row r="15" spans="1:12" ht="15" customHeight="1" x14ac:dyDescent="0.25">
      <c r="A15" s="34" t="str">
        <f>'Sales Analysis'!A66</f>
        <v>2023-02</v>
      </c>
      <c r="B15" s="35">
        <f>'Sales Analysis'!B66</f>
        <v>49557.449000000001</v>
      </c>
    </row>
    <row r="16" spans="1:12" ht="15" customHeight="1" x14ac:dyDescent="0.25">
      <c r="A16" s="34" t="str">
        <f>'Sales Analysis'!A67</f>
        <v>2023-03</v>
      </c>
      <c r="B16" s="35">
        <f>'Sales Analysis'!B67</f>
        <v>37361.666000000005</v>
      </c>
    </row>
    <row r="17" spans="1:2" ht="15" customHeight="1" x14ac:dyDescent="0.25">
      <c r="A17" s="34" t="str">
        <f>'Sales Analysis'!A68</f>
        <v>2023-04</v>
      </c>
      <c r="B17" s="35">
        <f>'Sales Analysis'!B68</f>
        <v>26172.149000000001</v>
      </c>
    </row>
    <row r="18" spans="1:2" ht="15" customHeight="1" x14ac:dyDescent="0.25">
      <c r="A18" s="34" t="str">
        <f>'Sales Analysis'!A69</f>
        <v>2023-05</v>
      </c>
      <c r="B18" s="35">
        <f>'Sales Analysis'!B69</f>
        <v>45340.938000000002</v>
      </c>
    </row>
    <row r="19" spans="1:2" ht="15" customHeight="1" x14ac:dyDescent="0.25">
      <c r="A19" s="34" t="str">
        <f>'Sales Analysis'!A70</f>
        <v>2023-06</v>
      </c>
      <c r="B19" s="35">
        <f>'Sales Analysis'!B70</f>
        <v>49946.830999999998</v>
      </c>
    </row>
    <row r="20" spans="1:2" ht="15" customHeight="1" x14ac:dyDescent="0.25">
      <c r="A20" s="34" t="str">
        <f>'Sales Analysis'!A71</f>
        <v>2023-07</v>
      </c>
      <c r="B20" s="35">
        <f>'Sales Analysis'!B71</f>
        <v>52097.838500000005</v>
      </c>
    </row>
    <row r="21" spans="1:2" ht="15" customHeight="1" x14ac:dyDescent="0.25">
      <c r="A21" s="34" t="str">
        <f>'Sales Analysis'!A72</f>
        <v>2023-08</v>
      </c>
      <c r="B21" s="35">
        <f>'Sales Analysis'!B72</f>
        <v>69113.531499999997</v>
      </c>
    </row>
    <row r="22" spans="1:2" ht="15" customHeight="1" x14ac:dyDescent="0.25">
      <c r="A22" s="34" t="str">
        <f>'Sales Analysis'!A73</f>
        <v>2023-09</v>
      </c>
      <c r="B22" s="35">
        <f>'Sales Analysis'!B73</f>
        <v>36998.580499999996</v>
      </c>
    </row>
    <row r="23" spans="1:2" ht="15" customHeight="1" x14ac:dyDescent="0.25">
      <c r="A23" s="34" t="str">
        <f>'Sales Analysis'!A74</f>
        <v>2023-10</v>
      </c>
      <c r="B23" s="35">
        <f>'Sales Analysis'!B74</f>
        <v>39838.620000000003</v>
      </c>
    </row>
    <row r="24" spans="1:2" ht="15" customHeight="1" x14ac:dyDescent="0.25">
      <c r="A24" s="34" t="str">
        <f>'Sales Analysis'!A75</f>
        <v>2023-11</v>
      </c>
      <c r="B24" s="35">
        <f>'Sales Analysis'!B75</f>
        <v>34961.760999999999</v>
      </c>
    </row>
    <row r="25" spans="1:2" ht="15" customHeight="1" x14ac:dyDescent="0.25">
      <c r="A25" s="34" t="str">
        <f>'Sales Analysis'!A76</f>
        <v>2023-12</v>
      </c>
      <c r="B25" s="35">
        <f>'Sales Analysis'!B76</f>
        <v>41076.233</v>
      </c>
    </row>
    <row r="26" spans="1:2" ht="15" customHeight="1" x14ac:dyDescent="0.25">
      <c r="A26" s="34" t="str">
        <f>'Sales Analysis'!A77</f>
        <v>2024-01</v>
      </c>
      <c r="B26" s="35">
        <f>'Sales Analysis'!B77</f>
        <v>39136.84550000001</v>
      </c>
    </row>
    <row r="27" spans="1:2" ht="15" customHeight="1" x14ac:dyDescent="0.25">
      <c r="A27" s="34" t="str">
        <f>'Sales Analysis'!A78</f>
        <v>2024-02</v>
      </c>
      <c r="B27" s="35">
        <f>'Sales Analysis'!B78</f>
        <v>26471.002499999999</v>
      </c>
    </row>
    <row r="28" spans="1:2" ht="15" customHeight="1" x14ac:dyDescent="0.25">
      <c r="A28" s="34" t="str">
        <f>'Sales Analysis'!A79</f>
        <v>2024-03</v>
      </c>
      <c r="B28" s="35">
        <f>'Sales Analysis'!B79</f>
        <v>47857.284500000002</v>
      </c>
    </row>
    <row r="29" spans="1:2" ht="15" customHeight="1" x14ac:dyDescent="0.25">
      <c r="A29" s="34" t="str">
        <f>'Sales Analysis'!A80</f>
        <v>2024-04</v>
      </c>
      <c r="B29" s="35">
        <f>'Sales Analysis'!B80</f>
        <v>19458.900999999998</v>
      </c>
    </row>
    <row r="30" spans="1:2" ht="15" customHeight="1" x14ac:dyDescent="0.25">
      <c r="A30" s="34" t="str">
        <f>'Sales Analysis'!A81</f>
        <v>2024-05</v>
      </c>
      <c r="B30" s="35">
        <f>'Sales Analysis'!B81</f>
        <v>50602.822499999995</v>
      </c>
    </row>
    <row r="31" spans="1:2" ht="15" customHeight="1" x14ac:dyDescent="0.25">
      <c r="A31" s="34" t="str">
        <f>'Sales Analysis'!A82</f>
        <v>2024-06</v>
      </c>
      <c r="B31" s="35">
        <f>'Sales Analysis'!B82</f>
        <v>28218.436999999998</v>
      </c>
    </row>
    <row r="32" spans="1:2" ht="15" customHeight="1" x14ac:dyDescent="0.25">
      <c r="A32" s="34" t="str">
        <f>'Sales Analysis'!A83</f>
        <v>2024-07</v>
      </c>
      <c r="B32" s="35">
        <f>'Sales Analysis'!B83</f>
        <v>19855.005000000001</v>
      </c>
    </row>
    <row r="33" spans="1:2" ht="15" customHeight="1" x14ac:dyDescent="0.25">
      <c r="A33" s="34" t="str">
        <f>'Sales Analysis'!A84</f>
        <v>2024-08</v>
      </c>
      <c r="B33" s="35">
        <f>'Sales Analysis'!B84</f>
        <v>47825.254999999997</v>
      </c>
    </row>
    <row r="34" spans="1:2" ht="15" customHeight="1" x14ac:dyDescent="0.25">
      <c r="A34" s="34" t="str">
        <f>'Sales Analysis'!A85</f>
        <v>2024-09</v>
      </c>
      <c r="B34" s="35">
        <f>'Sales Analysis'!B85</f>
        <v>36433.2745</v>
      </c>
    </row>
    <row r="35" spans="1:2" ht="15" customHeight="1" x14ac:dyDescent="0.25">
      <c r="A35" s="34" t="str">
        <f>'Sales Analysis'!A86</f>
        <v>2024-10</v>
      </c>
      <c r="B35" s="35">
        <f>'Sales Analysis'!B86</f>
        <v>58073.473999999995</v>
      </c>
    </row>
    <row r="36" spans="1:2" ht="15" customHeight="1" x14ac:dyDescent="0.25">
      <c r="A36" s="34" t="str">
        <f>'Sales Analysis'!A87</f>
        <v>2024-11</v>
      </c>
      <c r="B36" s="35">
        <f>'Sales Analysis'!B87</f>
        <v>32191.155500000001</v>
      </c>
    </row>
    <row r="37" spans="1:2" ht="15" customHeight="1" x14ac:dyDescent="0.25">
      <c r="A37" s="34" t="str">
        <f>'Sales Analysis'!A88</f>
        <v>2024-12</v>
      </c>
      <c r="B37" s="35">
        <f>'Sales Analysis'!B88</f>
        <v>29453.992000000002</v>
      </c>
    </row>
    <row r="38" spans="1:2" ht="15" customHeight="1" x14ac:dyDescent="0.25">
      <c r="A38" s="34" t="str">
        <f>'Sales Analysis'!A89</f>
        <v>2025-01</v>
      </c>
      <c r="B38" s="35">
        <f>'Sales Analysis'!B89</f>
        <v>64112.87999999999</v>
      </c>
    </row>
    <row r="39" spans="1:2" ht="15" customHeight="1" x14ac:dyDescent="0.25">
      <c r="A39" s="34" t="str">
        <f>'Sales Analysis'!A90</f>
        <v>2025-02</v>
      </c>
      <c r="B39" s="35">
        <f>'Sales Analysis'!B90</f>
        <v>67165.506999999998</v>
      </c>
    </row>
    <row r="40" spans="1:2" ht="15" customHeight="1" x14ac:dyDescent="0.25">
      <c r="A40" s="34" t="str">
        <f>'Sales Analysis'!A91</f>
        <v>2025-03</v>
      </c>
      <c r="B40" s="35">
        <f>'Sales Analysis'!B91</f>
        <v>58236.655999999988</v>
      </c>
    </row>
    <row r="41" spans="1:2" ht="15" customHeight="1" x14ac:dyDescent="0.25">
      <c r="A41" s="34" t="str">
        <f>'Sales Analysis'!A92</f>
        <v>2025-04</v>
      </c>
      <c r="B41" s="35">
        <f>'Sales Analysis'!B92</f>
        <v>25785.7045</v>
      </c>
    </row>
    <row r="42" spans="1:2" ht="15" customHeight="1" x14ac:dyDescent="0.25">
      <c r="A42" s="34" t="str">
        <f>'Sales Analysis'!A93</f>
        <v>2025-05</v>
      </c>
      <c r="B42" s="35">
        <f>'Sales Analysis'!B93</f>
        <v>42043.126000000004</v>
      </c>
    </row>
    <row r="43" spans="1:2" ht="15" customHeight="1" x14ac:dyDescent="0.25">
      <c r="A43" s="34" t="str">
        <f>'Sales Analysis'!A94</f>
        <v>2025-06</v>
      </c>
      <c r="B43" s="35">
        <f>'Sales Analysis'!B94</f>
        <v>22032.504499999999</v>
      </c>
    </row>
    <row r="44" spans="1:2" ht="15" customHeight="1" x14ac:dyDescent="0.25">
      <c r="A44" s="34" t="str">
        <f>'Sales Analysis'!A95</f>
        <v>2025-07</v>
      </c>
      <c r="B44" s="35">
        <f>'Sales Analysis'!B95</f>
        <v>50550.074500000002</v>
      </c>
    </row>
    <row r="45" spans="1:2" ht="15" customHeight="1" x14ac:dyDescent="0.25">
      <c r="A45" s="34" t="str">
        <f>'Sales Analysis'!A96</f>
        <v>2025-08</v>
      </c>
      <c r="B45" s="35">
        <f>'Sales Analysis'!B96</f>
        <v>39153.822500000002</v>
      </c>
    </row>
    <row r="46" spans="1:2" ht="15" customHeight="1" x14ac:dyDescent="0.25">
      <c r="A46" s="34" t="str">
        <f>'Sales Analysis'!A97</f>
        <v>2025-09</v>
      </c>
      <c r="B46" s="35">
        <f>'Sales Analysis'!B97</f>
        <v>78296.22649999999</v>
      </c>
    </row>
    <row r="47" spans="1:2" ht="15" customHeight="1" x14ac:dyDescent="0.25">
      <c r="A47" s="34" t="str">
        <f>'Sales Analysis'!A98</f>
        <v>2025-10</v>
      </c>
      <c r="B47" s="35">
        <f>'Sales Analysis'!B98</f>
        <v>78908.868499999968</v>
      </c>
    </row>
    <row r="48" spans="1:2" ht="15" customHeight="1" x14ac:dyDescent="0.25">
      <c r="A48" s="34" t="str">
        <f>'Sales Analysis'!A99</f>
        <v>2025-11</v>
      </c>
      <c r="B48" s="35">
        <f>'Sales Analysis'!B99</f>
        <v>22532.359500000002</v>
      </c>
    </row>
    <row r="49" spans="1:2" ht="15" customHeight="1" x14ac:dyDescent="0.25">
      <c r="A49" s="34" t="str">
        <f>'Sales Analysis'!A100</f>
        <v>2025-12</v>
      </c>
      <c r="B49" s="35">
        <f>'Sales Analysis'!B100</f>
        <v>41335.0265</v>
      </c>
    </row>
    <row r="51" spans="1:2" ht="15" customHeight="1" x14ac:dyDescent="0.25">
      <c r="A51" s="29" t="s">
        <v>11</v>
      </c>
      <c r="B51" s="29" t="s">
        <v>10</v>
      </c>
    </row>
    <row r="52" spans="1:2" ht="15" customHeight="1" x14ac:dyDescent="0.25">
      <c r="A52" s="30" t="str">
        <f>'Sales Analysis'!A13</f>
        <v>Sporting Goods</v>
      </c>
      <c r="B52" s="31">
        <f>'Sales Analysis'!B13</f>
        <v>269240.83549999993</v>
      </c>
    </row>
    <row r="53" spans="1:2" ht="15" customHeight="1" x14ac:dyDescent="0.25">
      <c r="A53" s="30" t="str">
        <f>'Sales Analysis'!A14</f>
        <v>Apparel</v>
      </c>
      <c r="B53" s="31">
        <f>'Sales Analysis'!B14</f>
        <v>206243.00250000015</v>
      </c>
    </row>
    <row r="54" spans="1:2" ht="15" customHeight="1" x14ac:dyDescent="0.25">
      <c r="A54" s="30" t="str">
        <f>'Sales Analysis'!A15</f>
        <v>Office Supplies</v>
      </c>
      <c r="B54" s="31">
        <f>'Sales Analysis'!B15</f>
        <v>188788.63850000003</v>
      </c>
    </row>
    <row r="55" spans="1:2" ht="15" customHeight="1" x14ac:dyDescent="0.25">
      <c r="A55" s="30" t="str">
        <f>'Sales Analysis'!A16</f>
        <v>Electronics</v>
      </c>
      <c r="B55" s="31">
        <f>'Sales Analysis'!B16</f>
        <v>185455.91750000004</v>
      </c>
    </row>
    <row r="56" spans="1:2" ht="15" customHeight="1" x14ac:dyDescent="0.25">
      <c r="A56" s="30" t="str">
        <f>'Sales Analysis'!A17</f>
        <v>Groceries</v>
      </c>
      <c r="B56" s="31">
        <f>'Sales Analysis'!B17</f>
        <v>184134.40049999993</v>
      </c>
    </row>
    <row r="57" spans="1:2" ht="15" customHeight="1" x14ac:dyDescent="0.25">
      <c r="A57" s="30" t="str">
        <f>'Sales Analysis'!A18</f>
        <v>Health &amp; Beauty</v>
      </c>
      <c r="B57" s="31">
        <f>'Sales Analysis'!B18</f>
        <v>177044.39250000005</v>
      </c>
    </row>
    <row r="58" spans="1:2" ht="15" customHeight="1" x14ac:dyDescent="0.25">
      <c r="A58" s="30" t="str">
        <f>'Sales Analysis'!A19</f>
        <v>Automotive Parts</v>
      </c>
      <c r="B58" s="31">
        <f>'Sales Analysis'!B19</f>
        <v>155430.55749999997</v>
      </c>
    </row>
    <row r="59" spans="1:2" ht="15" customHeight="1" x14ac:dyDescent="0.25">
      <c r="A59" s="30" t="str">
        <f>'Sales Analysis'!A20</f>
        <v>Furniture</v>
      </c>
      <c r="B59" s="31">
        <f>'Sales Analysis'!B20</f>
        <v>144037.6985</v>
      </c>
    </row>
    <row r="60" spans="1:2" ht="15" customHeight="1" x14ac:dyDescent="0.25">
      <c r="A60" s="30" t="str">
        <f>'Sales Analysis'!A21</f>
        <v>Home &amp; Kitchen</v>
      </c>
      <c r="B60" s="31">
        <f>'Sales Analysis'!B21</f>
        <v>135507.77950000003</v>
      </c>
    </row>
    <row r="61" spans="1:2" ht="15" customHeight="1" x14ac:dyDescent="0.25">
      <c r="A61" s="30" t="str">
        <f>'Sales Analysis'!A22</f>
        <v>Toys &amp; Games</v>
      </c>
      <c r="B61" s="31">
        <f>'Sales Analysis'!B22</f>
        <v>109793.86750000004</v>
      </c>
    </row>
    <row r="63" spans="1:2" ht="15" customHeight="1" x14ac:dyDescent="0.25">
      <c r="A63" s="30" t="s">
        <v>12</v>
      </c>
      <c r="B63" s="30" t="s">
        <v>13</v>
      </c>
    </row>
    <row r="64" spans="1:2" ht="15" customHeight="1" x14ac:dyDescent="0.25">
      <c r="A64" s="30" t="s">
        <v>14</v>
      </c>
      <c r="B64" s="30">
        <f>COUNTIF(Orders!$F$2:$F$401,"Delivered")</f>
        <v>182</v>
      </c>
    </row>
    <row r="65" spans="1:2" ht="15" customHeight="1" x14ac:dyDescent="0.25">
      <c r="A65" s="30" t="s">
        <v>15</v>
      </c>
      <c r="B65" s="30">
        <f>COUNTIF(Orders!$F$2:$F$401,"Returned")</f>
        <v>68</v>
      </c>
    </row>
    <row r="66" spans="1:2" ht="15" customHeight="1" x14ac:dyDescent="0.25">
      <c r="A66" s="30" t="s">
        <v>16</v>
      </c>
      <c r="B66" s="30">
        <f>COUNTIF(Orders!$F$2:$F$401,"Pending")</f>
        <v>56</v>
      </c>
    </row>
    <row r="67" spans="1:2" ht="15" customHeight="1" x14ac:dyDescent="0.25">
      <c r="A67" s="30" t="s">
        <v>17</v>
      </c>
      <c r="B67" s="30">
        <f>COUNTIF(Orders!$F$2:$F$401,"Cancelled")</f>
        <v>52</v>
      </c>
    </row>
    <row r="68" spans="1:2" ht="15" customHeight="1" x14ac:dyDescent="0.25">
      <c r="A68" s="30" t="s">
        <v>18</v>
      </c>
      <c r="B68" s="30">
        <f>COUNTIF(Orders!$F$2:$F$401,"Shipped")</f>
        <v>42</v>
      </c>
    </row>
    <row r="70" spans="1:2" ht="15" customHeight="1" x14ac:dyDescent="0.25">
      <c r="A70" s="30" t="s">
        <v>19</v>
      </c>
      <c r="B70" s="30" t="s">
        <v>20</v>
      </c>
    </row>
    <row r="71" spans="1:2" ht="15" customHeight="1" x14ac:dyDescent="0.25">
      <c r="A71" s="30" t="str">
        <f>Departments!B2</f>
        <v>Sales</v>
      </c>
      <c r="B71" s="30">
        <f>Departments!D2</f>
        <v>0</v>
      </c>
    </row>
    <row r="72" spans="1:2" ht="15" customHeight="1" x14ac:dyDescent="0.25">
      <c r="A72" s="30" t="str">
        <f>Departments!B3</f>
        <v>Marketing</v>
      </c>
      <c r="B72" s="30">
        <f>Departments!D3</f>
        <v>4</v>
      </c>
    </row>
    <row r="73" spans="1:2" ht="15" customHeight="1" x14ac:dyDescent="0.25">
      <c r="A73" s="30" t="str">
        <f>Departments!B4</f>
        <v>Finance</v>
      </c>
      <c r="B73" s="30">
        <f>Departments!D4</f>
        <v>6</v>
      </c>
    </row>
    <row r="74" spans="1:2" ht="15" customHeight="1" x14ac:dyDescent="0.25">
      <c r="A74" s="30" t="str">
        <f>Departments!B5</f>
        <v>Operations</v>
      </c>
      <c r="B74" s="30">
        <f>Departments!D5</f>
        <v>4</v>
      </c>
    </row>
    <row r="75" spans="1:2" ht="15" customHeight="1" x14ac:dyDescent="0.25">
      <c r="A75" s="30" t="str">
        <f>Departments!B6</f>
        <v>Human Resources</v>
      </c>
      <c r="B75" s="30">
        <f>Departments!D6</f>
        <v>6</v>
      </c>
    </row>
    <row r="76" spans="1:2" ht="15" customHeight="1" x14ac:dyDescent="0.25">
      <c r="A76" s="30" t="str">
        <f>Departments!B7</f>
        <v>IT</v>
      </c>
      <c r="B76" s="30">
        <f>Departments!D7</f>
        <v>6</v>
      </c>
    </row>
    <row r="77" spans="1:2" ht="15" customHeight="1" x14ac:dyDescent="0.25">
      <c r="A77" s="30" t="str">
        <f>Departments!B8</f>
        <v>Customer Support</v>
      </c>
      <c r="B77" s="30">
        <f>Departments!D8</f>
        <v>6</v>
      </c>
    </row>
  </sheetData>
  <mergeCells count="19">
    <mergeCell ref="A9:C9"/>
    <mergeCell ref="D9:F9"/>
    <mergeCell ref="G9:I9"/>
    <mergeCell ref="J9:L9"/>
    <mergeCell ref="A6:C6"/>
    <mergeCell ref="D6:F6"/>
    <mergeCell ref="G6:I6"/>
    <mergeCell ref="J6:L6"/>
    <mergeCell ref="A8:C8"/>
    <mergeCell ref="D8:F8"/>
    <mergeCell ref="G8:I8"/>
    <mergeCell ref="J8:L8"/>
    <mergeCell ref="A1:L1"/>
    <mergeCell ref="A2:L2"/>
    <mergeCell ref="A4:L4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00"/>
  <sheetViews>
    <sheetView showGridLines="0" zoomScaleNormal="100" workbookViewId="0">
      <pane ySplit="3" topLeftCell="A82" activePane="bottomLeft" state="frozen"/>
      <selection pane="bottomLeft" activeCell="J10" sqref="J10"/>
    </sheetView>
  </sheetViews>
  <sheetFormatPr defaultColWidth="8.7109375" defaultRowHeight="15" x14ac:dyDescent="0.25"/>
  <cols>
    <col min="1" max="1" width="20" style="10" customWidth="1"/>
    <col min="2" max="2" width="26" style="10" customWidth="1"/>
    <col min="3" max="3" width="18" style="10" customWidth="1"/>
    <col min="4" max="5" width="16" style="10" customWidth="1"/>
    <col min="6" max="6" width="20" style="10" customWidth="1"/>
    <col min="7" max="7" width="16" style="10" customWidth="1"/>
    <col min="8" max="8" width="14" style="10" customWidth="1"/>
  </cols>
  <sheetData>
    <row r="1" spans="1:8" ht="24" customHeight="1" x14ac:dyDescent="0.3">
      <c r="A1" s="37" t="s">
        <v>21</v>
      </c>
      <c r="B1" s="37"/>
      <c r="C1" s="37"/>
      <c r="D1" s="37"/>
      <c r="E1" s="37"/>
      <c r="F1" s="37"/>
      <c r="G1" s="37"/>
      <c r="H1" s="37"/>
    </row>
    <row r="2" spans="1:8" ht="15.75" customHeight="1" x14ac:dyDescent="0.25">
      <c r="A2" s="3"/>
      <c r="B2" s="3"/>
      <c r="C2" s="3"/>
      <c r="D2" s="3"/>
      <c r="E2" s="3"/>
      <c r="F2" s="3"/>
      <c r="G2" s="3"/>
      <c r="H2" s="3"/>
    </row>
    <row r="4" spans="1:8" ht="19.5" customHeight="1" x14ac:dyDescent="0.25">
      <c r="A4" s="2" t="s">
        <v>22</v>
      </c>
      <c r="B4" s="2"/>
      <c r="C4" s="2"/>
      <c r="D4" s="2"/>
      <c r="E4" s="2"/>
      <c r="F4" s="2"/>
      <c r="G4" s="2"/>
      <c r="H4" s="2"/>
    </row>
    <row r="5" spans="1:8" ht="30" customHeight="1" x14ac:dyDescent="0.25">
      <c r="A5" s="7" t="s">
        <v>4</v>
      </c>
      <c r="B5" s="7"/>
      <c r="C5" s="7" t="s">
        <v>23</v>
      </c>
      <c r="D5" s="7"/>
      <c r="E5" s="7" t="s">
        <v>24</v>
      </c>
      <c r="F5" s="7"/>
      <c r="G5" s="7" t="s">
        <v>25</v>
      </c>
      <c r="H5" s="7"/>
    </row>
    <row r="6" spans="1:8" ht="25.5" customHeight="1" x14ac:dyDescent="0.25">
      <c r="A6" s="1">
        <f>COUNTA(Orders!A2:A401)</f>
        <v>400</v>
      </c>
      <c r="B6" s="1"/>
      <c r="C6" s="20">
        <f>SUMIFS(Orders!H2:H401,Orders!F2:F401,"&lt;&gt;Cancelled")</f>
        <v>1544129.1649999998</v>
      </c>
      <c r="D6" s="20"/>
      <c r="E6" s="21">
        <f>C6/COUNTIFS(Orders!F2:F401,"&lt;&gt;Cancelled")</f>
        <v>4437.1527729885056</v>
      </c>
      <c r="F6" s="21"/>
      <c r="G6" s="1">
        <f>SUM(OrderItems!D2:D1254)</f>
        <v>6902</v>
      </c>
      <c r="H6" s="1"/>
    </row>
    <row r="8" spans="1:8" ht="30" customHeight="1" x14ac:dyDescent="0.25">
      <c r="A8" s="7" t="s">
        <v>26</v>
      </c>
      <c r="B8" s="7"/>
      <c r="C8" s="7" t="s">
        <v>27</v>
      </c>
      <c r="D8" s="7"/>
      <c r="E8" s="7" t="s">
        <v>28</v>
      </c>
      <c r="F8" s="7"/>
      <c r="G8" s="7" t="s">
        <v>29</v>
      </c>
      <c r="H8" s="7"/>
    </row>
    <row r="9" spans="1:8" ht="25.5" customHeight="1" x14ac:dyDescent="0.25">
      <c r="A9" s="22">
        <f>COUNTIF(Orders!F2:F401,"Cancelled")/A6</f>
        <v>0.13</v>
      </c>
      <c r="B9" s="22"/>
      <c r="C9" s="22">
        <f>COUNTIF(Orders!F2:F401,"Returned")/A6</f>
        <v>0.17</v>
      </c>
      <c r="D9" s="22"/>
      <c r="E9" s="22">
        <f>AVERAGE(OrderItems!F2:F1254)</f>
        <v>7.3264166001596243E-2</v>
      </c>
      <c r="F9" s="22"/>
      <c r="G9" s="1">
        <f>COUNTIF(Customers!I2:I61,"&gt;0")</f>
        <v>60</v>
      </c>
      <c r="H9" s="1"/>
    </row>
    <row r="11" spans="1:8" ht="19.5" customHeight="1" x14ac:dyDescent="0.25">
      <c r="A11" s="2" t="s">
        <v>30</v>
      </c>
      <c r="B11" s="2"/>
      <c r="C11" s="2"/>
      <c r="D11" s="2"/>
      <c r="F11" s="2" t="s">
        <v>31</v>
      </c>
      <c r="G11" s="2"/>
      <c r="H11" s="2"/>
    </row>
    <row r="12" spans="1:8" ht="15" customHeight="1" x14ac:dyDescent="0.25">
      <c r="A12" s="11" t="s">
        <v>11</v>
      </c>
      <c r="B12" s="11" t="s">
        <v>10</v>
      </c>
      <c r="C12" s="11" t="s">
        <v>32</v>
      </c>
      <c r="D12" s="11" t="s">
        <v>33</v>
      </c>
      <c r="F12" s="11" t="s">
        <v>34</v>
      </c>
      <c r="G12" s="11" t="s">
        <v>10</v>
      </c>
      <c r="H12" s="11" t="s">
        <v>35</v>
      </c>
    </row>
    <row r="13" spans="1:8" ht="15" customHeight="1" x14ac:dyDescent="0.25">
      <c r="A13" s="12" t="str">
        <f>INDEX(Categories!$B$2:$B$11,MATCH("Sporting Goods",Categories!$B$2:$B$11,0))</f>
        <v>Sporting Goods</v>
      </c>
      <c r="B13" s="13">
        <f>INDEX(Categories!$E$2:$E$11,MATCH($A13,Categories!$B$2:$B$11,0))</f>
        <v>269240.83549999993</v>
      </c>
      <c r="C13" s="12">
        <f>INDEX(Categories!$D$2:$D$11,MATCH($A13,Categories!$B$2:$B$11,0))</f>
        <v>757</v>
      </c>
      <c r="D13" s="12">
        <f>INDEX(Categories!$C$2:$C$11,MATCH($A13,Categories!$B$2:$B$11,0))</f>
        <v>10</v>
      </c>
      <c r="F13" s="12" t="s">
        <v>36</v>
      </c>
      <c r="G13" s="13">
        <f>SUMIFS(Orders!$H$2:$H$401,Orders!$G$2:$G$401,$F13,Orders!$F$2:$F$401,"&lt;&gt;Cancelled")</f>
        <v>297426.94300000003</v>
      </c>
      <c r="H13" s="12">
        <f>COUNTIFS(Orders!$G$2:$G$401,$F13)</f>
        <v>75</v>
      </c>
    </row>
    <row r="14" spans="1:8" ht="15" customHeight="1" x14ac:dyDescent="0.25">
      <c r="A14" s="12" t="str">
        <f>INDEX(Categories!$B$2:$B$11,MATCH("Apparel",Categories!$B$2:$B$11,0))</f>
        <v>Apparel</v>
      </c>
      <c r="B14" s="13">
        <f>INDEX(Categories!$E$2:$E$11,MATCH($A14,Categories!$B$2:$B$11,0))</f>
        <v>206243.00250000015</v>
      </c>
      <c r="C14" s="12">
        <f>INDEX(Categories!$D$2:$D$11,MATCH($A14,Categories!$B$2:$B$11,0))</f>
        <v>794</v>
      </c>
      <c r="D14" s="12">
        <f>INDEX(Categories!$C$2:$C$11,MATCH($A14,Categories!$B$2:$B$11,0))</f>
        <v>10</v>
      </c>
      <c r="F14" s="12" t="s">
        <v>37</v>
      </c>
      <c r="G14" s="13">
        <f>SUMIFS(Orders!$H$2:$H$401,Orders!$G$2:$G$401,$F14,Orders!$F$2:$F$401,"&lt;&gt;Cancelled")</f>
        <v>307118.18300000008</v>
      </c>
      <c r="H14" s="12">
        <f>COUNTIFS(Orders!$G$2:$G$401,$F14)</f>
        <v>77</v>
      </c>
    </row>
    <row r="15" spans="1:8" ht="15" customHeight="1" x14ac:dyDescent="0.25">
      <c r="A15" s="12" t="str">
        <f>INDEX(Categories!$B$2:$B$11,MATCH("Office Supplies",Categories!$B$2:$B$11,0))</f>
        <v>Office Supplies</v>
      </c>
      <c r="B15" s="13">
        <f>INDEX(Categories!$E$2:$E$11,MATCH($A15,Categories!$B$2:$B$11,0))</f>
        <v>188788.63850000003</v>
      </c>
      <c r="C15" s="12">
        <f>INDEX(Categories!$D$2:$D$11,MATCH($A15,Categories!$B$2:$B$11,0))</f>
        <v>666</v>
      </c>
      <c r="D15" s="12">
        <f>INDEX(Categories!$C$2:$C$11,MATCH($A15,Categories!$B$2:$B$11,0))</f>
        <v>10</v>
      </c>
      <c r="F15" s="12" t="s">
        <v>38</v>
      </c>
      <c r="G15" s="13">
        <f>SUMIFS(Orders!$H$2:$H$401,Orders!$G$2:$G$401,$F15,Orders!$F$2:$F$401,"&lt;&gt;Cancelled")</f>
        <v>298341.03999999992</v>
      </c>
      <c r="H15" s="12">
        <f>COUNTIFS(Orders!$G$2:$G$401,$F15)</f>
        <v>79</v>
      </c>
    </row>
    <row r="16" spans="1:8" ht="15" customHeight="1" x14ac:dyDescent="0.25">
      <c r="A16" s="12" t="str">
        <f>INDEX(Categories!$B$2:$B$11,MATCH("Electronics",Categories!$B$2:$B$11,0))</f>
        <v>Electronics</v>
      </c>
      <c r="B16" s="13">
        <f>INDEX(Categories!$E$2:$E$11,MATCH($A16,Categories!$B$2:$B$11,0))</f>
        <v>185455.91750000004</v>
      </c>
      <c r="C16" s="12">
        <f>INDEX(Categories!$D$2:$D$11,MATCH($A16,Categories!$B$2:$B$11,0))</f>
        <v>711</v>
      </c>
      <c r="D16" s="12">
        <f>INDEX(Categories!$C$2:$C$11,MATCH($A16,Categories!$B$2:$B$11,0))</f>
        <v>10</v>
      </c>
      <c r="F16" s="12" t="s">
        <v>39</v>
      </c>
      <c r="G16" s="13">
        <f>SUMIFS(Orders!$H$2:$H$401,Orders!$G$2:$G$401,$F16,Orders!$F$2:$F$401,"&lt;&gt;Cancelled")</f>
        <v>310171.61950000009</v>
      </c>
      <c r="H16" s="12">
        <f>COUNTIFS(Orders!$G$2:$G$401,$F16)</f>
        <v>88</v>
      </c>
    </row>
    <row r="17" spans="1:8" ht="15" customHeight="1" x14ac:dyDescent="0.25">
      <c r="A17" s="12" t="str">
        <f>INDEX(Categories!$B$2:$B$11,MATCH("Groceries",Categories!$B$2:$B$11,0))</f>
        <v>Groceries</v>
      </c>
      <c r="B17" s="13">
        <f>INDEX(Categories!$E$2:$E$11,MATCH($A17,Categories!$B$2:$B$11,0))</f>
        <v>184134.40049999993</v>
      </c>
      <c r="C17" s="12">
        <f>INDEX(Categories!$D$2:$D$11,MATCH($A17,Categories!$B$2:$B$11,0))</f>
        <v>710</v>
      </c>
      <c r="D17" s="12">
        <f>INDEX(Categories!$C$2:$C$11,MATCH($A17,Categories!$B$2:$B$11,0))</f>
        <v>10</v>
      </c>
      <c r="F17" s="12" t="s">
        <v>40</v>
      </c>
      <c r="G17" s="13">
        <f>SUMIFS(Orders!$H$2:$H$401,Orders!$G$2:$G$401,$F17,Orders!$F$2:$F$401,"&lt;&gt;Cancelled")</f>
        <v>331071.3795000001</v>
      </c>
      <c r="H17" s="12">
        <f>COUNTIFS(Orders!$G$2:$G$401,$F17)</f>
        <v>81</v>
      </c>
    </row>
    <row r="18" spans="1:8" ht="15" customHeight="1" x14ac:dyDescent="0.25">
      <c r="A18" s="12" t="str">
        <f>INDEX(Categories!$B$2:$B$11,MATCH("Health &amp; Beauty",Categories!$B$2:$B$11,0))</f>
        <v>Health &amp; Beauty</v>
      </c>
      <c r="B18" s="13">
        <f>INDEX(Categories!$E$2:$E$11,MATCH($A18,Categories!$B$2:$B$11,0))</f>
        <v>177044.39250000005</v>
      </c>
      <c r="C18" s="12">
        <f>INDEX(Categories!$D$2:$D$11,MATCH($A18,Categories!$B$2:$B$11,0))</f>
        <v>638</v>
      </c>
      <c r="D18" s="12">
        <f>INDEX(Categories!$C$2:$C$11,MATCH($A18,Categories!$B$2:$B$11,0))</f>
        <v>10</v>
      </c>
    </row>
    <row r="19" spans="1:8" ht="15" customHeight="1" x14ac:dyDescent="0.25">
      <c r="A19" s="12" t="str">
        <f>INDEX(Categories!$B$2:$B$11,MATCH("Automotive Parts",Categories!$B$2:$B$11,0))</f>
        <v>Automotive Parts</v>
      </c>
      <c r="B19" s="13">
        <f>INDEX(Categories!$E$2:$E$11,MATCH($A19,Categories!$B$2:$B$11,0))</f>
        <v>155430.55749999997</v>
      </c>
      <c r="C19" s="12">
        <f>INDEX(Categories!$D$2:$D$11,MATCH($A19,Categories!$B$2:$B$11,0))</f>
        <v>654</v>
      </c>
      <c r="D19" s="12">
        <f>INDEX(Categories!$C$2:$C$11,MATCH($A19,Categories!$B$2:$B$11,0))</f>
        <v>10</v>
      </c>
    </row>
    <row r="20" spans="1:8" ht="15" customHeight="1" x14ac:dyDescent="0.25">
      <c r="A20" s="12" t="str">
        <f>INDEX(Categories!$B$2:$B$11,MATCH("Furniture",Categories!$B$2:$B$11,0))</f>
        <v>Furniture</v>
      </c>
      <c r="B20" s="13">
        <f>INDEX(Categories!$E$2:$E$11,MATCH($A20,Categories!$B$2:$B$11,0))</f>
        <v>144037.6985</v>
      </c>
      <c r="C20" s="12">
        <f>INDEX(Categories!$D$2:$D$11,MATCH($A20,Categories!$B$2:$B$11,0))</f>
        <v>621</v>
      </c>
      <c r="D20" s="12">
        <f>INDEX(Categories!$C$2:$C$11,MATCH($A20,Categories!$B$2:$B$11,0))</f>
        <v>10</v>
      </c>
    </row>
    <row r="21" spans="1:8" ht="15" customHeight="1" x14ac:dyDescent="0.25">
      <c r="A21" s="12" t="str">
        <f>INDEX(Categories!$B$2:$B$11,MATCH("Home &amp; Kitchen",Categories!$B$2:$B$11,0))</f>
        <v>Home &amp; Kitchen</v>
      </c>
      <c r="B21" s="13">
        <f>INDEX(Categories!$E$2:$E$11,MATCH($A21,Categories!$B$2:$B$11,0))</f>
        <v>135507.77950000003</v>
      </c>
      <c r="C21" s="12">
        <f>INDEX(Categories!$D$2:$D$11,MATCH($A21,Categories!$B$2:$B$11,0))</f>
        <v>710</v>
      </c>
      <c r="D21" s="12">
        <f>INDEX(Categories!$C$2:$C$11,MATCH($A21,Categories!$B$2:$B$11,0))</f>
        <v>10</v>
      </c>
    </row>
    <row r="22" spans="1:8" ht="15" customHeight="1" x14ac:dyDescent="0.25">
      <c r="A22" s="12" t="str">
        <f>INDEX(Categories!$B$2:$B$11,MATCH("Toys &amp; Games",Categories!$B$2:$B$11,0))</f>
        <v>Toys &amp; Games</v>
      </c>
      <c r="B22" s="13">
        <f>INDEX(Categories!$E$2:$E$11,MATCH($A22,Categories!$B$2:$B$11,0))</f>
        <v>109793.86750000004</v>
      </c>
      <c r="C22" s="12">
        <f>INDEX(Categories!$D$2:$D$11,MATCH($A22,Categories!$B$2:$B$11,0))</f>
        <v>641</v>
      </c>
      <c r="D22" s="12">
        <f>INDEX(Categories!$C$2:$C$11,MATCH($A22,Categories!$B$2:$B$11,0))</f>
        <v>10</v>
      </c>
    </row>
    <row r="24" spans="1:8" ht="19.5" customHeight="1" x14ac:dyDescent="0.25">
      <c r="A24" s="2" t="s">
        <v>41</v>
      </c>
      <c r="B24" s="2"/>
      <c r="C24" s="2"/>
    </row>
    <row r="25" spans="1:8" ht="15" customHeight="1" x14ac:dyDescent="0.25">
      <c r="A25" s="11" t="s">
        <v>42</v>
      </c>
      <c r="B25" s="11" t="s">
        <v>10</v>
      </c>
      <c r="C25" s="11" t="s">
        <v>35</v>
      </c>
    </row>
    <row r="26" spans="1:8" ht="15" customHeight="1" x14ac:dyDescent="0.25">
      <c r="A26" s="12" t="s">
        <v>43</v>
      </c>
      <c r="B26" s="13">
        <f>SUMIFS(Orders!$H$2:$H$401,Orders!$L$2:$L$401,$A26,Orders!$F$2:$F$401,"&lt;&gt;Cancelled")</f>
        <v>457649.95600000018</v>
      </c>
      <c r="C26" s="12">
        <f>COUNTIFS(Orders!$L$2:$L$401,$A26)</f>
        <v>113</v>
      </c>
    </row>
    <row r="27" spans="1:8" ht="15" customHeight="1" x14ac:dyDescent="0.25">
      <c r="A27" s="12" t="s">
        <v>44</v>
      </c>
      <c r="B27" s="13">
        <f>SUMIFS(Orders!$H$2:$H$401,Orders!$L$2:$L$401,$A27,Orders!$F$2:$F$401,"&lt;&gt;Cancelled")</f>
        <v>483432.45350000012</v>
      </c>
      <c r="C27" s="12">
        <f>COUNTIFS(Orders!$L$2:$L$401,$A27)</f>
        <v>126</v>
      </c>
    </row>
    <row r="28" spans="1:8" ht="15" customHeight="1" x14ac:dyDescent="0.25">
      <c r="A28" s="12" t="s">
        <v>45</v>
      </c>
      <c r="B28" s="13">
        <f>SUMIFS(Orders!$H$2:$H$401,Orders!$L$2:$L$401,$A28,Orders!$F$2:$F$401,"&lt;&gt;Cancelled")</f>
        <v>603046.75550000009</v>
      </c>
      <c r="C28" s="12">
        <f>COUNTIFS(Orders!$L$2:$L$401,$A28)</f>
        <v>161</v>
      </c>
    </row>
    <row r="30" spans="1:8" ht="19.5" customHeight="1" x14ac:dyDescent="0.25">
      <c r="A30" s="2" t="s">
        <v>46</v>
      </c>
      <c r="B30" s="2"/>
      <c r="C30" s="2"/>
      <c r="D30" s="2"/>
      <c r="E30" s="2"/>
    </row>
    <row r="31" spans="1:8" ht="15" customHeight="1" x14ac:dyDescent="0.25">
      <c r="A31" s="11" t="s">
        <v>47</v>
      </c>
      <c r="B31" s="11" t="s">
        <v>48</v>
      </c>
      <c r="C31" s="11" t="s">
        <v>11</v>
      </c>
      <c r="D31" s="11" t="s">
        <v>10</v>
      </c>
      <c r="E31" s="11" t="s">
        <v>32</v>
      </c>
    </row>
    <row r="32" spans="1:8" ht="15" customHeight="1" x14ac:dyDescent="0.25">
      <c r="A32" s="12">
        <v>36</v>
      </c>
      <c r="B32" s="12" t="str">
        <f>INDEX(Products!$B$2:$B$101,MATCH($A32,Products!$A$2:$A$101,0))</f>
        <v>Rain Jacket</v>
      </c>
      <c r="C32" s="12" t="str">
        <f>INDEX(Products!$J$2:$J$101,MATCH($A32,Products!$A$2:$A$101,0))</f>
        <v>Apparel</v>
      </c>
      <c r="D32" s="13">
        <f>INDEX(Products!$O$2:$O$101,MATCH($A32,Products!$A$2:$A$101,0))</f>
        <v>41485.567499999997</v>
      </c>
      <c r="E32" s="12">
        <f>INDEX(Products!$N$2:$N$101,MATCH($A32,Products!$A$2:$A$101,0))</f>
        <v>95</v>
      </c>
    </row>
    <row r="33" spans="1:5" ht="15" customHeight="1" x14ac:dyDescent="0.25">
      <c r="A33" s="12">
        <v>51</v>
      </c>
      <c r="B33" s="12" t="str">
        <f>INDEX(Products!$B$2:$B$101,MATCH($A33,Products!$A$2:$A$101,0))</f>
        <v>Yoga Mat</v>
      </c>
      <c r="C33" s="12" t="str">
        <f>INDEX(Products!$J$2:$J$101,MATCH($A33,Products!$A$2:$A$101,0))</f>
        <v>Sporting Goods</v>
      </c>
      <c r="D33" s="13">
        <f>INDEX(Products!$O$2:$O$101,MATCH($A33,Products!$A$2:$A$101,0))</f>
        <v>41242.635000000002</v>
      </c>
      <c r="E33" s="12">
        <f>INDEX(Products!$N$2:$N$101,MATCH($A33,Products!$A$2:$A$101,0))</f>
        <v>104</v>
      </c>
    </row>
    <row r="34" spans="1:5" ht="15" customHeight="1" x14ac:dyDescent="0.25">
      <c r="A34" s="12">
        <v>50</v>
      </c>
      <c r="B34" s="12" t="str">
        <f>INDEX(Products!$B$2:$B$101,MATCH($A34,Products!$A$2:$A$101,0))</f>
        <v>Electric Kettle</v>
      </c>
      <c r="C34" s="12" t="str">
        <f>INDEX(Products!$J$2:$J$101,MATCH($A34,Products!$A$2:$A$101,0))</f>
        <v>Home &amp; Kitchen</v>
      </c>
      <c r="D34" s="13">
        <f>INDEX(Products!$O$2:$O$101,MATCH($A34,Products!$A$2:$A$101,0))</f>
        <v>39460.800000000003</v>
      </c>
      <c r="E34" s="12">
        <f>INDEX(Products!$N$2:$N$101,MATCH($A34,Products!$A$2:$A$101,0))</f>
        <v>105</v>
      </c>
    </row>
    <row r="35" spans="1:5" ht="15" customHeight="1" x14ac:dyDescent="0.25">
      <c r="A35" s="12">
        <v>55</v>
      </c>
      <c r="B35" s="12" t="str">
        <f>INDEX(Products!$B$2:$B$101,MATCH($A35,Products!$A$2:$A$101,0))</f>
        <v>Camping Tent</v>
      </c>
      <c r="C35" s="12" t="str">
        <f>INDEX(Products!$J$2:$J$101,MATCH($A35,Products!$A$2:$A$101,0))</f>
        <v>Sporting Goods</v>
      </c>
      <c r="D35" s="13">
        <f>INDEX(Products!$O$2:$O$101,MATCH($A35,Products!$A$2:$A$101,0))</f>
        <v>37089.373500000002</v>
      </c>
      <c r="E35" s="12">
        <f>INDEX(Products!$N$2:$N$101,MATCH($A35,Products!$A$2:$A$101,0))</f>
        <v>106</v>
      </c>
    </row>
    <row r="36" spans="1:5" ht="15" customHeight="1" x14ac:dyDescent="0.25">
      <c r="A36" s="12">
        <v>53</v>
      </c>
      <c r="B36" s="12" t="str">
        <f>INDEX(Products!$B$2:$B$101,MATCH($A36,Products!$A$2:$A$101,0))</f>
        <v>Soccer Ball</v>
      </c>
      <c r="C36" s="12" t="str">
        <f>INDEX(Products!$J$2:$J$101,MATCH($A36,Products!$A$2:$A$101,0))</f>
        <v>Sporting Goods</v>
      </c>
      <c r="D36" s="13">
        <f>INDEX(Products!$O$2:$O$101,MATCH($A36,Products!$A$2:$A$101,0))</f>
        <v>36659.099999999991</v>
      </c>
      <c r="E36" s="12">
        <f>INDEX(Products!$N$2:$N$101,MATCH($A36,Products!$A$2:$A$101,0))</f>
        <v>74</v>
      </c>
    </row>
    <row r="37" spans="1:5" ht="15" customHeight="1" x14ac:dyDescent="0.25">
      <c r="A37" s="12">
        <v>34</v>
      </c>
      <c r="B37" s="12" t="str">
        <f>INDEX(Products!$B$2:$B$101,MATCH($A37,Products!$A$2:$A$101,0))</f>
        <v>Wool Sweater</v>
      </c>
      <c r="C37" s="12" t="str">
        <f>INDEX(Products!$J$2:$J$101,MATCH($A37,Products!$A$2:$A$101,0))</f>
        <v>Apparel</v>
      </c>
      <c r="D37" s="13">
        <f>INDEX(Products!$O$2:$O$101,MATCH($A37,Products!$A$2:$A$101,0))</f>
        <v>35994.424999999996</v>
      </c>
      <c r="E37" s="12">
        <f>INDEX(Products!$N$2:$N$101,MATCH($A37,Products!$A$2:$A$101,0))</f>
        <v>113</v>
      </c>
    </row>
    <row r="38" spans="1:5" ht="15" customHeight="1" x14ac:dyDescent="0.25">
      <c r="A38" s="12">
        <v>11</v>
      </c>
      <c r="B38" s="12" t="str">
        <f>INDEX(Products!$B$2:$B$101,MATCH($A38,Products!$A$2:$A$101,0))</f>
        <v>Stapler</v>
      </c>
      <c r="C38" s="12" t="str">
        <f>INDEX(Products!$J$2:$J$101,MATCH($A38,Products!$A$2:$A$101,0))</f>
        <v>Office Supplies</v>
      </c>
      <c r="D38" s="13">
        <f>INDEX(Products!$O$2:$O$101,MATCH($A38,Products!$A$2:$A$101,0))</f>
        <v>34118.78</v>
      </c>
      <c r="E38" s="12">
        <f>INDEX(Products!$N$2:$N$101,MATCH($A38,Products!$A$2:$A$101,0))</f>
        <v>87</v>
      </c>
    </row>
    <row r="39" spans="1:5" ht="15" customHeight="1" x14ac:dyDescent="0.25">
      <c r="A39" s="12">
        <v>72</v>
      </c>
      <c r="B39" s="12" t="str">
        <f>INDEX(Products!$B$2:$B$101,MATCH($A39,Products!$A$2:$A$101,0))</f>
        <v>Hair Dryer</v>
      </c>
      <c r="C39" s="12" t="str">
        <f>INDEX(Products!$J$2:$J$101,MATCH($A39,Products!$A$2:$A$101,0))</f>
        <v>Health &amp; Beauty</v>
      </c>
      <c r="D39" s="13">
        <f>INDEX(Products!$O$2:$O$101,MATCH($A39,Products!$A$2:$A$101,0))</f>
        <v>33261.105000000003</v>
      </c>
      <c r="E39" s="12">
        <f>INDEX(Products!$N$2:$N$101,MATCH($A39,Products!$A$2:$A$101,0))</f>
        <v>69</v>
      </c>
    </row>
    <row r="40" spans="1:5" ht="15" customHeight="1" x14ac:dyDescent="0.25">
      <c r="A40" s="12">
        <v>33</v>
      </c>
      <c r="B40" s="12" t="str">
        <f>INDEX(Products!$B$2:$B$101,MATCH($A40,Products!$A$2:$A$101,0))</f>
        <v>Running Shoes</v>
      </c>
      <c r="C40" s="12" t="str">
        <f>INDEX(Products!$J$2:$J$101,MATCH($A40,Products!$A$2:$A$101,0))</f>
        <v>Apparel</v>
      </c>
      <c r="D40" s="13">
        <f>INDEX(Products!$O$2:$O$101,MATCH($A40,Products!$A$2:$A$101,0))</f>
        <v>32684.5825</v>
      </c>
      <c r="E40" s="12">
        <f>INDEX(Products!$N$2:$N$101,MATCH($A40,Products!$A$2:$A$101,0))</f>
        <v>81</v>
      </c>
    </row>
    <row r="41" spans="1:5" ht="15" customHeight="1" x14ac:dyDescent="0.25">
      <c r="A41" s="12">
        <v>58</v>
      </c>
      <c r="B41" s="12" t="str">
        <f>INDEX(Products!$B$2:$B$101,MATCH($A41,Products!$A$2:$A$101,0))</f>
        <v>Water Bottle</v>
      </c>
      <c r="C41" s="12" t="str">
        <f>INDEX(Products!$J$2:$J$101,MATCH($A41,Products!$A$2:$A$101,0))</f>
        <v>Sporting Goods</v>
      </c>
      <c r="D41" s="13">
        <f>INDEX(Products!$O$2:$O$101,MATCH($A41,Products!$A$2:$A$101,0))</f>
        <v>31433.695000000007</v>
      </c>
      <c r="E41" s="12">
        <f>INDEX(Products!$N$2:$N$101,MATCH($A41,Products!$A$2:$A$101,0))</f>
        <v>85</v>
      </c>
    </row>
    <row r="43" spans="1:5" ht="19.5" customHeight="1" x14ac:dyDescent="0.25">
      <c r="A43" s="2" t="s">
        <v>49</v>
      </c>
      <c r="B43" s="2"/>
      <c r="C43" s="2"/>
      <c r="D43" s="2"/>
    </row>
    <row r="44" spans="1:5" ht="15" customHeight="1" x14ac:dyDescent="0.25">
      <c r="A44" s="11" t="s">
        <v>50</v>
      </c>
      <c r="B44" s="11" t="s">
        <v>51</v>
      </c>
      <c r="C44" s="11" t="s">
        <v>42</v>
      </c>
      <c r="D44" s="11" t="s">
        <v>10</v>
      </c>
    </row>
    <row r="45" spans="1:5" ht="15" customHeight="1" x14ac:dyDescent="0.25">
      <c r="A45" s="12">
        <v>40</v>
      </c>
      <c r="B45" s="12" t="str">
        <f>INDEX(Customers!$B$2:$B$61,MATCH($A45,Customers!$A$2:$A$61,0))</f>
        <v>Union Traders</v>
      </c>
      <c r="C45" s="12" t="str">
        <f>INDEX(Customers!$G$2:$G$61,MATCH($A45,Customers!$A$2:$A$61,0))</f>
        <v>Corporate</v>
      </c>
      <c r="D45" s="13">
        <f>INDEX(Customers!$J$2:$J$61,MATCH($A45,Customers!$A$2:$A$61,0))</f>
        <v>81483.695999999996</v>
      </c>
    </row>
    <row r="46" spans="1:5" ht="15" customHeight="1" x14ac:dyDescent="0.25">
      <c r="A46" s="12">
        <v>56</v>
      </c>
      <c r="B46" s="12" t="str">
        <f>INDEX(Customers!$B$2:$B$61,MATCH($A46,Customers!$A$2:$A$61,0))</f>
        <v>Coastal Ventures</v>
      </c>
      <c r="C46" s="12" t="str">
        <f>INDEX(Customers!$G$2:$G$61,MATCH($A46,Customers!$A$2:$A$61,0))</f>
        <v>Consumer</v>
      </c>
      <c r="D46" s="13">
        <f>INDEX(Customers!$J$2:$J$61,MATCH($A46,Customers!$A$2:$A$61,0))</f>
        <v>61687.655999999988</v>
      </c>
    </row>
    <row r="47" spans="1:5" ht="15" customHeight="1" x14ac:dyDescent="0.25">
      <c r="A47" s="12">
        <v>31</v>
      </c>
      <c r="B47" s="12" t="str">
        <f>INDEX(Customers!$B$2:$B$61,MATCH($A47,Customers!$A$2:$A$61,0))</f>
        <v>Silver Ventures</v>
      </c>
      <c r="C47" s="12" t="str">
        <f>INDEX(Customers!$G$2:$G$61,MATCH($A47,Customers!$A$2:$A$61,0))</f>
        <v>Consumer</v>
      </c>
      <c r="D47" s="13">
        <f>INDEX(Customers!$J$2:$J$61,MATCH($A47,Customers!$A$2:$A$61,0))</f>
        <v>59497.622999999992</v>
      </c>
    </row>
    <row r="48" spans="1:5" ht="15" customHeight="1" x14ac:dyDescent="0.25">
      <c r="A48" s="12">
        <v>30</v>
      </c>
      <c r="B48" s="12" t="str">
        <f>INDEX(Customers!$B$2:$B$61,MATCH($A48,Customers!$A$2:$A$61,0))</f>
        <v>Sunset Industries</v>
      </c>
      <c r="C48" s="12" t="str">
        <f>INDEX(Customers!$G$2:$G$61,MATCH($A48,Customers!$A$2:$A$61,0))</f>
        <v>Consumer</v>
      </c>
      <c r="D48" s="13">
        <f>INDEX(Customers!$J$2:$J$61,MATCH($A48,Customers!$A$2:$A$61,0))</f>
        <v>56501.296000000002</v>
      </c>
    </row>
    <row r="49" spans="1:5" ht="15" customHeight="1" x14ac:dyDescent="0.25">
      <c r="A49" s="12">
        <v>10</v>
      </c>
      <c r="B49" s="12" t="str">
        <f>INDEX(Customers!$B$2:$B$61,MATCH($A49,Customers!$A$2:$A$61,0))</f>
        <v>Horizon Traders</v>
      </c>
      <c r="C49" s="12" t="str">
        <f>INDEX(Customers!$G$2:$G$61,MATCH($A49,Customers!$A$2:$A$61,0))</f>
        <v>Corporate</v>
      </c>
      <c r="D49" s="13">
        <f>INDEX(Customers!$J$2:$J$61,MATCH($A49,Customers!$A$2:$A$61,0))</f>
        <v>55426.68</v>
      </c>
    </row>
    <row r="50" spans="1:5" ht="15" customHeight="1" x14ac:dyDescent="0.25">
      <c r="A50" s="12">
        <v>49</v>
      </c>
      <c r="B50" s="12" t="str">
        <f>INDEX(Customers!$B$2:$B$61,MATCH($A50,Customers!$A$2:$A$61,0))</f>
        <v>Urban Distributors</v>
      </c>
      <c r="C50" s="12" t="str">
        <f>INDEX(Customers!$G$2:$G$61,MATCH($A50,Customers!$A$2:$A$61,0))</f>
        <v>Corporate</v>
      </c>
      <c r="D50" s="13">
        <f>INDEX(Customers!$J$2:$J$61,MATCH($A50,Customers!$A$2:$A$61,0))</f>
        <v>54215.191999999995</v>
      </c>
    </row>
    <row r="51" spans="1:5" ht="15" customHeight="1" x14ac:dyDescent="0.25">
      <c r="A51" s="12">
        <v>6</v>
      </c>
      <c r="B51" s="12" t="str">
        <f>INDEX(Customers!$B$2:$B$61,MATCH($A51,Customers!$A$2:$A$61,0))</f>
        <v>Nova Industries</v>
      </c>
      <c r="C51" s="12" t="str">
        <f>INDEX(Customers!$G$2:$G$61,MATCH($A51,Customers!$A$2:$A$61,0))</f>
        <v>Consumer</v>
      </c>
      <c r="D51" s="13">
        <f>INDEX(Customers!$J$2:$J$61,MATCH($A51,Customers!$A$2:$A$61,0))</f>
        <v>46488.101000000002</v>
      </c>
    </row>
    <row r="52" spans="1:5" ht="15" customHeight="1" x14ac:dyDescent="0.25">
      <c r="A52" s="12">
        <v>55</v>
      </c>
      <c r="B52" s="12" t="str">
        <f>INDEX(Customers!$B$2:$B$61,MATCH($A52,Customers!$A$2:$A$61,0))</f>
        <v>Alpha Wholesale</v>
      </c>
      <c r="C52" s="12" t="str">
        <f>INDEX(Customers!$G$2:$G$61,MATCH($A52,Customers!$A$2:$A$61,0))</f>
        <v>Consumer</v>
      </c>
      <c r="D52" s="13">
        <f>INDEX(Customers!$J$2:$J$61,MATCH($A52,Customers!$A$2:$A$61,0))</f>
        <v>45176.289000000004</v>
      </c>
    </row>
    <row r="53" spans="1:5" ht="15" customHeight="1" x14ac:dyDescent="0.25">
      <c r="A53" s="12">
        <v>50</v>
      </c>
      <c r="B53" s="12" t="str">
        <f>INDEX(Customers!$B$2:$B$61,MATCH($A53,Customers!$A$2:$A$61,0))</f>
        <v>Summit Enterprises</v>
      </c>
      <c r="C53" s="12" t="str">
        <f>INDEX(Customers!$G$2:$G$61,MATCH($A53,Customers!$A$2:$A$61,0))</f>
        <v>Consumer</v>
      </c>
      <c r="D53" s="13">
        <f>INDEX(Customers!$J$2:$J$61,MATCH($A53,Customers!$A$2:$A$61,0))</f>
        <v>45141.262999999999</v>
      </c>
    </row>
    <row r="54" spans="1:5" ht="15" customHeight="1" x14ac:dyDescent="0.25">
      <c r="A54" s="12">
        <v>33</v>
      </c>
      <c r="B54" s="12" t="str">
        <f>INDEX(Customers!$B$2:$B$61,MATCH($A54,Customers!$A$2:$A$61,0))</f>
        <v>Coastal Imports</v>
      </c>
      <c r="C54" s="12" t="str">
        <f>INDEX(Customers!$G$2:$G$61,MATCH($A54,Customers!$A$2:$A$61,0))</f>
        <v>Consumer</v>
      </c>
      <c r="D54" s="13">
        <f>INDEX(Customers!$J$2:$J$61,MATCH($A54,Customers!$A$2:$A$61,0))</f>
        <v>44966.745999999999</v>
      </c>
    </row>
    <row r="56" spans="1:5" ht="19.5" customHeight="1" x14ac:dyDescent="0.25">
      <c r="A56" s="2" t="s">
        <v>52</v>
      </c>
      <c r="B56" s="2"/>
      <c r="C56" s="2"/>
      <c r="D56" s="2"/>
      <c r="E56" s="2"/>
    </row>
    <row r="57" spans="1:5" ht="23.25" customHeight="1" x14ac:dyDescent="0.25">
      <c r="A57" s="11" t="s">
        <v>53</v>
      </c>
      <c r="B57" s="11" t="s">
        <v>54</v>
      </c>
      <c r="C57" s="11" t="s">
        <v>55</v>
      </c>
      <c r="D57" s="11" t="s">
        <v>56</v>
      </c>
      <c r="E57" s="11" t="s">
        <v>57</v>
      </c>
    </row>
    <row r="58" spans="1:5" ht="15" customHeight="1" x14ac:dyDescent="0.25">
      <c r="A58" s="12">
        <v>1</v>
      </c>
      <c r="B58" s="12" t="str">
        <f>INDEX(Employees!$B$2:$B$37,MATCH($A58,Employees!$A$2:$A$37,0))&amp;" "&amp;INDEX(Employees!$C$2:$C$37,MATCH($A58,Employees!$A$2:$A$37,0))</f>
        <v>Daniel Brown</v>
      </c>
      <c r="C58" s="12">
        <f>INDEX(Employees!$O$2:$O$37,MATCH($A58,Employees!$A$2:$A$37,0))</f>
        <v>89</v>
      </c>
      <c r="D58" s="13">
        <f>INDEX(Employees!$P$2:$P$37,MATCH($A58,Employees!$A$2:$A$37,0))</f>
        <v>377581.8355000001</v>
      </c>
      <c r="E58" s="14">
        <f>IFERROR(D58/C58,0)</f>
        <v>4242.4925337078666</v>
      </c>
    </row>
    <row r="59" spans="1:5" ht="15" customHeight="1" x14ac:dyDescent="0.25">
      <c r="A59" s="12">
        <v>8</v>
      </c>
      <c r="B59" s="12" t="str">
        <f>INDEX(Employees!$B$2:$B$37,MATCH($A59,Employees!$A$2:$A$37,0))&amp;" "&amp;INDEX(Employees!$C$2:$C$37,MATCH($A59,Employees!$A$2:$A$37,0))</f>
        <v>John Gonzalez</v>
      </c>
      <c r="C59" s="12">
        <f>INDEX(Employees!$O$2:$O$37,MATCH($A59,Employees!$A$2:$A$37,0))</f>
        <v>115</v>
      </c>
      <c r="D59" s="13">
        <f>INDEX(Employees!$P$2:$P$37,MATCH($A59,Employees!$A$2:$A$37,0))</f>
        <v>497216.81400000019</v>
      </c>
      <c r="E59" s="14">
        <f>IFERROR(D59/C59,0)</f>
        <v>4323.6244695652194</v>
      </c>
    </row>
    <row r="60" spans="1:5" ht="15" customHeight="1" x14ac:dyDescent="0.25">
      <c r="A60" s="12">
        <v>9</v>
      </c>
      <c r="B60" s="12" t="str">
        <f>INDEX(Employees!$B$2:$B$37,MATCH($A60,Employees!$A$2:$A$37,0))&amp;" "&amp;INDEX(Employees!$C$2:$C$37,MATCH($A60,Employees!$A$2:$A$37,0))</f>
        <v>William Johnson</v>
      </c>
      <c r="C60" s="12">
        <f>INDEX(Employees!$O$2:$O$37,MATCH($A60,Employees!$A$2:$A$37,0))</f>
        <v>93</v>
      </c>
      <c r="D60" s="13">
        <f>INDEX(Employees!$P$2:$P$37,MATCH($A60,Employees!$A$2:$A$37,0))</f>
        <v>419101.89050000015</v>
      </c>
      <c r="E60" s="14">
        <f>IFERROR(D60/C60,0)</f>
        <v>4506.4719408602168</v>
      </c>
    </row>
    <row r="61" spans="1:5" ht="15" customHeight="1" x14ac:dyDescent="0.25">
      <c r="A61" s="12">
        <v>10</v>
      </c>
      <c r="B61" s="12" t="str">
        <f>INDEX(Employees!$B$2:$B$37,MATCH($A61,Employees!$A$2:$A$37,0))&amp;" "&amp;INDEX(Employees!$C$2:$C$37,MATCH($A61,Employees!$A$2:$A$37,0))</f>
        <v>John Moore</v>
      </c>
      <c r="C61" s="12">
        <f>INDEX(Employees!$O$2:$O$37,MATCH($A61,Employees!$A$2:$A$37,0))</f>
        <v>103</v>
      </c>
      <c r="D61" s="13">
        <f>INDEX(Employees!$P$2:$P$37,MATCH($A61,Employees!$A$2:$A$37,0))</f>
        <v>461776.5500000001</v>
      </c>
      <c r="E61" s="14">
        <f>IFERROR(D61/C61,0)</f>
        <v>4483.2674757281566</v>
      </c>
    </row>
    <row r="63" spans="1:5" ht="19.5" customHeight="1" x14ac:dyDescent="0.25">
      <c r="A63" s="2" t="s">
        <v>58</v>
      </c>
      <c r="B63" s="2"/>
      <c r="C63" s="2"/>
      <c r="D63" s="2"/>
    </row>
    <row r="64" spans="1:5" ht="15" customHeight="1" x14ac:dyDescent="0.25">
      <c r="A64" s="11" t="s">
        <v>9</v>
      </c>
      <c r="B64" s="11" t="s">
        <v>10</v>
      </c>
      <c r="C64" s="11" t="s">
        <v>35</v>
      </c>
      <c r="D64" s="11" t="s">
        <v>57</v>
      </c>
    </row>
    <row r="65" spans="1:4" ht="15" customHeight="1" x14ac:dyDescent="0.25">
      <c r="A65" s="12" t="s">
        <v>59</v>
      </c>
      <c r="B65" s="13">
        <f>SUMIFS(Orders!$H$2:$H$401,Orders!$K$2:$K$401,$A65,Orders!$F$2:$F$401,"&lt;&gt;Cancelled")</f>
        <v>35933.362500000003</v>
      </c>
      <c r="C65" s="12">
        <f>COUNTIFS(Orders!$K$2:$K$401,$A65)</f>
        <v>6</v>
      </c>
      <c r="D65" s="14">
        <f t="shared" ref="D65:D100" si="0">IFERROR(B65/C65,0)</f>
        <v>5988.8937500000002</v>
      </c>
    </row>
    <row r="66" spans="1:4" ht="15" customHeight="1" x14ac:dyDescent="0.25">
      <c r="A66" s="12" t="s">
        <v>60</v>
      </c>
      <c r="B66" s="13">
        <f>SUMIFS(Orders!$H$2:$H$401,Orders!$K$2:$K$401,$A66,Orders!$F$2:$F$401,"&lt;&gt;Cancelled")</f>
        <v>49557.449000000001</v>
      </c>
      <c r="C66" s="12">
        <f>COUNTIFS(Orders!$K$2:$K$401,$A66)</f>
        <v>11</v>
      </c>
      <c r="D66" s="14">
        <f t="shared" si="0"/>
        <v>4505.2226363636364</v>
      </c>
    </row>
    <row r="67" spans="1:4" ht="15" customHeight="1" x14ac:dyDescent="0.25">
      <c r="A67" s="12" t="s">
        <v>61</v>
      </c>
      <c r="B67" s="13">
        <f>SUMIFS(Orders!$H$2:$H$401,Orders!$K$2:$K$401,$A67,Orders!$F$2:$F$401,"&lt;&gt;Cancelled")</f>
        <v>37361.666000000005</v>
      </c>
      <c r="C67" s="12">
        <f>COUNTIFS(Orders!$K$2:$K$401,$A67)</f>
        <v>14</v>
      </c>
      <c r="D67" s="14">
        <f t="shared" si="0"/>
        <v>2668.690428571429</v>
      </c>
    </row>
    <row r="68" spans="1:4" ht="15" customHeight="1" x14ac:dyDescent="0.25">
      <c r="A68" s="12" t="s">
        <v>62</v>
      </c>
      <c r="B68" s="13">
        <f>SUMIFS(Orders!$H$2:$H$401,Orders!$K$2:$K$401,$A68,Orders!$F$2:$F$401,"&lt;&gt;Cancelled")</f>
        <v>26172.149000000001</v>
      </c>
      <c r="C68" s="12">
        <f>COUNTIFS(Orders!$K$2:$K$401,$A68)</f>
        <v>10</v>
      </c>
      <c r="D68" s="14">
        <f t="shared" si="0"/>
        <v>2617.2148999999999</v>
      </c>
    </row>
    <row r="69" spans="1:4" ht="15" customHeight="1" x14ac:dyDescent="0.25">
      <c r="A69" s="12" t="s">
        <v>63</v>
      </c>
      <c r="B69" s="13">
        <f>SUMIFS(Orders!$H$2:$H$401,Orders!$K$2:$K$401,$A69,Orders!$F$2:$F$401,"&lt;&gt;Cancelled")</f>
        <v>45340.938000000002</v>
      </c>
      <c r="C69" s="12">
        <f>COUNTIFS(Orders!$K$2:$K$401,$A69)</f>
        <v>10</v>
      </c>
      <c r="D69" s="14">
        <f t="shared" si="0"/>
        <v>4534.0938000000006</v>
      </c>
    </row>
    <row r="70" spans="1:4" ht="15" customHeight="1" x14ac:dyDescent="0.25">
      <c r="A70" s="12" t="s">
        <v>64</v>
      </c>
      <c r="B70" s="13">
        <f>SUMIFS(Orders!$H$2:$H$401,Orders!$K$2:$K$401,$A70,Orders!$F$2:$F$401,"&lt;&gt;Cancelled")</f>
        <v>49946.830999999998</v>
      </c>
      <c r="C70" s="12">
        <f>COUNTIFS(Orders!$K$2:$K$401,$A70)</f>
        <v>13</v>
      </c>
      <c r="D70" s="14">
        <f t="shared" si="0"/>
        <v>3842.0639230769229</v>
      </c>
    </row>
    <row r="71" spans="1:4" ht="15" customHeight="1" x14ac:dyDescent="0.25">
      <c r="A71" s="12" t="s">
        <v>65</v>
      </c>
      <c r="B71" s="13">
        <f>SUMIFS(Orders!$H$2:$H$401,Orders!$K$2:$K$401,$A71,Orders!$F$2:$F$401,"&lt;&gt;Cancelled")</f>
        <v>52097.838500000005</v>
      </c>
      <c r="C71" s="12">
        <f>COUNTIFS(Orders!$K$2:$K$401,$A71)</f>
        <v>13</v>
      </c>
      <c r="D71" s="14">
        <f t="shared" si="0"/>
        <v>4007.526038461539</v>
      </c>
    </row>
    <row r="72" spans="1:4" ht="15" customHeight="1" x14ac:dyDescent="0.25">
      <c r="A72" s="12" t="s">
        <v>66</v>
      </c>
      <c r="B72" s="13">
        <f>SUMIFS(Orders!$H$2:$H$401,Orders!$K$2:$K$401,$A72,Orders!$F$2:$F$401,"&lt;&gt;Cancelled")</f>
        <v>69113.531499999997</v>
      </c>
      <c r="C72" s="12">
        <f>COUNTIFS(Orders!$K$2:$K$401,$A72)</f>
        <v>15</v>
      </c>
      <c r="D72" s="14">
        <f t="shared" si="0"/>
        <v>4607.5687666666663</v>
      </c>
    </row>
    <row r="73" spans="1:4" ht="15" customHeight="1" x14ac:dyDescent="0.25">
      <c r="A73" s="12" t="s">
        <v>67</v>
      </c>
      <c r="B73" s="13">
        <f>SUMIFS(Orders!$H$2:$H$401,Orders!$K$2:$K$401,$A73,Orders!$F$2:$F$401,"&lt;&gt;Cancelled")</f>
        <v>36998.580499999996</v>
      </c>
      <c r="C73" s="12">
        <f>COUNTIFS(Orders!$K$2:$K$401,$A73)</f>
        <v>11</v>
      </c>
      <c r="D73" s="14">
        <f t="shared" si="0"/>
        <v>3363.5073181818179</v>
      </c>
    </row>
    <row r="74" spans="1:4" ht="15" customHeight="1" x14ac:dyDescent="0.25">
      <c r="A74" s="12" t="s">
        <v>68</v>
      </c>
      <c r="B74" s="13">
        <f>SUMIFS(Orders!$H$2:$H$401,Orders!$K$2:$K$401,$A74,Orders!$F$2:$F$401,"&lt;&gt;Cancelled")</f>
        <v>39838.620000000003</v>
      </c>
      <c r="C74" s="12">
        <f>COUNTIFS(Orders!$K$2:$K$401,$A74)</f>
        <v>13</v>
      </c>
      <c r="D74" s="14">
        <f t="shared" si="0"/>
        <v>3064.5092307692312</v>
      </c>
    </row>
    <row r="75" spans="1:4" ht="15" customHeight="1" x14ac:dyDescent="0.25">
      <c r="A75" s="12" t="s">
        <v>69</v>
      </c>
      <c r="B75" s="13">
        <f>SUMIFS(Orders!$H$2:$H$401,Orders!$K$2:$K$401,$A75,Orders!$F$2:$F$401,"&lt;&gt;Cancelled")</f>
        <v>34961.760999999999</v>
      </c>
      <c r="C75" s="12">
        <f>COUNTIFS(Orders!$K$2:$K$401,$A75)</f>
        <v>13</v>
      </c>
      <c r="D75" s="14">
        <f t="shared" si="0"/>
        <v>2689.3662307692307</v>
      </c>
    </row>
    <row r="76" spans="1:4" ht="15" customHeight="1" x14ac:dyDescent="0.25">
      <c r="A76" s="12" t="s">
        <v>70</v>
      </c>
      <c r="B76" s="13">
        <f>SUMIFS(Orders!$H$2:$H$401,Orders!$K$2:$K$401,$A76,Orders!$F$2:$F$401,"&lt;&gt;Cancelled")</f>
        <v>41076.233</v>
      </c>
      <c r="C76" s="12">
        <f>COUNTIFS(Orders!$K$2:$K$401,$A76)</f>
        <v>11</v>
      </c>
      <c r="D76" s="14">
        <f t="shared" si="0"/>
        <v>3734.203</v>
      </c>
    </row>
    <row r="77" spans="1:4" ht="15" customHeight="1" x14ac:dyDescent="0.25">
      <c r="A77" s="12" t="s">
        <v>71</v>
      </c>
      <c r="B77" s="13">
        <f>SUMIFS(Orders!$H$2:$H$401,Orders!$K$2:$K$401,$A77,Orders!$F$2:$F$401,"&lt;&gt;Cancelled")</f>
        <v>39136.84550000001</v>
      </c>
      <c r="C77" s="12">
        <f>COUNTIFS(Orders!$K$2:$K$401,$A77)</f>
        <v>11</v>
      </c>
      <c r="D77" s="14">
        <f t="shared" si="0"/>
        <v>3557.8950454545466</v>
      </c>
    </row>
    <row r="78" spans="1:4" ht="15" customHeight="1" x14ac:dyDescent="0.25">
      <c r="A78" s="12" t="s">
        <v>72</v>
      </c>
      <c r="B78" s="13">
        <f>SUMIFS(Orders!$H$2:$H$401,Orders!$K$2:$K$401,$A78,Orders!$F$2:$F$401,"&lt;&gt;Cancelled")</f>
        <v>26471.002499999999</v>
      </c>
      <c r="C78" s="12">
        <f>COUNTIFS(Orders!$K$2:$K$401,$A78)</f>
        <v>6</v>
      </c>
      <c r="D78" s="14">
        <f t="shared" si="0"/>
        <v>4411.8337499999998</v>
      </c>
    </row>
    <row r="79" spans="1:4" ht="15" customHeight="1" x14ac:dyDescent="0.25">
      <c r="A79" s="12" t="s">
        <v>73</v>
      </c>
      <c r="B79" s="13">
        <f>SUMIFS(Orders!$H$2:$H$401,Orders!$K$2:$K$401,$A79,Orders!$F$2:$F$401,"&lt;&gt;Cancelled")</f>
        <v>47857.284500000002</v>
      </c>
      <c r="C79" s="12">
        <f>COUNTIFS(Orders!$K$2:$K$401,$A79)</f>
        <v>11</v>
      </c>
      <c r="D79" s="14">
        <f t="shared" si="0"/>
        <v>4350.6622272727273</v>
      </c>
    </row>
    <row r="80" spans="1:4" ht="15" customHeight="1" x14ac:dyDescent="0.25">
      <c r="A80" s="12" t="s">
        <v>74</v>
      </c>
      <c r="B80" s="13">
        <f>SUMIFS(Orders!$H$2:$H$401,Orders!$K$2:$K$401,$A80,Orders!$F$2:$F$401,"&lt;&gt;Cancelled")</f>
        <v>19458.900999999998</v>
      </c>
      <c r="C80" s="12">
        <f>COUNTIFS(Orders!$K$2:$K$401,$A80)</f>
        <v>5</v>
      </c>
      <c r="D80" s="14">
        <f t="shared" si="0"/>
        <v>3891.7801999999997</v>
      </c>
    </row>
    <row r="81" spans="1:4" ht="15" customHeight="1" x14ac:dyDescent="0.25">
      <c r="A81" s="12" t="s">
        <v>75</v>
      </c>
      <c r="B81" s="13">
        <f>SUMIFS(Orders!$H$2:$H$401,Orders!$K$2:$K$401,$A81,Orders!$F$2:$F$401,"&lt;&gt;Cancelled")</f>
        <v>50602.822499999995</v>
      </c>
      <c r="C81" s="12">
        <f>COUNTIFS(Orders!$K$2:$K$401,$A81)</f>
        <v>12</v>
      </c>
      <c r="D81" s="14">
        <f t="shared" si="0"/>
        <v>4216.9018749999996</v>
      </c>
    </row>
    <row r="82" spans="1:4" ht="15" customHeight="1" x14ac:dyDescent="0.25">
      <c r="A82" s="12" t="s">
        <v>76</v>
      </c>
      <c r="B82" s="13">
        <f>SUMIFS(Orders!$H$2:$H$401,Orders!$K$2:$K$401,$A82,Orders!$F$2:$F$401,"&lt;&gt;Cancelled")</f>
        <v>28218.436999999998</v>
      </c>
      <c r="C82" s="12">
        <f>COUNTIFS(Orders!$K$2:$K$401,$A82)</f>
        <v>9</v>
      </c>
      <c r="D82" s="14">
        <f t="shared" si="0"/>
        <v>3135.3818888888886</v>
      </c>
    </row>
    <row r="83" spans="1:4" ht="15" customHeight="1" x14ac:dyDescent="0.25">
      <c r="A83" s="12" t="s">
        <v>77</v>
      </c>
      <c r="B83" s="13">
        <f>SUMIFS(Orders!$H$2:$H$401,Orders!$K$2:$K$401,$A83,Orders!$F$2:$F$401,"&lt;&gt;Cancelled")</f>
        <v>19855.005000000001</v>
      </c>
      <c r="C83" s="12">
        <f>COUNTIFS(Orders!$K$2:$K$401,$A83)</f>
        <v>6</v>
      </c>
      <c r="D83" s="14">
        <f t="shared" si="0"/>
        <v>3309.1675</v>
      </c>
    </row>
    <row r="84" spans="1:4" ht="15" customHeight="1" x14ac:dyDescent="0.25">
      <c r="A84" s="12" t="s">
        <v>78</v>
      </c>
      <c r="B84" s="13">
        <f>SUMIFS(Orders!$H$2:$H$401,Orders!$K$2:$K$401,$A84,Orders!$F$2:$F$401,"&lt;&gt;Cancelled")</f>
        <v>47825.254999999997</v>
      </c>
      <c r="C84" s="12">
        <f>COUNTIFS(Orders!$K$2:$K$401,$A84)</f>
        <v>10</v>
      </c>
      <c r="D84" s="14">
        <f t="shared" si="0"/>
        <v>4782.5254999999997</v>
      </c>
    </row>
    <row r="85" spans="1:4" ht="15" customHeight="1" x14ac:dyDescent="0.25">
      <c r="A85" s="12" t="s">
        <v>79</v>
      </c>
      <c r="B85" s="13">
        <f>SUMIFS(Orders!$H$2:$H$401,Orders!$K$2:$K$401,$A85,Orders!$F$2:$F$401,"&lt;&gt;Cancelled")</f>
        <v>36433.2745</v>
      </c>
      <c r="C85" s="12">
        <f>COUNTIFS(Orders!$K$2:$K$401,$A85)</f>
        <v>9</v>
      </c>
      <c r="D85" s="14">
        <f t="shared" si="0"/>
        <v>4048.1416111111112</v>
      </c>
    </row>
    <row r="86" spans="1:4" ht="15" customHeight="1" x14ac:dyDescent="0.25">
      <c r="A86" s="12" t="s">
        <v>80</v>
      </c>
      <c r="B86" s="13">
        <f>SUMIFS(Orders!$H$2:$H$401,Orders!$K$2:$K$401,$A86,Orders!$F$2:$F$401,"&lt;&gt;Cancelled")</f>
        <v>58073.473999999995</v>
      </c>
      <c r="C86" s="12">
        <f>COUNTIFS(Orders!$K$2:$K$401,$A86)</f>
        <v>13</v>
      </c>
      <c r="D86" s="14">
        <f t="shared" si="0"/>
        <v>4467.1903076923072</v>
      </c>
    </row>
    <row r="87" spans="1:4" ht="15" customHeight="1" x14ac:dyDescent="0.25">
      <c r="A87" s="12" t="s">
        <v>81</v>
      </c>
      <c r="B87" s="13">
        <f>SUMIFS(Orders!$H$2:$H$401,Orders!$K$2:$K$401,$A87,Orders!$F$2:$F$401,"&lt;&gt;Cancelled")</f>
        <v>32191.155500000001</v>
      </c>
      <c r="C87" s="12">
        <f>COUNTIFS(Orders!$K$2:$K$401,$A87)</f>
        <v>14</v>
      </c>
      <c r="D87" s="14">
        <f t="shared" si="0"/>
        <v>2299.36825</v>
      </c>
    </row>
    <row r="88" spans="1:4" ht="15" customHeight="1" x14ac:dyDescent="0.25">
      <c r="A88" s="12" t="s">
        <v>82</v>
      </c>
      <c r="B88" s="13">
        <f>SUMIFS(Orders!$H$2:$H$401,Orders!$K$2:$K$401,$A88,Orders!$F$2:$F$401,"&lt;&gt;Cancelled")</f>
        <v>29453.992000000002</v>
      </c>
      <c r="C88" s="12">
        <f>COUNTIFS(Orders!$K$2:$K$401,$A88)</f>
        <v>10</v>
      </c>
      <c r="D88" s="14">
        <f t="shared" si="0"/>
        <v>2945.3992000000003</v>
      </c>
    </row>
    <row r="89" spans="1:4" ht="15" customHeight="1" x14ac:dyDescent="0.25">
      <c r="A89" s="12" t="s">
        <v>83</v>
      </c>
      <c r="B89" s="13">
        <f>SUMIFS(Orders!$H$2:$H$401,Orders!$K$2:$K$401,$A89,Orders!$F$2:$F$401,"&lt;&gt;Cancelled")</f>
        <v>64112.87999999999</v>
      </c>
      <c r="C89" s="12">
        <f>COUNTIFS(Orders!$K$2:$K$401,$A89)</f>
        <v>13</v>
      </c>
      <c r="D89" s="14">
        <f t="shared" si="0"/>
        <v>4931.7599999999993</v>
      </c>
    </row>
    <row r="90" spans="1:4" ht="15" customHeight="1" x14ac:dyDescent="0.25">
      <c r="A90" s="12" t="s">
        <v>84</v>
      </c>
      <c r="B90" s="13">
        <f>SUMIFS(Orders!$H$2:$H$401,Orders!$K$2:$K$401,$A90,Orders!$F$2:$F$401,"&lt;&gt;Cancelled")</f>
        <v>67165.506999999998</v>
      </c>
      <c r="C90" s="12">
        <f>COUNTIFS(Orders!$K$2:$K$401,$A90)</f>
        <v>16</v>
      </c>
      <c r="D90" s="14">
        <f t="shared" si="0"/>
        <v>4197.8441874999999</v>
      </c>
    </row>
    <row r="91" spans="1:4" ht="15" customHeight="1" x14ac:dyDescent="0.25">
      <c r="A91" s="12" t="s">
        <v>85</v>
      </c>
      <c r="B91" s="13">
        <f>SUMIFS(Orders!$H$2:$H$401,Orders!$K$2:$K$401,$A91,Orders!$F$2:$F$401,"&lt;&gt;Cancelled")</f>
        <v>58236.655999999988</v>
      </c>
      <c r="C91" s="12">
        <f>COUNTIFS(Orders!$K$2:$K$401,$A91)</f>
        <v>13</v>
      </c>
      <c r="D91" s="14">
        <f t="shared" si="0"/>
        <v>4479.7427692307683</v>
      </c>
    </row>
    <row r="92" spans="1:4" ht="15" customHeight="1" x14ac:dyDescent="0.25">
      <c r="A92" s="12" t="s">
        <v>86</v>
      </c>
      <c r="B92" s="13">
        <f>SUMIFS(Orders!$H$2:$H$401,Orders!$K$2:$K$401,$A92,Orders!$F$2:$F$401,"&lt;&gt;Cancelled")</f>
        <v>25785.7045</v>
      </c>
      <c r="C92" s="12">
        <f>COUNTIFS(Orders!$K$2:$K$401,$A92)</f>
        <v>11</v>
      </c>
      <c r="D92" s="14">
        <f t="shared" si="0"/>
        <v>2344.1549545454545</v>
      </c>
    </row>
    <row r="93" spans="1:4" ht="15" customHeight="1" x14ac:dyDescent="0.25">
      <c r="A93" s="12" t="s">
        <v>87</v>
      </c>
      <c r="B93" s="13">
        <f>SUMIFS(Orders!$H$2:$H$401,Orders!$K$2:$K$401,$A93,Orders!$F$2:$F$401,"&lt;&gt;Cancelled")</f>
        <v>42043.126000000004</v>
      </c>
      <c r="C93" s="12">
        <f>COUNTIFS(Orders!$K$2:$K$401,$A93)</f>
        <v>13</v>
      </c>
      <c r="D93" s="14">
        <f t="shared" si="0"/>
        <v>3234.0866153846155</v>
      </c>
    </row>
    <row r="94" spans="1:4" ht="15" customHeight="1" x14ac:dyDescent="0.25">
      <c r="A94" s="12" t="s">
        <v>88</v>
      </c>
      <c r="B94" s="13">
        <f>SUMIFS(Orders!$H$2:$H$401,Orders!$K$2:$K$401,$A94,Orders!$F$2:$F$401,"&lt;&gt;Cancelled")</f>
        <v>22032.504499999999</v>
      </c>
      <c r="C94" s="12">
        <f>COUNTIFS(Orders!$K$2:$K$401,$A94)</f>
        <v>6</v>
      </c>
      <c r="D94" s="14">
        <f t="shared" si="0"/>
        <v>3672.0840833333332</v>
      </c>
    </row>
    <row r="95" spans="1:4" ht="15" customHeight="1" x14ac:dyDescent="0.25">
      <c r="A95" s="12" t="s">
        <v>89</v>
      </c>
      <c r="B95" s="13">
        <f>SUMIFS(Orders!$H$2:$H$401,Orders!$K$2:$K$401,$A95,Orders!$F$2:$F$401,"&lt;&gt;Cancelled")</f>
        <v>50550.074500000002</v>
      </c>
      <c r="C95" s="12">
        <f>COUNTIFS(Orders!$K$2:$K$401,$A95)</f>
        <v>14</v>
      </c>
      <c r="D95" s="14">
        <f t="shared" si="0"/>
        <v>3610.7196071428575</v>
      </c>
    </row>
    <row r="96" spans="1:4" ht="15" customHeight="1" x14ac:dyDescent="0.25">
      <c r="A96" s="12" t="s">
        <v>90</v>
      </c>
      <c r="B96" s="13">
        <f>SUMIFS(Orders!$H$2:$H$401,Orders!$K$2:$K$401,$A96,Orders!$F$2:$F$401,"&lt;&gt;Cancelled")</f>
        <v>39153.822500000002</v>
      </c>
      <c r="C96" s="12">
        <f>COUNTIFS(Orders!$K$2:$K$401,$A96)</f>
        <v>6</v>
      </c>
      <c r="D96" s="14">
        <f t="shared" si="0"/>
        <v>6525.637083333334</v>
      </c>
    </row>
    <row r="97" spans="1:4" ht="15" customHeight="1" x14ac:dyDescent="0.25">
      <c r="A97" s="12" t="s">
        <v>91</v>
      </c>
      <c r="B97" s="13">
        <f>SUMIFS(Orders!$H$2:$H$401,Orders!$K$2:$K$401,$A97,Orders!$F$2:$F$401,"&lt;&gt;Cancelled")</f>
        <v>78296.22649999999</v>
      </c>
      <c r="C97" s="12">
        <f>COUNTIFS(Orders!$K$2:$K$401,$A97)</f>
        <v>16</v>
      </c>
      <c r="D97" s="14">
        <f t="shared" si="0"/>
        <v>4893.5141562499994</v>
      </c>
    </row>
    <row r="98" spans="1:4" ht="15" customHeight="1" x14ac:dyDescent="0.25">
      <c r="A98" s="12" t="s">
        <v>92</v>
      </c>
      <c r="B98" s="13">
        <f>SUMIFS(Orders!$H$2:$H$401,Orders!$K$2:$K$401,$A98,Orders!$F$2:$F$401,"&lt;&gt;Cancelled")</f>
        <v>78908.868499999968</v>
      </c>
      <c r="C98" s="12">
        <f>COUNTIFS(Orders!$K$2:$K$401,$A98)</f>
        <v>18</v>
      </c>
      <c r="D98" s="14">
        <f t="shared" si="0"/>
        <v>4383.8260277777763</v>
      </c>
    </row>
    <row r="99" spans="1:4" ht="15" customHeight="1" x14ac:dyDescent="0.25">
      <c r="A99" s="12" t="s">
        <v>93</v>
      </c>
      <c r="B99" s="13">
        <f>SUMIFS(Orders!$H$2:$H$401,Orders!$K$2:$K$401,$A99,Orders!$F$2:$F$401,"&lt;&gt;Cancelled")</f>
        <v>22532.359500000002</v>
      </c>
      <c r="C99" s="12">
        <f>COUNTIFS(Orders!$K$2:$K$401,$A99)</f>
        <v>6</v>
      </c>
      <c r="D99" s="14">
        <f t="shared" si="0"/>
        <v>3755.3932500000005</v>
      </c>
    </row>
    <row r="100" spans="1:4" ht="15" customHeight="1" x14ac:dyDescent="0.25">
      <c r="A100" s="12" t="s">
        <v>94</v>
      </c>
      <c r="B100" s="13">
        <f>SUMIFS(Orders!$H$2:$H$401,Orders!$K$2:$K$401,$A100,Orders!$F$2:$F$401,"&lt;&gt;Cancelled")</f>
        <v>41335.0265</v>
      </c>
      <c r="C100" s="12">
        <f>COUNTIFS(Orders!$K$2:$K$401,$A100)</f>
        <v>12</v>
      </c>
      <c r="D100" s="14">
        <f t="shared" si="0"/>
        <v>3444.5855416666668</v>
      </c>
    </row>
  </sheetData>
  <mergeCells count="26">
    <mergeCell ref="A24:C24"/>
    <mergeCell ref="A30:E30"/>
    <mergeCell ref="A43:D43"/>
    <mergeCell ref="A56:E56"/>
    <mergeCell ref="A63:D63"/>
    <mergeCell ref="A9:B9"/>
    <mergeCell ref="C9:D9"/>
    <mergeCell ref="E9:F9"/>
    <mergeCell ref="G9:H9"/>
    <mergeCell ref="A11:D11"/>
    <mergeCell ref="F11:H11"/>
    <mergeCell ref="A6:B6"/>
    <mergeCell ref="C6:D6"/>
    <mergeCell ref="E6:F6"/>
    <mergeCell ref="G6:H6"/>
    <mergeCell ref="A8:B8"/>
    <mergeCell ref="C8:D8"/>
    <mergeCell ref="E8:F8"/>
    <mergeCell ref="G8:H8"/>
    <mergeCell ref="A1:H1"/>
    <mergeCell ref="A2:H2"/>
    <mergeCell ref="A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77"/>
  <sheetViews>
    <sheetView showGridLines="0" zoomScaleNormal="100" workbookViewId="0">
      <pane ySplit="3" topLeftCell="A4" activePane="bottomLeft" state="frozen"/>
      <selection pane="bottomLeft" activeCell="C9" sqref="C9:D9"/>
    </sheetView>
  </sheetViews>
  <sheetFormatPr defaultColWidth="8.7109375" defaultRowHeight="15" x14ac:dyDescent="0.25"/>
  <cols>
    <col min="1" max="1" width="22" style="10" customWidth="1"/>
    <col min="2" max="2" width="18" style="10" customWidth="1"/>
    <col min="3" max="3" width="16" style="10" customWidth="1"/>
    <col min="4" max="4" width="18" style="10" customWidth="1"/>
    <col min="5" max="6" width="16" style="10" customWidth="1"/>
    <col min="7" max="8" width="14" style="10" customWidth="1"/>
  </cols>
  <sheetData>
    <row r="1" spans="1:8" ht="24" customHeight="1" x14ac:dyDescent="0.3">
      <c r="A1" s="37" t="s">
        <v>95</v>
      </c>
      <c r="B1" s="37"/>
      <c r="C1" s="37"/>
      <c r="D1" s="37"/>
      <c r="E1" s="37"/>
      <c r="F1" s="37"/>
      <c r="G1" s="37"/>
      <c r="H1" s="37"/>
    </row>
    <row r="2" spans="1:8" ht="15.75" customHeight="1" x14ac:dyDescent="0.25">
      <c r="A2" s="38" t="s">
        <v>1483</v>
      </c>
      <c r="B2" s="3"/>
      <c r="C2" s="3"/>
      <c r="D2" s="3"/>
      <c r="E2" s="3"/>
      <c r="F2" s="3"/>
      <c r="G2" s="3"/>
      <c r="H2" s="3"/>
    </row>
    <row r="4" spans="1:8" ht="19.5" customHeight="1" x14ac:dyDescent="0.25">
      <c r="A4" s="2" t="s">
        <v>22</v>
      </c>
      <c r="B4" s="2"/>
      <c r="C4" s="2"/>
      <c r="D4" s="2"/>
      <c r="E4" s="2"/>
      <c r="F4" s="2"/>
      <c r="G4" s="2"/>
      <c r="H4" s="2"/>
    </row>
    <row r="5" spans="1:8" ht="30" customHeight="1" x14ac:dyDescent="0.25">
      <c r="A5" s="7" t="s">
        <v>96</v>
      </c>
      <c r="B5" s="7"/>
      <c r="C5" s="7" t="s">
        <v>97</v>
      </c>
      <c r="D5" s="7"/>
      <c r="E5" s="7" t="s">
        <v>2</v>
      </c>
      <c r="F5" s="7"/>
      <c r="G5" s="7" t="s">
        <v>98</v>
      </c>
      <c r="H5" s="7"/>
    </row>
    <row r="6" spans="1:8" ht="25.5" customHeight="1" x14ac:dyDescent="0.25">
      <c r="A6" s="20">
        <f>SUMIFS(Orders!H2:H401,Orders!F2:F401,"&lt;&gt;Cancelled")</f>
        <v>1544129.1649999998</v>
      </c>
      <c r="B6" s="20"/>
      <c r="C6" s="20">
        <f>SUMIFS(Orders!I2:I401,Orders!F2:F401,"&lt;&gt;Cancelled")</f>
        <v>905262.91999999993</v>
      </c>
      <c r="D6" s="20"/>
      <c r="E6" s="20">
        <f>A6-C6</f>
        <v>638866.24499999988</v>
      </c>
      <c r="F6" s="20"/>
      <c r="G6" s="22">
        <f>E6/A6</f>
        <v>0.41373886296616902</v>
      </c>
      <c r="H6" s="22"/>
    </row>
    <row r="8" spans="1:8" ht="30" customHeight="1" x14ac:dyDescent="0.25">
      <c r="A8" s="7" t="s">
        <v>99</v>
      </c>
      <c r="B8" s="7"/>
      <c r="C8" s="7" t="s">
        <v>100</v>
      </c>
      <c r="D8" s="7"/>
      <c r="E8" s="7" t="s">
        <v>101</v>
      </c>
      <c r="F8" s="7"/>
      <c r="G8" s="7" t="s">
        <v>102</v>
      </c>
      <c r="H8" s="7"/>
    </row>
    <row r="9" spans="1:8" ht="25.5" customHeight="1" x14ac:dyDescent="0.25">
      <c r="A9" s="20">
        <f>SUMIFS(Payments!D2:D349,Payments!F2:F349,"Completed")</f>
        <v>1268281.8699999992</v>
      </c>
      <c r="B9" s="20"/>
      <c r="C9" s="20">
        <f>SUMIFS(Payments!D2:D349,Payments!F2:F349,"Refunded")</f>
        <v>144617.54</v>
      </c>
      <c r="D9" s="20"/>
      <c r="E9" s="20">
        <f>SUMIFS(Payments!D2:D349,Payments!F2:F349,"Pending")</f>
        <v>131229.75000000003</v>
      </c>
      <c r="F9" s="20"/>
      <c r="G9" s="20">
        <f>A6-A9</f>
        <v>275847.29500000062</v>
      </c>
      <c r="H9" s="20"/>
    </row>
    <row r="11" spans="1:8" ht="19.5" customHeight="1" x14ac:dyDescent="0.25">
      <c r="A11" s="2" t="s">
        <v>103</v>
      </c>
      <c r="B11" s="2"/>
      <c r="C11" s="2"/>
      <c r="D11" s="2"/>
      <c r="F11" s="2" t="s">
        <v>104</v>
      </c>
      <c r="G11" s="2"/>
      <c r="H11" s="2"/>
    </row>
    <row r="12" spans="1:8" ht="15" customHeight="1" x14ac:dyDescent="0.25">
      <c r="A12" s="11" t="s">
        <v>12</v>
      </c>
      <c r="B12" s="11" t="s">
        <v>13</v>
      </c>
      <c r="C12" s="11" t="s">
        <v>105</v>
      </c>
      <c r="D12" s="11" t="s">
        <v>106</v>
      </c>
      <c r="F12" s="11" t="s">
        <v>107</v>
      </c>
      <c r="G12" s="11" t="s">
        <v>13</v>
      </c>
      <c r="H12" s="11" t="s">
        <v>105</v>
      </c>
    </row>
    <row r="13" spans="1:8" ht="15" customHeight="1" x14ac:dyDescent="0.25">
      <c r="A13" s="12" t="s">
        <v>108</v>
      </c>
      <c r="B13" s="12">
        <f>COUNTIF(Payments!$F$2:$F$349,$A13)</f>
        <v>284</v>
      </c>
      <c r="C13" s="13">
        <f>SUMIF(Payments!$F$2:$F$349,$A13,Payments!$D$2:$D$349)</f>
        <v>1268281.8699999992</v>
      </c>
      <c r="D13" s="15">
        <f>B13/COUNTA(Payments!$A$2:$A$349)</f>
        <v>0.81609195402298851</v>
      </c>
      <c r="F13" s="12" t="s">
        <v>109</v>
      </c>
      <c r="G13" s="12">
        <f>COUNTIF(Payments!$E$2:$E$349,$F13)</f>
        <v>92</v>
      </c>
      <c r="H13" s="13">
        <f>SUMIF(Payments!$E$2:$E$349,$F13,Payments!$D$2:$D$349)</f>
        <v>438262.20999999996</v>
      </c>
    </row>
    <row r="14" spans="1:8" ht="15" customHeight="1" x14ac:dyDescent="0.25">
      <c r="A14" s="12" t="s">
        <v>110</v>
      </c>
      <c r="B14" s="12">
        <f>COUNTIF(Payments!$F$2:$F$349,$A14)</f>
        <v>33</v>
      </c>
      <c r="C14" s="13">
        <f>SUMIF(Payments!$F$2:$F$349,$A14,Payments!$D$2:$D$349)</f>
        <v>144617.54</v>
      </c>
      <c r="D14" s="15">
        <f>B14/COUNTA(Payments!$A$2:$A$349)</f>
        <v>9.4827586206896547E-2</v>
      </c>
      <c r="F14" s="12" t="s">
        <v>111</v>
      </c>
      <c r="G14" s="12">
        <f>COUNTIF(Payments!$E$2:$E$349,$F14)</f>
        <v>90</v>
      </c>
      <c r="H14" s="13">
        <f>SUMIF(Payments!$E$2:$E$349,$F14,Payments!$D$2:$D$349)</f>
        <v>416570.45999999979</v>
      </c>
    </row>
    <row r="15" spans="1:8" ht="15" customHeight="1" x14ac:dyDescent="0.25">
      <c r="A15" s="12" t="s">
        <v>16</v>
      </c>
      <c r="B15" s="12">
        <f>COUNTIF(Payments!$F$2:$F$349,$A15)</f>
        <v>31</v>
      </c>
      <c r="C15" s="13">
        <f>SUMIF(Payments!$F$2:$F$349,$A15,Payments!$D$2:$D$349)</f>
        <v>131229.75000000003</v>
      </c>
      <c r="D15" s="15">
        <f>B15/COUNTA(Payments!$A$2:$A$349)</f>
        <v>8.9080459770114945E-2</v>
      </c>
      <c r="F15" s="12" t="s">
        <v>112</v>
      </c>
      <c r="G15" s="12">
        <f>COUNTIF(Payments!$E$2:$E$349,$F15)</f>
        <v>84</v>
      </c>
      <c r="H15" s="13">
        <f>SUMIF(Payments!$E$2:$E$349,$F15,Payments!$D$2:$D$349)</f>
        <v>373894.59999999992</v>
      </c>
    </row>
    <row r="16" spans="1:8" ht="15" customHeight="1" x14ac:dyDescent="0.25">
      <c r="F16" s="12" t="s">
        <v>113</v>
      </c>
      <c r="G16" s="12">
        <f>COUNTIF(Payments!$E$2:$E$349,$F16)</f>
        <v>82</v>
      </c>
      <c r="H16" s="13">
        <f>SUMIF(Payments!$E$2:$E$349,$F16,Payments!$D$2:$D$349)</f>
        <v>315401.89000000007</v>
      </c>
    </row>
    <row r="17" spans="1:6" ht="19.5" customHeight="1" x14ac:dyDescent="0.25">
      <c r="A17" s="2" t="s">
        <v>114</v>
      </c>
      <c r="B17" s="2"/>
      <c r="C17" s="2"/>
      <c r="D17" s="2"/>
      <c r="E17" s="2"/>
      <c r="F17" s="2"/>
    </row>
    <row r="18" spans="1:6" ht="15" customHeight="1" x14ac:dyDescent="0.25">
      <c r="A18" s="11" t="s">
        <v>19</v>
      </c>
      <c r="B18" s="11" t="s">
        <v>115</v>
      </c>
      <c r="C18" s="11" t="s">
        <v>20</v>
      </c>
      <c r="D18" s="11" t="s">
        <v>116</v>
      </c>
      <c r="E18" s="11" t="s">
        <v>117</v>
      </c>
      <c r="F18" s="11" t="s">
        <v>118</v>
      </c>
    </row>
    <row r="19" spans="1:6" ht="15" customHeight="1" x14ac:dyDescent="0.25">
      <c r="A19" s="12" t="str">
        <f>Departments!B2</f>
        <v>Sales</v>
      </c>
      <c r="B19" s="13">
        <f>Departments!C2</f>
        <v>500000</v>
      </c>
      <c r="C19" s="12">
        <f>Departments!D2</f>
        <v>0</v>
      </c>
      <c r="D19" s="13">
        <f>Departments!E2</f>
        <v>0</v>
      </c>
      <c r="E19" s="13">
        <f>Departments!F2</f>
        <v>500000</v>
      </c>
      <c r="F19" s="15">
        <f>Departments!G2</f>
        <v>0</v>
      </c>
    </row>
    <row r="20" spans="1:6" ht="15" customHeight="1" x14ac:dyDescent="0.25">
      <c r="A20" s="12" t="str">
        <f>Departments!B3</f>
        <v>Marketing</v>
      </c>
      <c r="B20" s="13">
        <f>Departments!C3</f>
        <v>250000</v>
      </c>
      <c r="C20" s="12">
        <f>Departments!D3</f>
        <v>4</v>
      </c>
      <c r="D20" s="13">
        <f>Departments!E3</f>
        <v>355891.84</v>
      </c>
      <c r="E20" s="13">
        <f>Departments!F3</f>
        <v>-105891.84000000003</v>
      </c>
      <c r="F20" s="15">
        <f>Departments!G3</f>
        <v>1.4235673600000001</v>
      </c>
    </row>
    <row r="21" spans="1:6" ht="15" customHeight="1" x14ac:dyDescent="0.25">
      <c r="A21" s="12" t="str">
        <f>Departments!B4</f>
        <v>Finance</v>
      </c>
      <c r="B21" s="13">
        <f>Departments!C4</f>
        <v>300000</v>
      </c>
      <c r="C21" s="12">
        <f>Departments!D4</f>
        <v>6</v>
      </c>
      <c r="D21" s="13">
        <f>Departments!E4</f>
        <v>458531.52</v>
      </c>
      <c r="E21" s="13">
        <f>Departments!F4</f>
        <v>-158531.52000000002</v>
      </c>
      <c r="F21" s="15">
        <f>Departments!G4</f>
        <v>1.5284384</v>
      </c>
    </row>
    <row r="22" spans="1:6" ht="15" customHeight="1" x14ac:dyDescent="0.25">
      <c r="A22" s="12" t="str">
        <f>Departments!B5</f>
        <v>Operations</v>
      </c>
      <c r="B22" s="13">
        <f>Departments!C5</f>
        <v>450000</v>
      </c>
      <c r="C22" s="12">
        <f>Departments!D5</f>
        <v>4</v>
      </c>
      <c r="D22" s="13">
        <f>Departments!E5</f>
        <v>338462.71999999997</v>
      </c>
      <c r="E22" s="13">
        <f>Departments!F5</f>
        <v>111537.28000000003</v>
      </c>
      <c r="F22" s="15">
        <f>Departments!G5</f>
        <v>0.75213937777777773</v>
      </c>
    </row>
    <row r="23" spans="1:6" ht="15" customHeight="1" x14ac:dyDescent="0.25">
      <c r="A23" s="12" t="str">
        <f>Departments!B6</f>
        <v>Human Resources</v>
      </c>
      <c r="B23" s="13">
        <f>Departments!C6</f>
        <v>150000</v>
      </c>
      <c r="C23" s="12">
        <f>Departments!D6</f>
        <v>6</v>
      </c>
      <c r="D23" s="13">
        <f>Departments!E6</f>
        <v>477814.43</v>
      </c>
      <c r="E23" s="13">
        <f>Departments!F6</f>
        <v>-327814.43</v>
      </c>
      <c r="F23" s="15">
        <f>Departments!G6</f>
        <v>3.1854295333333331</v>
      </c>
    </row>
    <row r="24" spans="1:6" ht="15" customHeight="1" x14ac:dyDescent="0.25">
      <c r="A24" s="12" t="str">
        <f>Departments!B7</f>
        <v>IT</v>
      </c>
      <c r="B24" s="13">
        <f>Departments!C7</f>
        <v>350000</v>
      </c>
      <c r="C24" s="12">
        <f>Departments!D7</f>
        <v>6</v>
      </c>
      <c r="D24" s="13">
        <f>Departments!E7</f>
        <v>431307.33</v>
      </c>
      <c r="E24" s="13">
        <f>Departments!F7</f>
        <v>-81307.330000000016</v>
      </c>
      <c r="F24" s="15">
        <f>Departments!G7</f>
        <v>1.2323066571428571</v>
      </c>
    </row>
    <row r="25" spans="1:6" ht="15" customHeight="1" x14ac:dyDescent="0.25">
      <c r="A25" s="12" t="str">
        <f>Departments!B8</f>
        <v>Customer Support</v>
      </c>
      <c r="B25" s="13">
        <f>Departments!C8</f>
        <v>200000</v>
      </c>
      <c r="C25" s="12">
        <f>Departments!D8</f>
        <v>6</v>
      </c>
      <c r="D25" s="13">
        <f>Departments!E8</f>
        <v>508330.64</v>
      </c>
      <c r="E25" s="13">
        <f>Departments!F8</f>
        <v>-308330.64</v>
      </c>
      <c r="F25" s="15">
        <f>Departments!G8</f>
        <v>2.5416532000000003</v>
      </c>
    </row>
    <row r="27" spans="1:6" ht="19.5" customHeight="1" x14ac:dyDescent="0.25">
      <c r="A27" s="2" t="s">
        <v>119</v>
      </c>
      <c r="B27" s="2"/>
      <c r="C27" s="2"/>
      <c r="D27" s="2"/>
      <c r="E27" s="2"/>
    </row>
    <row r="28" spans="1:6" ht="15" customHeight="1" x14ac:dyDescent="0.25">
      <c r="A28" s="11" t="s">
        <v>11</v>
      </c>
      <c r="B28" s="11" t="s">
        <v>10</v>
      </c>
      <c r="C28" s="11" t="s">
        <v>120</v>
      </c>
      <c r="D28" s="11" t="s">
        <v>121</v>
      </c>
      <c r="E28" s="11" t="s">
        <v>122</v>
      </c>
    </row>
    <row r="29" spans="1:6" ht="15" customHeight="1" x14ac:dyDescent="0.25">
      <c r="A29" s="12" t="str">
        <f>INDEX(Categories!$B$2:$B$11,MATCH("Sporting Goods",Categories!$B$2:$B$11,0))</f>
        <v>Sporting Goods</v>
      </c>
      <c r="B29" s="13">
        <f>INDEX(Categories!$E$2:$E$11,MATCH($A29,Categories!$B$2:$B$11,0))</f>
        <v>269240.83549999993</v>
      </c>
      <c r="C29" s="13">
        <f>INDEX(Categories!$F$2:$F$11,MATCH($A29,Categories!$B$2:$B$11,0))</f>
        <v>517487.33000000007</v>
      </c>
      <c r="D29" s="13">
        <f>SUMIFS(OrderItems!$K$2:$K$1254,OrderItems!$I$2:$I$1254,$A29)</f>
        <v>149778.87999999995</v>
      </c>
      <c r="E29" s="15">
        <f t="shared" ref="E29:E38" si="0">IFERROR((B29-D29)/B29,0)</f>
        <v>0.44369924524320536</v>
      </c>
    </row>
    <row r="30" spans="1:6" ht="15" customHeight="1" x14ac:dyDescent="0.25">
      <c r="A30" s="12" t="str">
        <f>INDEX(Categories!$B$2:$B$11,MATCH("Apparel",Categories!$B$2:$B$11,0))</f>
        <v>Apparel</v>
      </c>
      <c r="B30" s="13">
        <f>INDEX(Categories!$E$2:$E$11,MATCH($A30,Categories!$B$2:$B$11,0))</f>
        <v>206243.00250000015</v>
      </c>
      <c r="C30" s="13">
        <f>INDEX(Categories!$F$2:$F$11,MATCH($A30,Categories!$B$2:$B$11,0))</f>
        <v>342078.08999999997</v>
      </c>
      <c r="D30" s="13">
        <f>SUMIFS(OrderItems!$K$2:$K$1254,OrderItems!$I$2:$I$1254,$A30)</f>
        <v>121515.51</v>
      </c>
      <c r="E30" s="15">
        <f t="shared" si="0"/>
        <v>0.4108139014316381</v>
      </c>
    </row>
    <row r="31" spans="1:6" ht="15" customHeight="1" x14ac:dyDescent="0.25">
      <c r="A31" s="12" t="str">
        <f>INDEX(Categories!$B$2:$B$11,MATCH("Office Supplies",Categories!$B$2:$B$11,0))</f>
        <v>Office Supplies</v>
      </c>
      <c r="B31" s="13">
        <f>INDEX(Categories!$E$2:$E$11,MATCH($A31,Categories!$B$2:$B$11,0))</f>
        <v>188788.63850000003</v>
      </c>
      <c r="C31" s="13">
        <f>INDEX(Categories!$F$2:$F$11,MATCH($A31,Categories!$B$2:$B$11,0))</f>
        <v>494090.54999999993</v>
      </c>
      <c r="D31" s="13">
        <f>SUMIFS(OrderItems!$K$2:$K$1254,OrderItems!$I$2:$I$1254,$A31)</f>
        <v>117283.97999999991</v>
      </c>
      <c r="E31" s="15">
        <f t="shared" si="0"/>
        <v>0.37875509388770823</v>
      </c>
    </row>
    <row r="32" spans="1:6" ht="15" customHeight="1" x14ac:dyDescent="0.25">
      <c r="A32" s="12" t="str">
        <f>INDEX(Categories!$B$2:$B$11,MATCH("Electronics",Categories!$B$2:$B$11,0))</f>
        <v>Electronics</v>
      </c>
      <c r="B32" s="13">
        <f>INDEX(Categories!$E$2:$E$11,MATCH($A32,Categories!$B$2:$B$11,0))</f>
        <v>185455.91750000004</v>
      </c>
      <c r="C32" s="13">
        <f>INDEX(Categories!$F$2:$F$11,MATCH($A32,Categories!$B$2:$B$11,0))</f>
        <v>474429.85</v>
      </c>
      <c r="D32" s="13">
        <f>SUMIFS(OrderItems!$K$2:$K$1254,OrderItems!$I$2:$I$1254,$A32)</f>
        <v>107693.74</v>
      </c>
      <c r="E32" s="15">
        <f t="shared" si="0"/>
        <v>0.41930275694761809</v>
      </c>
    </row>
    <row r="33" spans="1:5" ht="15" customHeight="1" x14ac:dyDescent="0.25">
      <c r="A33" s="12" t="str">
        <f>INDEX(Categories!$B$2:$B$11,MATCH("Groceries",Categories!$B$2:$B$11,0))</f>
        <v>Groceries</v>
      </c>
      <c r="B33" s="13">
        <f>INDEX(Categories!$E$2:$E$11,MATCH($A33,Categories!$B$2:$B$11,0))</f>
        <v>184134.40049999993</v>
      </c>
      <c r="C33" s="13">
        <f>INDEX(Categories!$F$2:$F$11,MATCH($A33,Categories!$B$2:$B$11,0))</f>
        <v>343753.31</v>
      </c>
      <c r="D33" s="13">
        <f>SUMIFS(OrderItems!$K$2:$K$1254,OrderItems!$I$2:$I$1254,$A33)</f>
        <v>105551.09000000001</v>
      </c>
      <c r="E33" s="15">
        <f t="shared" si="0"/>
        <v>0.42677147934668486</v>
      </c>
    </row>
    <row r="34" spans="1:5" ht="15" customHeight="1" x14ac:dyDescent="0.25">
      <c r="A34" s="12" t="str">
        <f>INDEX(Categories!$B$2:$B$11,MATCH("Health &amp; Beauty",Categories!$B$2:$B$11,0))</f>
        <v>Health &amp; Beauty</v>
      </c>
      <c r="B34" s="13">
        <f>INDEX(Categories!$E$2:$E$11,MATCH($A34,Categories!$B$2:$B$11,0))</f>
        <v>177044.39250000005</v>
      </c>
      <c r="C34" s="13">
        <f>INDEX(Categories!$F$2:$F$11,MATCH($A34,Categories!$B$2:$B$11,0))</f>
        <v>466264.94</v>
      </c>
      <c r="D34" s="13">
        <f>SUMIFS(OrderItems!$K$2:$K$1254,OrderItems!$I$2:$I$1254,$A34)</f>
        <v>106106.16</v>
      </c>
      <c r="E34" s="15">
        <f t="shared" si="0"/>
        <v>0.40068048187405891</v>
      </c>
    </row>
    <row r="35" spans="1:5" ht="15" customHeight="1" x14ac:dyDescent="0.25">
      <c r="A35" s="12" t="str">
        <f>INDEX(Categories!$B$2:$B$11,MATCH("Automotive Parts",Categories!$B$2:$B$11,0))</f>
        <v>Automotive Parts</v>
      </c>
      <c r="B35" s="13">
        <f>INDEX(Categories!$E$2:$E$11,MATCH($A35,Categories!$B$2:$B$11,0))</f>
        <v>155430.55749999997</v>
      </c>
      <c r="C35" s="13">
        <f>INDEX(Categories!$F$2:$F$11,MATCH($A35,Categories!$B$2:$B$11,0))</f>
        <v>359871.16</v>
      </c>
      <c r="D35" s="13">
        <f>SUMIFS(OrderItems!$K$2:$K$1254,OrderItems!$I$2:$I$1254,$A35)</f>
        <v>91834.81</v>
      </c>
      <c r="E35" s="15">
        <f t="shared" si="0"/>
        <v>0.40915858839404845</v>
      </c>
    </row>
    <row r="36" spans="1:5" ht="15" customHeight="1" x14ac:dyDescent="0.25">
      <c r="A36" s="12" t="str">
        <f>INDEX(Categories!$B$2:$B$11,MATCH("Furniture",Categories!$B$2:$B$11,0))</f>
        <v>Furniture</v>
      </c>
      <c r="B36" s="13">
        <f>INDEX(Categories!$E$2:$E$11,MATCH($A36,Categories!$B$2:$B$11,0))</f>
        <v>144037.6985</v>
      </c>
      <c r="C36" s="13">
        <f>INDEX(Categories!$F$2:$F$11,MATCH($A36,Categories!$B$2:$B$11,0))</f>
        <v>374937.3</v>
      </c>
      <c r="D36" s="13">
        <f>SUMIFS(OrderItems!$K$2:$K$1254,OrderItems!$I$2:$I$1254,$A36)</f>
        <v>86135.479999999967</v>
      </c>
      <c r="E36" s="15">
        <f t="shared" si="0"/>
        <v>0.40199349963926306</v>
      </c>
    </row>
    <row r="37" spans="1:5" ht="15" customHeight="1" x14ac:dyDescent="0.25">
      <c r="A37" s="12" t="str">
        <f>INDEX(Categories!$B$2:$B$11,MATCH("Home &amp; Kitchen",Categories!$B$2:$B$11,0))</f>
        <v>Home &amp; Kitchen</v>
      </c>
      <c r="B37" s="13">
        <f>INDEX(Categories!$E$2:$E$11,MATCH($A37,Categories!$B$2:$B$11,0))</f>
        <v>135507.77950000003</v>
      </c>
      <c r="C37" s="13">
        <f>INDEX(Categories!$F$2:$F$11,MATCH($A37,Categories!$B$2:$B$11,0))</f>
        <v>246239.51</v>
      </c>
      <c r="D37" s="13">
        <f>SUMIFS(OrderItems!$K$2:$K$1254,OrderItems!$I$2:$I$1254,$A37)</f>
        <v>79897.14</v>
      </c>
      <c r="E37" s="15">
        <f t="shared" si="0"/>
        <v>0.41038706194724428</v>
      </c>
    </row>
    <row r="38" spans="1:5" ht="15" customHeight="1" x14ac:dyDescent="0.25">
      <c r="A38" s="12" t="str">
        <f>INDEX(Categories!$B$2:$B$11,MATCH("Toys &amp; Games",Categories!$B$2:$B$11,0))</f>
        <v>Toys &amp; Games</v>
      </c>
      <c r="B38" s="13">
        <f>INDEX(Categories!$E$2:$E$11,MATCH($A38,Categories!$B$2:$B$11,0))</f>
        <v>109793.86750000004</v>
      </c>
      <c r="C38" s="13">
        <f>INDEX(Categories!$F$2:$F$11,MATCH($A38,Categories!$B$2:$B$11,0))</f>
        <v>199556.26</v>
      </c>
      <c r="D38" s="13">
        <f>SUMIFS(OrderItems!$K$2:$K$1254,OrderItems!$I$2:$I$1254,$A38)</f>
        <v>63061.950000000004</v>
      </c>
      <c r="E38" s="15">
        <f t="shared" si="0"/>
        <v>0.42563322127258169</v>
      </c>
    </row>
    <row r="40" spans="1:5" ht="19.5" customHeight="1" x14ac:dyDescent="0.25">
      <c r="A40" s="2" t="s">
        <v>123</v>
      </c>
      <c r="B40" s="2"/>
      <c r="C40" s="2"/>
    </row>
    <row r="41" spans="1:5" ht="15" customHeight="1" x14ac:dyDescent="0.25">
      <c r="A41" s="11" t="s">
        <v>9</v>
      </c>
      <c r="B41" s="11" t="s">
        <v>124</v>
      </c>
      <c r="C41" s="11" t="s">
        <v>125</v>
      </c>
    </row>
    <row r="42" spans="1:5" ht="15" customHeight="1" x14ac:dyDescent="0.25">
      <c r="A42" s="12" t="s">
        <v>59</v>
      </c>
      <c r="B42" s="13">
        <f>SUMIFS(Payments!$D$2:$D$349,Payments!$H$2:$H$349,$A42,Payments!$F$2:$F$349,"Completed")</f>
        <v>13815.400000000001</v>
      </c>
      <c r="C42" s="12">
        <f>COUNTIFS(Payments!$H$2:$H$349,$A42,Payments!$F$2:$F$349,"Completed")</f>
        <v>3</v>
      </c>
    </row>
    <row r="43" spans="1:5" ht="15" customHeight="1" x14ac:dyDescent="0.25">
      <c r="A43" s="12" t="s">
        <v>60</v>
      </c>
      <c r="B43" s="13">
        <f>SUMIFS(Payments!$D$2:$D$349,Payments!$H$2:$H$349,$A43,Payments!$F$2:$F$349,"Completed")</f>
        <v>37838.82</v>
      </c>
      <c r="C43" s="12">
        <f>COUNTIFS(Payments!$H$2:$H$349,$A43,Payments!$F$2:$F$349,"Completed")</f>
        <v>7</v>
      </c>
    </row>
    <row r="44" spans="1:5" ht="15" customHeight="1" x14ac:dyDescent="0.25">
      <c r="A44" s="12" t="s">
        <v>61</v>
      </c>
      <c r="B44" s="13">
        <f>SUMIFS(Payments!$D$2:$D$349,Payments!$H$2:$H$349,$A44,Payments!$F$2:$F$349,"Completed")</f>
        <v>29759.339999999997</v>
      </c>
      <c r="C44" s="12">
        <f>COUNTIFS(Payments!$H$2:$H$349,$A44,Payments!$F$2:$F$349,"Completed")</f>
        <v>7</v>
      </c>
    </row>
    <row r="45" spans="1:5" ht="15" customHeight="1" x14ac:dyDescent="0.25">
      <c r="A45" s="12" t="s">
        <v>62</v>
      </c>
      <c r="B45" s="13">
        <f>SUMIFS(Payments!$D$2:$D$349,Payments!$H$2:$H$349,$A45,Payments!$F$2:$F$349,"Completed")</f>
        <v>25786.11</v>
      </c>
      <c r="C45" s="12">
        <f>COUNTIFS(Payments!$H$2:$H$349,$A45,Payments!$F$2:$F$349,"Completed")</f>
        <v>4</v>
      </c>
    </row>
    <row r="46" spans="1:5" ht="15" customHeight="1" x14ac:dyDescent="0.25">
      <c r="A46" s="12" t="s">
        <v>63</v>
      </c>
      <c r="B46" s="13">
        <f>SUMIFS(Payments!$D$2:$D$349,Payments!$H$2:$H$349,$A46,Payments!$F$2:$F$349,"Completed")</f>
        <v>37229.770000000004</v>
      </c>
      <c r="C46" s="12">
        <f>COUNTIFS(Payments!$H$2:$H$349,$A46,Payments!$F$2:$F$349,"Completed")</f>
        <v>9</v>
      </c>
    </row>
    <row r="47" spans="1:5" ht="15" customHeight="1" x14ac:dyDescent="0.25">
      <c r="A47" s="12" t="s">
        <v>64</v>
      </c>
      <c r="B47" s="13">
        <f>SUMIFS(Payments!$D$2:$D$349,Payments!$H$2:$H$349,$A47,Payments!$F$2:$F$349,"Completed")</f>
        <v>45740.94</v>
      </c>
      <c r="C47" s="12">
        <f>COUNTIFS(Payments!$H$2:$H$349,$A47,Payments!$F$2:$F$349,"Completed")</f>
        <v>9</v>
      </c>
    </row>
    <row r="48" spans="1:5" ht="15" customHeight="1" x14ac:dyDescent="0.25">
      <c r="A48" s="12" t="s">
        <v>65</v>
      </c>
      <c r="B48" s="13">
        <f>SUMIFS(Payments!$D$2:$D$349,Payments!$H$2:$H$349,$A48,Payments!$F$2:$F$349,"Completed")</f>
        <v>21294.19</v>
      </c>
      <c r="C48" s="12">
        <f>COUNTIFS(Payments!$H$2:$H$349,$A48,Payments!$F$2:$F$349,"Completed")</f>
        <v>6</v>
      </c>
    </row>
    <row r="49" spans="1:3" ht="15" customHeight="1" x14ac:dyDescent="0.25">
      <c r="A49" s="12" t="s">
        <v>66</v>
      </c>
      <c r="B49" s="13">
        <f>SUMIFS(Payments!$D$2:$D$349,Payments!$H$2:$H$349,$A49,Payments!$F$2:$F$349,"Completed")</f>
        <v>74913.990000000005</v>
      </c>
      <c r="C49" s="12">
        <f>COUNTIFS(Payments!$H$2:$H$349,$A49,Payments!$F$2:$F$349,"Completed")</f>
        <v>13</v>
      </c>
    </row>
    <row r="50" spans="1:3" ht="15" customHeight="1" x14ac:dyDescent="0.25">
      <c r="A50" s="12" t="s">
        <v>67</v>
      </c>
      <c r="B50" s="13">
        <f>SUMIFS(Payments!$D$2:$D$349,Payments!$H$2:$H$349,$A50,Payments!$F$2:$F$349,"Completed")</f>
        <v>25610.240000000002</v>
      </c>
      <c r="C50" s="12">
        <f>COUNTIFS(Payments!$H$2:$H$349,$A50,Payments!$F$2:$F$349,"Completed")</f>
        <v>7</v>
      </c>
    </row>
    <row r="51" spans="1:3" ht="15" customHeight="1" x14ac:dyDescent="0.25">
      <c r="A51" s="12" t="s">
        <v>68</v>
      </c>
      <c r="B51" s="13">
        <f>SUMIFS(Payments!$D$2:$D$349,Payments!$H$2:$H$349,$A51,Payments!$F$2:$F$349,"Completed")</f>
        <v>34818.06</v>
      </c>
      <c r="C51" s="12">
        <f>COUNTIFS(Payments!$H$2:$H$349,$A51,Payments!$F$2:$F$349,"Completed")</f>
        <v>8</v>
      </c>
    </row>
    <row r="52" spans="1:3" ht="15" customHeight="1" x14ac:dyDescent="0.25">
      <c r="A52" s="12" t="s">
        <v>69</v>
      </c>
      <c r="B52" s="13">
        <f>SUMIFS(Payments!$D$2:$D$349,Payments!$H$2:$H$349,$A52,Payments!$F$2:$F$349,"Completed")</f>
        <v>26359.760000000002</v>
      </c>
      <c r="C52" s="12">
        <f>COUNTIFS(Payments!$H$2:$H$349,$A52,Payments!$F$2:$F$349,"Completed")</f>
        <v>8</v>
      </c>
    </row>
    <row r="53" spans="1:3" ht="15" customHeight="1" x14ac:dyDescent="0.25">
      <c r="A53" s="12" t="s">
        <v>70</v>
      </c>
      <c r="B53" s="13">
        <f>SUMIFS(Payments!$D$2:$D$349,Payments!$H$2:$H$349,$A53,Payments!$F$2:$F$349,"Completed")</f>
        <v>19677.949999999997</v>
      </c>
      <c r="C53" s="12">
        <f>COUNTIFS(Payments!$H$2:$H$349,$A53,Payments!$F$2:$F$349,"Completed")</f>
        <v>6</v>
      </c>
    </row>
    <row r="54" spans="1:3" ht="15" customHeight="1" x14ac:dyDescent="0.25">
      <c r="A54" s="12" t="s">
        <v>71</v>
      </c>
      <c r="B54" s="13">
        <f>SUMIFS(Payments!$D$2:$D$349,Payments!$H$2:$H$349,$A54,Payments!$F$2:$F$349,"Completed")</f>
        <v>29730</v>
      </c>
      <c r="C54" s="12">
        <f>COUNTIFS(Payments!$H$2:$H$349,$A54,Payments!$F$2:$F$349,"Completed")</f>
        <v>6</v>
      </c>
    </row>
    <row r="55" spans="1:3" ht="15" customHeight="1" x14ac:dyDescent="0.25">
      <c r="A55" s="12" t="s">
        <v>72</v>
      </c>
      <c r="B55" s="13">
        <f>SUMIFS(Payments!$D$2:$D$349,Payments!$H$2:$H$349,$A55,Payments!$F$2:$F$349,"Completed")</f>
        <v>14494.8</v>
      </c>
      <c r="C55" s="12">
        <f>COUNTIFS(Payments!$H$2:$H$349,$A55,Payments!$F$2:$F$349,"Completed")</f>
        <v>4</v>
      </c>
    </row>
    <row r="56" spans="1:3" ht="15" customHeight="1" x14ac:dyDescent="0.25">
      <c r="A56" s="12" t="s">
        <v>73</v>
      </c>
      <c r="B56" s="13">
        <f>SUMIFS(Payments!$D$2:$D$349,Payments!$H$2:$H$349,$A56,Payments!$F$2:$F$349,"Completed")</f>
        <v>44407</v>
      </c>
      <c r="C56" s="12">
        <f>COUNTIFS(Payments!$H$2:$H$349,$A56,Payments!$F$2:$F$349,"Completed")</f>
        <v>9</v>
      </c>
    </row>
    <row r="57" spans="1:3" ht="15" customHeight="1" x14ac:dyDescent="0.25">
      <c r="A57" s="12" t="s">
        <v>74</v>
      </c>
      <c r="B57" s="13">
        <f>SUMIFS(Payments!$D$2:$D$349,Payments!$H$2:$H$349,$A57,Payments!$F$2:$F$349,"Completed")</f>
        <v>12292.12</v>
      </c>
      <c r="C57" s="12">
        <f>COUNTIFS(Payments!$H$2:$H$349,$A57,Payments!$F$2:$F$349,"Completed")</f>
        <v>4</v>
      </c>
    </row>
    <row r="58" spans="1:3" ht="15" customHeight="1" x14ac:dyDescent="0.25">
      <c r="A58" s="12" t="s">
        <v>75</v>
      </c>
      <c r="B58" s="13">
        <f>SUMIFS(Payments!$D$2:$D$349,Payments!$H$2:$H$349,$A58,Payments!$F$2:$F$349,"Completed")</f>
        <v>45150.570000000007</v>
      </c>
      <c r="C58" s="12">
        <f>COUNTIFS(Payments!$H$2:$H$349,$A58,Payments!$F$2:$F$349,"Completed")</f>
        <v>11</v>
      </c>
    </row>
    <row r="59" spans="1:3" ht="15" customHeight="1" x14ac:dyDescent="0.25">
      <c r="A59" s="12" t="s">
        <v>76</v>
      </c>
      <c r="B59" s="13">
        <f>SUMIFS(Payments!$D$2:$D$349,Payments!$H$2:$H$349,$A59,Payments!$F$2:$F$349,"Completed")</f>
        <v>32167.38</v>
      </c>
      <c r="C59" s="12">
        <f>COUNTIFS(Payments!$H$2:$H$349,$A59,Payments!$F$2:$F$349,"Completed")</f>
        <v>8</v>
      </c>
    </row>
    <row r="60" spans="1:3" ht="15" customHeight="1" x14ac:dyDescent="0.25">
      <c r="A60" s="12" t="s">
        <v>77</v>
      </c>
      <c r="B60" s="13">
        <f>SUMIFS(Payments!$D$2:$D$349,Payments!$H$2:$H$349,$A60,Payments!$F$2:$F$349,"Completed")</f>
        <v>18895.830000000002</v>
      </c>
      <c r="C60" s="12">
        <f>COUNTIFS(Payments!$H$2:$H$349,$A60,Payments!$F$2:$F$349,"Completed")</f>
        <v>4</v>
      </c>
    </row>
    <row r="61" spans="1:3" ht="15" customHeight="1" x14ac:dyDescent="0.25">
      <c r="A61" s="12" t="s">
        <v>78</v>
      </c>
      <c r="B61" s="13">
        <f>SUMIFS(Payments!$D$2:$D$349,Payments!$H$2:$H$349,$A61,Payments!$F$2:$F$349,"Completed")</f>
        <v>21420.11</v>
      </c>
      <c r="C61" s="12">
        <f>COUNTIFS(Payments!$H$2:$H$349,$A61,Payments!$F$2:$F$349,"Completed")</f>
        <v>4</v>
      </c>
    </row>
    <row r="62" spans="1:3" ht="15" customHeight="1" x14ac:dyDescent="0.25">
      <c r="A62" s="12" t="s">
        <v>79</v>
      </c>
      <c r="B62" s="13">
        <f>SUMIFS(Payments!$D$2:$D$349,Payments!$H$2:$H$349,$A62,Payments!$F$2:$F$349,"Completed")</f>
        <v>29151.379999999997</v>
      </c>
      <c r="C62" s="12">
        <f>COUNTIFS(Payments!$H$2:$H$349,$A62,Payments!$F$2:$F$349,"Completed")</f>
        <v>7</v>
      </c>
    </row>
    <row r="63" spans="1:3" ht="15" customHeight="1" x14ac:dyDescent="0.25">
      <c r="A63" s="12" t="s">
        <v>80</v>
      </c>
      <c r="B63" s="13">
        <f>SUMIFS(Payments!$D$2:$D$349,Payments!$H$2:$H$349,$A63,Payments!$F$2:$F$349,"Completed")</f>
        <v>64184.219999999994</v>
      </c>
      <c r="C63" s="12">
        <f>COUNTIFS(Payments!$H$2:$H$349,$A63,Payments!$F$2:$F$349,"Completed")</f>
        <v>13</v>
      </c>
    </row>
    <row r="64" spans="1:3" ht="15" customHeight="1" x14ac:dyDescent="0.25">
      <c r="A64" s="12" t="s">
        <v>81</v>
      </c>
      <c r="B64" s="13">
        <f>SUMIFS(Payments!$D$2:$D$349,Payments!$H$2:$H$349,$A64,Payments!$F$2:$F$349,"Completed")</f>
        <v>29160.12</v>
      </c>
      <c r="C64" s="12">
        <f>COUNTIFS(Payments!$H$2:$H$349,$A64,Payments!$F$2:$F$349,"Completed")</f>
        <v>10</v>
      </c>
    </row>
    <row r="65" spans="1:3" ht="15" customHeight="1" x14ac:dyDescent="0.25">
      <c r="A65" s="12" t="s">
        <v>82</v>
      </c>
      <c r="B65" s="13">
        <f>SUMIFS(Payments!$D$2:$D$349,Payments!$H$2:$H$349,$A65,Payments!$F$2:$F$349,"Completed")</f>
        <v>17493.5</v>
      </c>
      <c r="C65" s="12">
        <f>COUNTIFS(Payments!$H$2:$H$349,$A65,Payments!$F$2:$F$349,"Completed")</f>
        <v>6</v>
      </c>
    </row>
    <row r="66" spans="1:3" ht="15" customHeight="1" x14ac:dyDescent="0.25">
      <c r="A66" s="12" t="s">
        <v>83</v>
      </c>
      <c r="B66" s="13">
        <f>SUMIFS(Payments!$D$2:$D$349,Payments!$H$2:$H$349,$A66,Payments!$F$2:$F$349,"Completed")</f>
        <v>56600.499999999993</v>
      </c>
      <c r="C66" s="12">
        <f>COUNTIFS(Payments!$H$2:$H$349,$A66,Payments!$F$2:$F$349,"Completed")</f>
        <v>11</v>
      </c>
    </row>
    <row r="67" spans="1:3" ht="15" customHeight="1" x14ac:dyDescent="0.25">
      <c r="A67" s="12" t="s">
        <v>84</v>
      </c>
      <c r="B67" s="13">
        <f>SUMIFS(Payments!$D$2:$D$349,Payments!$H$2:$H$349,$A67,Payments!$F$2:$F$349,"Completed")</f>
        <v>55658.29</v>
      </c>
      <c r="C67" s="12">
        <f>COUNTIFS(Payments!$H$2:$H$349,$A67,Payments!$F$2:$F$349,"Completed")</f>
        <v>11</v>
      </c>
    </row>
    <row r="68" spans="1:3" ht="15" customHeight="1" x14ac:dyDescent="0.25">
      <c r="A68" s="12" t="s">
        <v>85</v>
      </c>
      <c r="B68" s="13">
        <f>SUMIFS(Payments!$D$2:$D$349,Payments!$H$2:$H$349,$A68,Payments!$F$2:$F$349,"Completed")</f>
        <v>49254.96</v>
      </c>
      <c r="C68" s="12">
        <f>COUNTIFS(Payments!$H$2:$H$349,$A68,Payments!$F$2:$F$349,"Completed")</f>
        <v>11</v>
      </c>
    </row>
    <row r="69" spans="1:3" ht="15" customHeight="1" x14ac:dyDescent="0.25">
      <c r="A69" s="12" t="s">
        <v>86</v>
      </c>
      <c r="B69" s="13">
        <f>SUMIFS(Payments!$D$2:$D$349,Payments!$H$2:$H$349,$A69,Payments!$F$2:$F$349,"Completed")</f>
        <v>26664.78</v>
      </c>
      <c r="C69" s="12">
        <f>COUNTIFS(Payments!$H$2:$H$349,$A69,Payments!$F$2:$F$349,"Completed")</f>
        <v>8</v>
      </c>
    </row>
    <row r="70" spans="1:3" ht="15" customHeight="1" x14ac:dyDescent="0.25">
      <c r="A70" s="12" t="s">
        <v>87</v>
      </c>
      <c r="B70" s="13">
        <f>SUMIFS(Payments!$D$2:$D$349,Payments!$H$2:$H$349,$A70,Payments!$F$2:$F$349,"Completed")</f>
        <v>40239.75</v>
      </c>
      <c r="C70" s="12">
        <f>COUNTIFS(Payments!$H$2:$H$349,$A70,Payments!$F$2:$F$349,"Completed")</f>
        <v>11</v>
      </c>
    </row>
    <row r="71" spans="1:3" ht="15" customHeight="1" x14ac:dyDescent="0.25">
      <c r="A71" s="12" t="s">
        <v>88</v>
      </c>
      <c r="B71" s="13">
        <f>SUMIFS(Payments!$D$2:$D$349,Payments!$H$2:$H$349,$A71,Payments!$F$2:$F$349,"Completed")</f>
        <v>16048.420000000002</v>
      </c>
      <c r="C71" s="12">
        <f>COUNTIFS(Payments!$H$2:$H$349,$A71,Payments!$F$2:$F$349,"Completed")</f>
        <v>4</v>
      </c>
    </row>
    <row r="72" spans="1:3" ht="15" customHeight="1" x14ac:dyDescent="0.25">
      <c r="A72" s="12" t="s">
        <v>89</v>
      </c>
      <c r="B72" s="13">
        <f>SUMIFS(Payments!$D$2:$D$349,Payments!$H$2:$H$349,$A72,Payments!$F$2:$F$349,"Completed")</f>
        <v>44883.4</v>
      </c>
      <c r="C72" s="12">
        <f>COUNTIFS(Payments!$H$2:$H$349,$A72,Payments!$F$2:$F$349,"Completed")</f>
        <v>8</v>
      </c>
    </row>
    <row r="73" spans="1:3" ht="15" customHeight="1" x14ac:dyDescent="0.25">
      <c r="A73" s="12" t="s">
        <v>90</v>
      </c>
      <c r="B73" s="13">
        <f>SUMIFS(Payments!$D$2:$D$349,Payments!$H$2:$H$349,$A73,Payments!$F$2:$F$349,"Completed")</f>
        <v>9749.77</v>
      </c>
      <c r="C73" s="12">
        <f>COUNTIFS(Payments!$H$2:$H$349,$A73,Payments!$F$2:$F$349,"Completed")</f>
        <v>3</v>
      </c>
    </row>
    <row r="74" spans="1:3" ht="15" customHeight="1" x14ac:dyDescent="0.25">
      <c r="A74" s="12" t="s">
        <v>91</v>
      </c>
      <c r="B74" s="13">
        <f>SUMIFS(Payments!$D$2:$D$349,Payments!$H$2:$H$349,$A74,Payments!$F$2:$F$349,"Completed")</f>
        <v>75045.149999999994</v>
      </c>
      <c r="C74" s="12">
        <f>COUNTIFS(Payments!$H$2:$H$349,$A74,Payments!$F$2:$F$349,"Completed")</f>
        <v>11</v>
      </c>
    </row>
    <row r="75" spans="1:3" ht="15" customHeight="1" x14ac:dyDescent="0.25">
      <c r="A75" s="12" t="s">
        <v>92</v>
      </c>
      <c r="B75" s="13">
        <f>SUMIFS(Payments!$D$2:$D$349,Payments!$H$2:$H$349,$A75,Payments!$F$2:$F$349,"Completed")</f>
        <v>86164.01999999999</v>
      </c>
      <c r="C75" s="12">
        <f>COUNTIFS(Payments!$H$2:$H$349,$A75,Payments!$F$2:$F$349,"Completed")</f>
        <v>18</v>
      </c>
    </row>
    <row r="76" spans="1:3" ht="15" customHeight="1" x14ac:dyDescent="0.25">
      <c r="A76" s="12" t="s">
        <v>93</v>
      </c>
      <c r="B76" s="13">
        <f>SUMIFS(Payments!$D$2:$D$349,Payments!$H$2:$H$349,$A76,Payments!$F$2:$F$349,"Completed")</f>
        <v>20092.439999999999</v>
      </c>
      <c r="C76" s="12">
        <f>COUNTIFS(Payments!$H$2:$H$349,$A76,Payments!$F$2:$F$349,"Completed")</f>
        <v>6</v>
      </c>
    </row>
    <row r="77" spans="1:3" ht="15" customHeight="1" x14ac:dyDescent="0.25">
      <c r="A77" s="12" t="s">
        <v>94</v>
      </c>
      <c r="B77" s="13">
        <f>SUMIFS(Payments!$D$2:$D$349,Payments!$H$2:$H$349,$A77,Payments!$F$2:$F$349,"Completed")</f>
        <v>36488.79</v>
      </c>
      <c r="C77" s="12">
        <f>COUNTIFS(Payments!$H$2:$H$349,$A77,Payments!$F$2:$F$349,"Completed")</f>
        <v>9</v>
      </c>
    </row>
  </sheetData>
  <mergeCells count="24">
    <mergeCell ref="A17:F17"/>
    <mergeCell ref="A27:E27"/>
    <mergeCell ref="A40:C40"/>
    <mergeCell ref="A9:B9"/>
    <mergeCell ref="C9:D9"/>
    <mergeCell ref="E9:F9"/>
    <mergeCell ref="G9:H9"/>
    <mergeCell ref="A11:D11"/>
    <mergeCell ref="F11:H11"/>
    <mergeCell ref="A6:B6"/>
    <mergeCell ref="C6:D6"/>
    <mergeCell ref="E6:F6"/>
    <mergeCell ref="G6:H6"/>
    <mergeCell ref="A8:B8"/>
    <mergeCell ref="C8:D8"/>
    <mergeCell ref="E8:F8"/>
    <mergeCell ref="G8:H8"/>
    <mergeCell ref="A1:H1"/>
    <mergeCell ref="A2:H2"/>
    <mergeCell ref="A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44"/>
  <sheetViews>
    <sheetView showGridLines="0" zoomScaleNormal="100" workbookViewId="0">
      <pane ySplit="3" topLeftCell="A26" activePane="bottomLeft" state="frozen"/>
      <selection pane="bottomLeft" activeCell="B31" sqref="B31"/>
    </sheetView>
  </sheetViews>
  <sheetFormatPr defaultColWidth="8.7109375" defaultRowHeight="15" x14ac:dyDescent="0.25"/>
  <cols>
    <col min="1" max="1" width="22" style="10" customWidth="1"/>
    <col min="2" max="2" width="18" style="10" customWidth="1"/>
    <col min="3" max="6" width="16" style="10" customWidth="1"/>
  </cols>
  <sheetData>
    <row r="1" spans="1:8" ht="24" customHeight="1" x14ac:dyDescent="0.3">
      <c r="A1" s="37" t="s">
        <v>126</v>
      </c>
      <c r="B1" s="37"/>
      <c r="C1" s="37"/>
      <c r="D1" s="37"/>
      <c r="E1" s="37"/>
      <c r="F1" s="37"/>
      <c r="G1" s="37"/>
      <c r="H1" s="37"/>
    </row>
    <row r="2" spans="1:8" ht="15.75" customHeight="1" x14ac:dyDescent="0.25">
      <c r="A2" s="38" t="s">
        <v>1484</v>
      </c>
      <c r="B2" s="3"/>
      <c r="C2" s="3"/>
      <c r="D2" s="3"/>
      <c r="E2" s="3"/>
      <c r="F2" s="3"/>
      <c r="G2" s="3"/>
      <c r="H2" s="3"/>
    </row>
    <row r="4" spans="1:8" ht="19.5" customHeight="1" x14ac:dyDescent="0.25">
      <c r="A4" s="2" t="s">
        <v>22</v>
      </c>
      <c r="B4" s="2"/>
      <c r="C4" s="2"/>
      <c r="D4" s="2"/>
      <c r="E4" s="2"/>
      <c r="F4" s="2"/>
      <c r="G4" s="2"/>
      <c r="H4" s="2"/>
    </row>
    <row r="5" spans="1:8" ht="30" customHeight="1" x14ac:dyDescent="0.25">
      <c r="A5" s="7" t="s">
        <v>127</v>
      </c>
      <c r="B5" s="7"/>
      <c r="C5" s="7" t="s">
        <v>128</v>
      </c>
      <c r="D5" s="7"/>
      <c r="E5" s="7" t="s">
        <v>129</v>
      </c>
      <c r="F5" s="7"/>
      <c r="G5" s="7" t="s">
        <v>130</v>
      </c>
      <c r="H5" s="7"/>
    </row>
    <row r="6" spans="1:8" ht="25.5" customHeight="1" x14ac:dyDescent="0.25">
      <c r="A6" s="1">
        <f>COUNTA(Employees!A2:A37)</f>
        <v>36</v>
      </c>
      <c r="B6" s="1"/>
      <c r="C6" s="20">
        <f>SUM(Employees!I2:I37)</f>
        <v>2921761.9799999991</v>
      </c>
      <c r="D6" s="20"/>
      <c r="E6" s="20">
        <f>AVERAGE(Employees!I2:I37)</f>
        <v>81160.054999999978</v>
      </c>
      <c r="F6" s="20"/>
      <c r="G6" s="23">
        <f ca="1">AVERAGE(Employees!L2:L37)</f>
        <v>6.677777777777778</v>
      </c>
      <c r="H6" s="23"/>
    </row>
    <row r="8" spans="1:8" ht="30" customHeight="1" x14ac:dyDescent="0.25">
      <c r="A8" s="7" t="s">
        <v>131</v>
      </c>
      <c r="B8" s="7"/>
      <c r="C8" s="7" t="s">
        <v>132</v>
      </c>
      <c r="D8" s="7"/>
      <c r="E8" s="7" t="s">
        <v>133</v>
      </c>
      <c r="F8" s="7"/>
      <c r="G8" s="7" t="s">
        <v>134</v>
      </c>
      <c r="H8" s="7"/>
    </row>
    <row r="9" spans="1:8" ht="25.5" customHeight="1" x14ac:dyDescent="0.25">
      <c r="A9" s="20">
        <f>SUM(Departments!C2:C8)</f>
        <v>2200000</v>
      </c>
      <c r="B9" s="20"/>
      <c r="C9" s="22">
        <f>B6/A9</f>
        <v>0</v>
      </c>
      <c r="D9" s="22"/>
      <c r="E9" s="20">
        <f>MEDIAN(Employees!I2:I37)</f>
        <v>80304.774999999994</v>
      </c>
      <c r="F9" s="20"/>
      <c r="G9" s="1">
        <f>COUNTIF(Employees!N2:N37,"&gt;0")</f>
        <v>7</v>
      </c>
      <c r="H9" s="1"/>
    </row>
    <row r="11" spans="1:8" ht="19.5" customHeight="1" x14ac:dyDescent="0.25">
      <c r="A11" s="2" t="s">
        <v>135</v>
      </c>
      <c r="B11" s="2"/>
      <c r="C11" s="2"/>
      <c r="D11" s="2"/>
      <c r="E11" s="2"/>
      <c r="F11" s="2"/>
    </row>
    <row r="12" spans="1:8" ht="15" customHeight="1" x14ac:dyDescent="0.25">
      <c r="A12" s="11" t="s">
        <v>19</v>
      </c>
      <c r="B12" s="11" t="s">
        <v>20</v>
      </c>
      <c r="C12" s="11" t="s">
        <v>136</v>
      </c>
      <c r="D12" s="11" t="s">
        <v>137</v>
      </c>
      <c r="E12" s="11" t="s">
        <v>138</v>
      </c>
      <c r="F12" s="11" t="s">
        <v>139</v>
      </c>
    </row>
    <row r="13" spans="1:8" ht="15" customHeight="1" x14ac:dyDescent="0.25">
      <c r="A13" s="12" t="str">
        <f>Departments!B2</f>
        <v>Sales</v>
      </c>
      <c r="B13" s="12">
        <f>Departments!D2</f>
        <v>0</v>
      </c>
      <c r="C13" s="13">
        <f>IFERROR(AVERAGEIF(Employees!$E$2:$E$37,Departments!A2,Employees!$I$2:$I$37),0)</f>
        <v>0</v>
      </c>
      <c r="D13" s="13">
        <f ca="1">IFERROR(minifs(Employees!$I$2:$I$37,Employees!$E$2:$E$37,Departments!A2),0)</f>
        <v>0</v>
      </c>
      <c r="E13" s="13">
        <f ca="1">IFERROR(maxifs(Employees!$I$2:$I$37,Employees!$E$2:$E$37,Departments!A2),0)</f>
        <v>0</v>
      </c>
      <c r="F13" s="13">
        <f>Departments!E2</f>
        <v>0</v>
      </c>
    </row>
    <row r="14" spans="1:8" ht="15" customHeight="1" x14ac:dyDescent="0.25">
      <c r="A14" s="12" t="str">
        <f>Departments!B3</f>
        <v>Marketing</v>
      </c>
      <c r="B14" s="12">
        <f>Departments!D3</f>
        <v>4</v>
      </c>
      <c r="C14" s="13">
        <f>IFERROR(AVERAGEIF(Employees!$E$2:$E$37,Departments!A3,Employees!$I$2:$I$37),0)</f>
        <v>88972.96</v>
      </c>
      <c r="D14" s="13">
        <f ca="1">IFERROR(minifs(Employees!$I$2:$I$37,Employees!$E$2:$E$37,Departments!A3),0)</f>
        <v>0</v>
      </c>
      <c r="E14" s="13">
        <f ca="1">IFERROR(maxifs(Employees!$I$2:$I$37,Employees!$E$2:$E$37,Departments!A3),0)</f>
        <v>0</v>
      </c>
      <c r="F14" s="13">
        <f>Departments!E3</f>
        <v>355891.84</v>
      </c>
    </row>
    <row r="15" spans="1:8" ht="15" customHeight="1" x14ac:dyDescent="0.25">
      <c r="A15" s="12" t="str">
        <f>Departments!B4</f>
        <v>Finance</v>
      </c>
      <c r="B15" s="12">
        <f>Departments!D4</f>
        <v>6</v>
      </c>
      <c r="C15" s="13">
        <f>IFERROR(AVERAGEIF(Employees!$E$2:$E$37,Departments!A4,Employees!$I$2:$I$37),0)</f>
        <v>76421.919999999998</v>
      </c>
      <c r="D15" s="13">
        <f ca="1">IFERROR(minifs(Employees!$I$2:$I$37,Employees!$E$2:$E$37,Departments!A4),0)</f>
        <v>0</v>
      </c>
      <c r="E15" s="13">
        <f ca="1">IFERROR(maxifs(Employees!$I$2:$I$37,Employees!$E$2:$E$37,Departments!A4),0)</f>
        <v>0</v>
      </c>
      <c r="F15" s="13">
        <f>Departments!E4</f>
        <v>458531.52</v>
      </c>
    </row>
    <row r="16" spans="1:8" ht="15" customHeight="1" x14ac:dyDescent="0.25">
      <c r="A16" s="12" t="str">
        <f>Departments!B5</f>
        <v>Operations</v>
      </c>
      <c r="B16" s="12">
        <f>Departments!D5</f>
        <v>4</v>
      </c>
      <c r="C16" s="13">
        <f>IFERROR(AVERAGEIF(Employees!$E$2:$E$37,Departments!A5,Employees!$I$2:$I$37),0)</f>
        <v>84615.679999999993</v>
      </c>
      <c r="D16" s="13">
        <f ca="1">IFERROR(minifs(Employees!$I$2:$I$37,Employees!$E$2:$E$37,Departments!A5),0)</f>
        <v>0</v>
      </c>
      <c r="E16" s="13">
        <f ca="1">IFERROR(maxifs(Employees!$I$2:$I$37,Employees!$E$2:$E$37,Departments!A5),0)</f>
        <v>0</v>
      </c>
      <c r="F16" s="13">
        <f>Departments!E5</f>
        <v>338462.71999999997</v>
      </c>
    </row>
    <row r="17" spans="1:6" ht="15" customHeight="1" x14ac:dyDescent="0.25">
      <c r="A17" s="12" t="str">
        <f>Departments!B6</f>
        <v>Human Resources</v>
      </c>
      <c r="B17" s="12">
        <f>Departments!D6</f>
        <v>6</v>
      </c>
      <c r="C17" s="13">
        <f>IFERROR(AVERAGEIF(Employees!$E$2:$E$37,Departments!A6,Employees!$I$2:$I$37),0)</f>
        <v>79635.738333333327</v>
      </c>
      <c r="D17" s="13">
        <f ca="1">IFERROR(minifs(Employees!$I$2:$I$37,Employees!$E$2:$E$37,Departments!A6),0)</f>
        <v>0</v>
      </c>
      <c r="E17" s="13">
        <f ca="1">IFERROR(maxifs(Employees!$I$2:$I$37,Employees!$E$2:$E$37,Departments!A6),0)</f>
        <v>0</v>
      </c>
      <c r="F17" s="13">
        <f>Departments!E6</f>
        <v>477814.43</v>
      </c>
    </row>
    <row r="18" spans="1:6" ht="15" customHeight="1" x14ac:dyDescent="0.25">
      <c r="A18" s="12" t="str">
        <f>Departments!B7</f>
        <v>IT</v>
      </c>
      <c r="B18" s="12">
        <f>Departments!D7</f>
        <v>6</v>
      </c>
      <c r="C18" s="13">
        <f>IFERROR(AVERAGEIF(Employees!$E$2:$E$37,Departments!A7,Employees!$I$2:$I$37),0)</f>
        <v>71884.555000000008</v>
      </c>
      <c r="D18" s="13">
        <f ca="1">IFERROR(minifs(Employees!$I$2:$I$37,Employees!$E$2:$E$37,Departments!A7),0)</f>
        <v>0</v>
      </c>
      <c r="E18" s="13">
        <f ca="1">IFERROR(maxifs(Employees!$I$2:$I$37,Employees!$E$2:$E$37,Departments!A7),0)</f>
        <v>0</v>
      </c>
      <c r="F18" s="13">
        <f>Departments!E7</f>
        <v>431307.33</v>
      </c>
    </row>
    <row r="19" spans="1:6" ht="15" customHeight="1" x14ac:dyDescent="0.25">
      <c r="A19" s="12" t="str">
        <f>Departments!B8</f>
        <v>Customer Support</v>
      </c>
      <c r="B19" s="12">
        <f>Departments!D8</f>
        <v>6</v>
      </c>
      <c r="C19" s="13">
        <f>IFERROR(AVERAGEIF(Employees!$E$2:$E$37,Departments!A8,Employees!$I$2:$I$37),0)</f>
        <v>84721.773333333331</v>
      </c>
      <c r="D19" s="13">
        <f ca="1">IFERROR(minifs(Employees!$I$2:$I$37,Employees!$E$2:$E$37,Departments!A8),0)</f>
        <v>0</v>
      </c>
      <c r="E19" s="13">
        <f ca="1">IFERROR(maxifs(Employees!$I$2:$I$37,Employees!$E$2:$E$37,Departments!A8),0)</f>
        <v>0</v>
      </c>
      <c r="F19" s="13">
        <f>Departments!E8</f>
        <v>508330.64</v>
      </c>
    </row>
    <row r="21" spans="1:6" ht="19.5" customHeight="1" x14ac:dyDescent="0.25">
      <c r="A21" s="2" t="s">
        <v>140</v>
      </c>
      <c r="B21" s="2"/>
      <c r="C21" s="2"/>
    </row>
    <row r="22" spans="1:6" ht="15" customHeight="1" x14ac:dyDescent="0.25">
      <c r="A22" s="11" t="s">
        <v>34</v>
      </c>
      <c r="B22" s="11" t="s">
        <v>20</v>
      </c>
      <c r="C22" s="11" t="s">
        <v>136</v>
      </c>
    </row>
    <row r="23" spans="1:6" ht="15" customHeight="1" x14ac:dyDescent="0.25">
      <c r="A23" s="12" t="s">
        <v>36</v>
      </c>
      <c r="B23" s="12">
        <f>COUNTIF(Employees!$J$2:$J$37,$A23)</f>
        <v>8</v>
      </c>
      <c r="C23" s="13">
        <f>IFERROR(AVERAGEIF(Employees!$J$2:$J$37,$A23,Employees!$I$2:$I$37),0)</f>
        <v>74055.153749999998</v>
      </c>
    </row>
    <row r="24" spans="1:6" ht="15" customHeight="1" x14ac:dyDescent="0.25">
      <c r="A24" s="12" t="s">
        <v>37</v>
      </c>
      <c r="B24" s="12">
        <f>COUNTIF(Employees!$J$2:$J$37,$A24)</f>
        <v>6</v>
      </c>
      <c r="C24" s="13">
        <f>IFERROR(AVERAGEIF(Employees!$J$2:$J$37,$A24,Employees!$I$2:$I$37),0)</f>
        <v>79553.391666666677</v>
      </c>
    </row>
    <row r="25" spans="1:6" ht="15" customHeight="1" x14ac:dyDescent="0.25">
      <c r="A25" s="12" t="s">
        <v>38</v>
      </c>
      <c r="B25" s="12">
        <f>COUNTIF(Employees!$J$2:$J$37,$A25)</f>
        <v>11</v>
      </c>
      <c r="C25" s="13">
        <f>IFERROR(AVERAGEIF(Employees!$J$2:$J$37,$A25,Employees!$I$2:$I$37),0)</f>
        <v>85148.409999999989</v>
      </c>
    </row>
    <row r="26" spans="1:6" ht="15" customHeight="1" x14ac:dyDescent="0.25">
      <c r="A26" s="12" t="s">
        <v>39</v>
      </c>
      <c r="B26" s="12">
        <f>COUNTIF(Employees!$J$2:$J$37,$A26)</f>
        <v>6</v>
      </c>
      <c r="C26" s="13">
        <f>IFERROR(AVERAGEIF(Employees!$J$2:$J$37,$A26,Employees!$I$2:$I$37),0)</f>
        <v>94548.898333333331</v>
      </c>
    </row>
    <row r="27" spans="1:6" ht="15" customHeight="1" x14ac:dyDescent="0.25">
      <c r="A27" s="12" t="s">
        <v>40</v>
      </c>
      <c r="B27" s="12">
        <f>COUNTIF(Employees!$J$2:$J$37,$A27)</f>
        <v>5</v>
      </c>
      <c r="C27" s="13">
        <f>IFERROR(AVERAGEIF(Employees!$J$2:$J$37,$A27,Employees!$I$2:$I$37),0)</f>
        <v>69614.899999999994</v>
      </c>
    </row>
    <row r="29" spans="1:6" ht="19.5" customHeight="1" x14ac:dyDescent="0.25">
      <c r="A29" s="2" t="s">
        <v>141</v>
      </c>
      <c r="B29" s="2"/>
    </row>
    <row r="30" spans="1:6" ht="15" customHeight="1" x14ac:dyDescent="0.25">
      <c r="A30" s="11" t="s">
        <v>142</v>
      </c>
      <c r="B30" s="11" t="s">
        <v>20</v>
      </c>
    </row>
    <row r="31" spans="1:6" ht="15" customHeight="1" x14ac:dyDescent="0.25">
      <c r="A31" s="12" t="s">
        <v>143</v>
      </c>
      <c r="B31" s="12">
        <f ca="1">COUNTIFS(Employees!$L$2:$L$37,"&lt;2")</f>
        <v>1</v>
      </c>
    </row>
    <row r="32" spans="1:6" ht="15" customHeight="1" x14ac:dyDescent="0.25">
      <c r="A32" s="12" t="s">
        <v>144</v>
      </c>
      <c r="B32" s="12">
        <f ca="1">COUNTIFS(Employees!$L$2:$L$37,"&gt;=2",Employees!$L$2:$L$37,"&lt;5")</f>
        <v>11</v>
      </c>
    </row>
    <row r="33" spans="1:4" ht="15" customHeight="1" x14ac:dyDescent="0.25">
      <c r="A33" s="12" t="s">
        <v>145</v>
      </c>
      <c r="B33" s="12">
        <f ca="1">COUNTIFS(Employees!$L$2:$L$37,"&gt;=5",Employees!$L$2:$L$37,"&lt;8")</f>
        <v>9</v>
      </c>
    </row>
    <row r="34" spans="1:4" ht="15" customHeight="1" x14ac:dyDescent="0.25">
      <c r="A34" s="12" t="s">
        <v>146</v>
      </c>
      <c r="B34" s="12">
        <f ca="1">COUNTIFS(Employees!$L$2:$L$37,"&gt;=8")</f>
        <v>15</v>
      </c>
    </row>
    <row r="36" spans="1:4" ht="19.5" customHeight="1" x14ac:dyDescent="0.25">
      <c r="A36" s="2" t="s">
        <v>147</v>
      </c>
      <c r="B36" s="2"/>
      <c r="C36" s="2"/>
      <c r="D36" s="2"/>
    </row>
    <row r="37" spans="1:4" ht="15" customHeight="1" x14ac:dyDescent="0.25">
      <c r="A37" s="11" t="s">
        <v>53</v>
      </c>
      <c r="B37" s="11" t="s">
        <v>148</v>
      </c>
      <c r="C37" s="11" t="s">
        <v>19</v>
      </c>
      <c r="D37" s="11" t="s">
        <v>149</v>
      </c>
    </row>
    <row r="38" spans="1:4" ht="15" customHeight="1" x14ac:dyDescent="0.25">
      <c r="A38" s="12">
        <v>1</v>
      </c>
      <c r="B38" s="12" t="str">
        <f>INDEX(Employees!$B$2:$B$37,MATCH($A38,Employees!$A$2:$A$37,0))&amp;" "&amp;INDEX(Employees!$C$2:$C$37,MATCH($A38,Employees!$A$2:$A$37,0))</f>
        <v>Daniel Brown</v>
      </c>
      <c r="C38" s="12" t="str">
        <f>INDEX(Employees!$K$2:$K$37,MATCH($A38,Employees!$A$2:$A$37,0))</f>
        <v>Unassigned</v>
      </c>
      <c r="D38" s="12">
        <f>INDEX(Employees!$N$2:$N$37,MATCH($A38,Employees!$A$2:$A$37,0))</f>
        <v>3</v>
      </c>
    </row>
    <row r="39" spans="1:4" ht="15" customHeight="1" x14ac:dyDescent="0.25">
      <c r="A39" s="12">
        <v>2</v>
      </c>
      <c r="B39" s="12" t="str">
        <f>INDEX(Employees!$B$2:$B$37,MATCH($A39,Employees!$A$2:$A$37,0))&amp;" "&amp;INDEX(Employees!$C$2:$C$37,MATCH($A39,Employees!$A$2:$A$37,0))</f>
        <v>Linda Jones</v>
      </c>
      <c r="C39" s="12" t="str">
        <f>INDEX(Employees!$K$2:$K$37,MATCH($A39,Employees!$A$2:$A$37,0))</f>
        <v>Marketing</v>
      </c>
      <c r="D39" s="12">
        <f>INDEX(Employees!$N$2:$N$37,MATCH($A39,Employees!$A$2:$A$37,0))</f>
        <v>3</v>
      </c>
    </row>
    <row r="40" spans="1:4" ht="15" customHeight="1" x14ac:dyDescent="0.25">
      <c r="A40" s="12">
        <v>3</v>
      </c>
      <c r="B40" s="12" t="str">
        <f>INDEX(Employees!$B$2:$B$37,MATCH($A40,Employees!$A$2:$A$37,0))&amp;" "&amp;INDEX(Employees!$C$2:$C$37,MATCH($A40,Employees!$A$2:$A$37,0))</f>
        <v>John Jackson</v>
      </c>
      <c r="C40" s="12" t="str">
        <f>INDEX(Employees!$K$2:$K$37,MATCH($A40,Employees!$A$2:$A$37,0))</f>
        <v>Finance</v>
      </c>
      <c r="D40" s="12">
        <f>INDEX(Employees!$N$2:$N$37,MATCH($A40,Employees!$A$2:$A$37,0))</f>
        <v>5</v>
      </c>
    </row>
    <row r="41" spans="1:4" ht="15" customHeight="1" x14ac:dyDescent="0.25">
      <c r="A41" s="12">
        <v>4</v>
      </c>
      <c r="B41" s="12" t="str">
        <f>INDEX(Employees!$B$2:$B$37,MATCH($A41,Employees!$A$2:$A$37,0))&amp;" "&amp;INDEX(Employees!$C$2:$C$37,MATCH($A41,Employees!$A$2:$A$37,0))</f>
        <v>Michael Davis</v>
      </c>
      <c r="C41" s="12" t="str">
        <f>INDEX(Employees!$K$2:$K$37,MATCH($A41,Employees!$A$2:$A$37,0))</f>
        <v>Operations</v>
      </c>
      <c r="D41" s="12">
        <f>INDEX(Employees!$N$2:$N$37,MATCH($A41,Employees!$A$2:$A$37,0))</f>
        <v>3</v>
      </c>
    </row>
    <row r="42" spans="1:4" ht="15" customHeight="1" x14ac:dyDescent="0.25">
      <c r="A42" s="12">
        <v>5</v>
      </c>
      <c r="B42" s="12" t="str">
        <f>INDEX(Employees!$B$2:$B$37,MATCH($A42,Employees!$A$2:$A$37,0))&amp;" "&amp;INDEX(Employees!$C$2:$C$37,MATCH($A42,Employees!$A$2:$A$37,0))</f>
        <v>Michael Moore</v>
      </c>
      <c r="C42" s="12" t="str">
        <f>INDEX(Employees!$K$2:$K$37,MATCH($A42,Employees!$A$2:$A$37,0))</f>
        <v>Human Resources</v>
      </c>
      <c r="D42" s="12">
        <f>INDEX(Employees!$N$2:$N$37,MATCH($A42,Employees!$A$2:$A$37,0))</f>
        <v>5</v>
      </c>
    </row>
    <row r="43" spans="1:4" ht="15" customHeight="1" x14ac:dyDescent="0.25">
      <c r="A43" s="12">
        <v>6</v>
      </c>
      <c r="B43" s="12" t="str">
        <f>INDEX(Employees!$B$2:$B$37,MATCH($A43,Employees!$A$2:$A$37,0))&amp;" "&amp;INDEX(Employees!$C$2:$C$37,MATCH($A43,Employees!$A$2:$A$37,0))</f>
        <v>William Smith</v>
      </c>
      <c r="C43" s="12" t="str">
        <f>INDEX(Employees!$K$2:$K$37,MATCH($A43,Employees!$A$2:$A$37,0))</f>
        <v>IT</v>
      </c>
      <c r="D43" s="12">
        <f>INDEX(Employees!$N$2:$N$37,MATCH($A43,Employees!$A$2:$A$37,0))</f>
        <v>5</v>
      </c>
    </row>
    <row r="44" spans="1:4" ht="15" customHeight="1" x14ac:dyDescent="0.25">
      <c r="A44" s="12">
        <v>7</v>
      </c>
      <c r="B44" s="12" t="str">
        <f>INDEX(Employees!$B$2:$B$37,MATCH($A44,Employees!$A$2:$A$37,0))&amp;" "&amp;INDEX(Employees!$C$2:$C$37,MATCH($A44,Employees!$A$2:$A$37,0))</f>
        <v>William Jones</v>
      </c>
      <c r="C44" s="12" t="str">
        <f>INDEX(Employees!$K$2:$K$37,MATCH($A44,Employees!$A$2:$A$37,0))</f>
        <v>Customer Support</v>
      </c>
      <c r="D44" s="12">
        <f>INDEX(Employees!$N$2:$N$37,MATCH($A44,Employees!$A$2:$A$37,0))</f>
        <v>5</v>
      </c>
    </row>
  </sheetData>
  <mergeCells count="23">
    <mergeCell ref="A21:C21"/>
    <mergeCell ref="A29:B29"/>
    <mergeCell ref="A36:D36"/>
    <mergeCell ref="A9:B9"/>
    <mergeCell ref="C9:D9"/>
    <mergeCell ref="E9:F9"/>
    <mergeCell ref="G9:H9"/>
    <mergeCell ref="A11:F11"/>
    <mergeCell ref="A6:B6"/>
    <mergeCell ref="C6:D6"/>
    <mergeCell ref="E6:F6"/>
    <mergeCell ref="G6:H6"/>
    <mergeCell ref="A8:B8"/>
    <mergeCell ref="C8:D8"/>
    <mergeCell ref="E8:F8"/>
    <mergeCell ref="G8:H8"/>
    <mergeCell ref="A1:H1"/>
    <mergeCell ref="A2:H2"/>
    <mergeCell ref="A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56"/>
  <sheetViews>
    <sheetView showGridLines="0" zoomScaleNormal="100" workbookViewId="0">
      <pane ySplit="3" topLeftCell="A4" activePane="bottomLeft" state="frozen"/>
      <selection pane="bottomLeft" activeCell="A6" sqref="A6:B6"/>
    </sheetView>
  </sheetViews>
  <sheetFormatPr defaultColWidth="8.7109375" defaultRowHeight="15" x14ac:dyDescent="0.25"/>
  <cols>
    <col min="1" max="1" width="24" style="10" customWidth="1"/>
    <col min="2" max="2" width="16" style="10" customWidth="1"/>
    <col min="3" max="3" width="18" style="10" customWidth="1"/>
    <col min="4" max="4" width="16" style="10" customWidth="1"/>
    <col min="5" max="6" width="18" style="10" customWidth="1"/>
  </cols>
  <sheetData>
    <row r="1" spans="1:8" ht="24" customHeight="1" x14ac:dyDescent="0.3">
      <c r="A1" s="37" t="s">
        <v>150</v>
      </c>
      <c r="B1" s="37"/>
      <c r="C1" s="37"/>
      <c r="D1" s="37"/>
      <c r="E1" s="37"/>
      <c r="F1" s="37"/>
      <c r="G1" s="37"/>
      <c r="H1" s="37"/>
    </row>
    <row r="2" spans="1:8" ht="15.75" customHeight="1" x14ac:dyDescent="0.25">
      <c r="A2" s="38" t="s">
        <v>1485</v>
      </c>
      <c r="B2" s="3"/>
      <c r="C2" s="3"/>
      <c r="D2" s="3"/>
      <c r="E2" s="3"/>
      <c r="F2" s="3"/>
      <c r="G2" s="3"/>
      <c r="H2" s="3"/>
    </row>
    <row r="4" spans="1:8" ht="19.5" customHeight="1" x14ac:dyDescent="0.25">
      <c r="A4" s="2" t="s">
        <v>22</v>
      </c>
      <c r="B4" s="2"/>
      <c r="C4" s="2"/>
      <c r="D4" s="2"/>
      <c r="E4" s="2"/>
      <c r="F4" s="2"/>
      <c r="G4" s="2"/>
      <c r="H4" s="2"/>
    </row>
    <row r="5" spans="1:8" ht="30" customHeight="1" x14ac:dyDescent="0.25">
      <c r="A5" s="7" t="s">
        <v>151</v>
      </c>
      <c r="B5" s="7"/>
      <c r="C5" s="7" t="s">
        <v>152</v>
      </c>
      <c r="D5" s="7"/>
      <c r="E5" s="7" t="s">
        <v>153</v>
      </c>
      <c r="F5" s="7"/>
      <c r="G5" s="7" t="s">
        <v>154</v>
      </c>
      <c r="H5" s="7"/>
    </row>
    <row r="6" spans="1:8" ht="25.5" customHeight="1" x14ac:dyDescent="0.25">
      <c r="A6" s="1">
        <f>COUNTA(Products!A2:A101)</f>
        <v>100</v>
      </c>
      <c r="B6" s="1"/>
      <c r="C6" s="1">
        <f>COUNTIF(Products!M2:M101,"REORDER")</f>
        <v>8</v>
      </c>
      <c r="D6" s="1"/>
      <c r="E6" s="20">
        <f>SUM(Products!L2:L101)</f>
        <v>3818708.3</v>
      </c>
      <c r="F6" s="20"/>
      <c r="G6" s="1">
        <f>COUNTIFS(Products!I2:I101,TRUE(),Products!G2:G101,"&gt;0")</f>
        <v>0</v>
      </c>
      <c r="H6" s="1"/>
    </row>
    <row r="8" spans="1:8" ht="30" customHeight="1" x14ac:dyDescent="0.25">
      <c r="A8" s="7" t="s">
        <v>155</v>
      </c>
      <c r="B8" s="7"/>
      <c r="C8" s="7" t="s">
        <v>156</v>
      </c>
      <c r="D8" s="7"/>
      <c r="E8" s="7" t="s">
        <v>157</v>
      </c>
      <c r="F8" s="7"/>
      <c r="G8" s="7" t="s">
        <v>158</v>
      </c>
      <c r="H8" s="7"/>
    </row>
    <row r="9" spans="1:8" ht="25.5" customHeight="1" x14ac:dyDescent="0.25">
      <c r="A9" s="1">
        <f>SUMIF(InventoryTransactions!D2:D351,"Restock",InventoryTransactions!E2:E351)</f>
        <v>29554</v>
      </c>
      <c r="B9" s="1"/>
      <c r="C9" s="1">
        <f>-SUMIF(InventoryTransactions!D2:D351,"Damaged",InventoryTransactions!E2:E351)</f>
        <v>1317</v>
      </c>
      <c r="D9" s="1"/>
      <c r="E9" s="23">
        <f>AVERAGE(Suppliers!D2:D13)</f>
        <v>22.833333333333332</v>
      </c>
      <c r="F9" s="23"/>
      <c r="G9" s="24">
        <f>AVERAGE(Suppliers!E2:E13)</f>
        <v>3.8958333333333339</v>
      </c>
      <c r="H9" s="24"/>
    </row>
    <row r="11" spans="1:8" ht="19.5" customHeight="1" x14ac:dyDescent="0.25">
      <c r="A11" s="2" t="s">
        <v>159</v>
      </c>
      <c r="B11" s="2"/>
      <c r="C11" s="2"/>
      <c r="D11" s="2"/>
      <c r="E11" s="2"/>
      <c r="F11" s="2"/>
    </row>
    <row r="12" spans="1:8" ht="15" customHeight="1" x14ac:dyDescent="0.25">
      <c r="A12" s="11" t="s">
        <v>47</v>
      </c>
      <c r="B12" s="11" t="s">
        <v>48</v>
      </c>
      <c r="C12" s="11" t="s">
        <v>11</v>
      </c>
      <c r="D12" s="11" t="s">
        <v>160</v>
      </c>
      <c r="E12" s="11" t="s">
        <v>161</v>
      </c>
      <c r="F12" s="11" t="s">
        <v>162</v>
      </c>
    </row>
    <row r="13" spans="1:8" ht="15" customHeight="1" x14ac:dyDescent="0.25">
      <c r="A13" s="12">
        <v>14</v>
      </c>
      <c r="B13" s="12" t="str">
        <f>INDEX(Products!$B$2:$B$101,MATCH($A13,Products!$A$2:$A$101,0))</f>
        <v>Sticky Notes</v>
      </c>
      <c r="C13" s="12" t="str">
        <f>INDEX(Products!$J$2:$J$101,MATCH($A13,Products!$A$2:$A$101,0))</f>
        <v>Office Supplies</v>
      </c>
      <c r="D13" s="12">
        <f>INDEX(Products!$G$2:$G$101,MATCH($A13,Products!$A$2:$A$101,0))</f>
        <v>13</v>
      </c>
      <c r="E13" s="12">
        <f>INDEX(Products!$H$2:$H$101,MATCH($A13,Products!$A$2:$A$101,0))</f>
        <v>79</v>
      </c>
      <c r="F13" s="12" t="str">
        <f>INDEX(Products!$K$2:$K$101,MATCH($A13,Products!$A$2:$A$101,0))</f>
        <v>EastPoint Textiles</v>
      </c>
    </row>
    <row r="14" spans="1:8" ht="15" customHeight="1" x14ac:dyDescent="0.25">
      <c r="A14" s="12">
        <v>3</v>
      </c>
      <c r="B14" s="12" t="str">
        <f>INDEX(Products!$B$2:$B$101,MATCH($A14,Products!$A$2:$A$101,0))</f>
        <v>USB-C Hub</v>
      </c>
      <c r="C14" s="12" t="str">
        <f>INDEX(Products!$J$2:$J$101,MATCH($A14,Products!$A$2:$A$101,0))</f>
        <v>Electronics</v>
      </c>
      <c r="D14" s="12">
        <f>INDEX(Products!$G$2:$G$101,MATCH($A14,Products!$A$2:$A$101,0))</f>
        <v>14</v>
      </c>
      <c r="E14" s="12">
        <f>INDEX(Products!$H$2:$H$101,MATCH($A14,Products!$A$2:$A$101,0))</f>
        <v>44</v>
      </c>
      <c r="F14" s="12" t="str">
        <f>INDEX(Products!$K$2:$K$101,MATCH($A14,Products!$A$2:$A$101,0))</f>
        <v>Zenith Materials</v>
      </c>
    </row>
    <row r="15" spans="1:8" ht="15" customHeight="1" x14ac:dyDescent="0.25">
      <c r="A15" s="12">
        <v>39</v>
      </c>
      <c r="B15" s="12" t="str">
        <f>INDEX(Products!$B$2:$B$101,MATCH($A15,Products!$A$2:$A$101,0))</f>
        <v>Winter Gloves</v>
      </c>
      <c r="C15" s="12" t="str">
        <f>INDEX(Products!$J$2:$J$101,MATCH($A15,Products!$A$2:$A$101,0))</f>
        <v>Apparel</v>
      </c>
      <c r="D15" s="12">
        <f>INDEX(Products!$G$2:$G$101,MATCH($A15,Products!$A$2:$A$101,0))</f>
        <v>27</v>
      </c>
      <c r="E15" s="12">
        <f>INDEX(Products!$H$2:$H$101,MATCH($A15,Products!$A$2:$A$101,0))</f>
        <v>29</v>
      </c>
      <c r="F15" s="12" t="str">
        <f>INDEX(Products!$K$2:$K$101,MATCH($A15,Products!$A$2:$A$101,0))</f>
        <v>Zenith Materials</v>
      </c>
    </row>
    <row r="16" spans="1:8" ht="15" customHeight="1" x14ac:dyDescent="0.25">
      <c r="A16" s="12">
        <v>68</v>
      </c>
      <c r="B16" s="12" t="str">
        <f>INDEX(Products!$B$2:$B$101,MATCH($A16,Products!$A$2:$A$101,0))</f>
        <v>Art Supply Kit</v>
      </c>
      <c r="C16" s="12" t="str">
        <f>INDEX(Products!$J$2:$J$101,MATCH($A16,Products!$A$2:$A$101,0))</f>
        <v>Toys &amp; Games</v>
      </c>
      <c r="D16" s="12">
        <f>INDEX(Products!$G$2:$G$101,MATCH($A16,Products!$A$2:$A$101,0))</f>
        <v>35</v>
      </c>
      <c r="E16" s="12">
        <f>INDEX(Products!$H$2:$H$101,MATCH($A16,Products!$A$2:$A$101,0))</f>
        <v>37</v>
      </c>
      <c r="F16" s="12" t="str">
        <f>INDEX(Products!$K$2:$K$101,MATCH($A16,Products!$A$2:$A$101,0))</f>
        <v>Continental Fabrics</v>
      </c>
    </row>
    <row r="17" spans="1:6" ht="15" customHeight="1" x14ac:dyDescent="0.25">
      <c r="A17" s="12">
        <v>80</v>
      </c>
      <c r="B17" s="12" t="str">
        <f>INDEX(Products!$B$2:$B$101,MATCH($A17,Products!$A$2:$A$101,0))</f>
        <v>Body Lotion</v>
      </c>
      <c r="C17" s="12" t="str">
        <f>INDEX(Products!$J$2:$J$101,MATCH($A17,Products!$A$2:$A$101,0))</f>
        <v>Health &amp; Beauty</v>
      </c>
      <c r="D17" s="12">
        <f>INDEX(Products!$G$2:$G$101,MATCH($A17,Products!$A$2:$A$101,0))</f>
        <v>35</v>
      </c>
      <c r="E17" s="12">
        <f>INDEX(Products!$H$2:$H$101,MATCH($A17,Products!$A$2:$A$101,0))</f>
        <v>35</v>
      </c>
      <c r="F17" s="12" t="str">
        <f>INDEX(Products!$K$2:$K$101,MATCH($A17,Products!$A$2:$A$101,0))</f>
        <v>Zenith Materials</v>
      </c>
    </row>
    <row r="18" spans="1:6" ht="15" customHeight="1" x14ac:dyDescent="0.25">
      <c r="A18" s="12">
        <v>43</v>
      </c>
      <c r="B18" s="12" t="str">
        <f>INDEX(Products!$B$2:$B$101,MATCH($A18,Products!$A$2:$A$101,0))</f>
        <v>Non-stick Pan Set</v>
      </c>
      <c r="C18" s="12" t="str">
        <f>INDEX(Products!$J$2:$J$101,MATCH($A18,Products!$A$2:$A$101,0))</f>
        <v>Home &amp; Kitchen</v>
      </c>
      <c r="D18" s="12">
        <f>INDEX(Products!$G$2:$G$101,MATCH($A18,Products!$A$2:$A$101,0))</f>
        <v>50</v>
      </c>
      <c r="E18" s="12">
        <f>INDEX(Products!$H$2:$H$101,MATCH($A18,Products!$A$2:$A$101,0))</f>
        <v>80</v>
      </c>
      <c r="F18" s="12" t="str">
        <f>INDEX(Products!$K$2:$K$101,MATCH($A18,Products!$A$2:$A$101,0))</f>
        <v>Summit Hardware</v>
      </c>
    </row>
    <row r="19" spans="1:6" ht="15" customHeight="1" x14ac:dyDescent="0.25">
      <c r="A19" s="12">
        <v>16</v>
      </c>
      <c r="B19" s="12" t="str">
        <f>INDEX(Products!$B$2:$B$101,MATCH($A19,Products!$A$2:$A$101,0))</f>
        <v>Whiteboard</v>
      </c>
      <c r="C19" s="12" t="str">
        <f>INDEX(Products!$J$2:$J$101,MATCH($A19,Products!$A$2:$A$101,0))</f>
        <v>Office Supplies</v>
      </c>
      <c r="D19" s="12">
        <f>INDEX(Products!$G$2:$G$101,MATCH($A19,Products!$A$2:$A$101,0))</f>
        <v>52</v>
      </c>
      <c r="E19" s="12">
        <f>INDEX(Products!$H$2:$H$101,MATCH($A19,Products!$A$2:$A$101,0))</f>
        <v>64</v>
      </c>
      <c r="F19" s="12" t="str">
        <f>INDEX(Products!$K$2:$K$101,MATCH($A19,Products!$A$2:$A$101,0))</f>
        <v>Summit Hardware</v>
      </c>
    </row>
    <row r="20" spans="1:6" ht="15" customHeight="1" x14ac:dyDescent="0.25">
      <c r="A20" s="12">
        <v>38</v>
      </c>
      <c r="B20" s="12" t="str">
        <f>INDEX(Products!$B$2:$B$101,MATCH($A20,Products!$A$2:$A$101,0))</f>
        <v>Leather Belt</v>
      </c>
      <c r="C20" s="12" t="str">
        <f>INDEX(Products!$J$2:$J$101,MATCH($A20,Products!$A$2:$A$101,0))</f>
        <v>Apparel</v>
      </c>
      <c r="D20" s="12">
        <f>INDEX(Products!$G$2:$G$101,MATCH($A20,Products!$A$2:$A$101,0))</f>
        <v>58</v>
      </c>
      <c r="E20" s="12">
        <f>INDEX(Products!$H$2:$H$101,MATCH($A20,Products!$A$2:$A$101,0))</f>
        <v>72</v>
      </c>
      <c r="F20" s="12" t="str">
        <f>INDEX(Products!$K$2:$K$101,MATCH($A20,Products!$A$2:$A$101,0))</f>
        <v>Acme Manufacturing</v>
      </c>
    </row>
    <row r="22" spans="1:6" ht="19.5" customHeight="1" x14ac:dyDescent="0.25">
      <c r="A22" s="2" t="s">
        <v>163</v>
      </c>
      <c r="B22" s="2"/>
      <c r="C22" s="2"/>
      <c r="D22" s="2"/>
      <c r="E22" s="2"/>
      <c r="F22" s="2"/>
    </row>
    <row r="23" spans="1:6" ht="15" customHeight="1" x14ac:dyDescent="0.25">
      <c r="A23" s="11" t="s">
        <v>162</v>
      </c>
      <c r="B23" s="11" t="s">
        <v>164</v>
      </c>
      <c r="C23" s="11" t="s">
        <v>165</v>
      </c>
      <c r="D23" s="11" t="s">
        <v>166</v>
      </c>
      <c r="E23" s="11" t="s">
        <v>167</v>
      </c>
      <c r="F23" s="11" t="s">
        <v>168</v>
      </c>
    </row>
    <row r="24" spans="1:6" ht="15" customHeight="1" x14ac:dyDescent="0.25">
      <c r="A24" s="12" t="str">
        <f>INDEX(Suppliers!$B$2:$B$13,MATCH(10,Suppliers!$A$2:$A$13,0))</f>
        <v>Summit Hardware</v>
      </c>
      <c r="B24" s="12" t="str">
        <f>INDEX(Suppliers!$C$2:$C$13,MATCH(10,Suppliers!$A$2:$A$13,0))</f>
        <v>Poland</v>
      </c>
      <c r="C24" s="12">
        <f>INDEX(Suppliers!$D$2:$D$13,MATCH(10,Suppliers!$A$2:$A$13,0))</f>
        <v>42</v>
      </c>
      <c r="D24" s="16">
        <f>INDEX(Suppliers!$E$2:$E$13,MATCH(10,Suppliers!$A$2:$A$13,0))</f>
        <v>4.88</v>
      </c>
      <c r="E24" s="12">
        <f>INDEX(Suppliers!$F$2:$F$13,MATCH(10,Suppliers!$A$2:$A$13,0))</f>
        <v>8</v>
      </c>
      <c r="F24" s="12">
        <f>INDEX(Suppliers!$G$2:$G$13,MATCH(10,Suppliers!$A$2:$A$13,0))</f>
        <v>3021</v>
      </c>
    </row>
    <row r="25" spans="1:6" ht="15" customHeight="1" x14ac:dyDescent="0.25">
      <c r="A25" s="12" t="str">
        <f>INDEX(Suppliers!$B$2:$B$13,MATCH(2,Suppliers!$A$2:$A$13,0))</f>
        <v>Global Parts Ltd</v>
      </c>
      <c r="B25" s="12" t="str">
        <f>INDEX(Suppliers!$C$2:$C$13,MATCH(2,Suppliers!$A$2:$A$13,0))</f>
        <v>USA</v>
      </c>
      <c r="C25" s="12">
        <f>INDEX(Suppliers!$D$2:$D$13,MATCH(2,Suppliers!$A$2:$A$13,0))</f>
        <v>25</v>
      </c>
      <c r="D25" s="16">
        <f>INDEX(Suppliers!$E$2:$E$13,MATCH(2,Suppliers!$A$2:$A$13,0))</f>
        <v>4.76</v>
      </c>
      <c r="E25" s="12">
        <f>INDEX(Suppliers!$F$2:$F$13,MATCH(2,Suppliers!$A$2:$A$13,0))</f>
        <v>11</v>
      </c>
      <c r="F25" s="12">
        <f>INDEX(Suppliers!$G$2:$G$13,MATCH(2,Suppliers!$A$2:$A$13,0))</f>
        <v>3607</v>
      </c>
    </row>
    <row r="26" spans="1:6" ht="15" customHeight="1" x14ac:dyDescent="0.25">
      <c r="A26" s="12" t="str">
        <f>INDEX(Suppliers!$B$2:$B$13,MATCH(11,Suppliers!$A$2:$A$13,0))</f>
        <v>Redwood Electronics</v>
      </c>
      <c r="B26" s="12" t="str">
        <f>INDEX(Suppliers!$C$2:$C$13,MATCH(11,Suppliers!$A$2:$A$13,0))</f>
        <v>Taiwan</v>
      </c>
      <c r="C26" s="12">
        <f>INDEX(Suppliers!$D$2:$D$13,MATCH(11,Suppliers!$A$2:$A$13,0))</f>
        <v>6</v>
      </c>
      <c r="D26" s="16">
        <f>INDEX(Suppliers!$E$2:$E$13,MATCH(11,Suppliers!$A$2:$A$13,0))</f>
        <v>4.68</v>
      </c>
      <c r="E26" s="12">
        <f>INDEX(Suppliers!$F$2:$F$13,MATCH(11,Suppliers!$A$2:$A$13,0))</f>
        <v>8</v>
      </c>
      <c r="F26" s="12">
        <f>INDEX(Suppliers!$G$2:$G$13,MATCH(11,Suppliers!$A$2:$A$13,0))</f>
        <v>2411</v>
      </c>
    </row>
    <row r="27" spans="1:6" ht="15" customHeight="1" x14ac:dyDescent="0.25">
      <c r="A27" s="12" t="str">
        <f>INDEX(Suppliers!$B$2:$B$13,MATCH(5,Suppliers!$A$2:$A$13,0))</f>
        <v>Pacific Rim Supply</v>
      </c>
      <c r="B27" s="12" t="str">
        <f>INDEX(Suppliers!$C$2:$C$13,MATCH(5,Suppliers!$A$2:$A$13,0))</f>
        <v>India</v>
      </c>
      <c r="C27" s="12">
        <f>INDEX(Suppliers!$D$2:$D$13,MATCH(5,Suppliers!$A$2:$A$13,0))</f>
        <v>14</v>
      </c>
      <c r="D27" s="16">
        <f>INDEX(Suppliers!$E$2:$E$13,MATCH(5,Suppliers!$A$2:$A$13,0))</f>
        <v>4.3499999999999996</v>
      </c>
      <c r="E27" s="12">
        <f>INDEX(Suppliers!$F$2:$F$13,MATCH(5,Suppliers!$A$2:$A$13,0))</f>
        <v>12</v>
      </c>
      <c r="F27" s="12">
        <f>INDEX(Suppliers!$G$2:$G$13,MATCH(5,Suppliers!$A$2:$A$13,0))</f>
        <v>3359</v>
      </c>
    </row>
    <row r="28" spans="1:6" ht="15" customHeight="1" x14ac:dyDescent="0.25">
      <c r="A28" s="12" t="str">
        <f>INDEX(Suppliers!$B$2:$B$13,MATCH(7,Suppliers!$A$2:$A$13,0))</f>
        <v>BrightPath Goods</v>
      </c>
      <c r="B28" s="12" t="str">
        <f>INDEX(Suppliers!$C$2:$C$13,MATCH(7,Suppliers!$A$2:$A$13,0))</f>
        <v>South Korea</v>
      </c>
      <c r="C28" s="12">
        <f>INDEX(Suppliers!$D$2:$D$13,MATCH(7,Suppliers!$A$2:$A$13,0))</f>
        <v>26</v>
      </c>
      <c r="D28" s="16">
        <f>INDEX(Suppliers!$E$2:$E$13,MATCH(7,Suppliers!$A$2:$A$13,0))</f>
        <v>3.99</v>
      </c>
      <c r="E28" s="12">
        <f>INDEX(Suppliers!$F$2:$F$13,MATCH(7,Suppliers!$A$2:$A$13,0))</f>
        <v>12</v>
      </c>
      <c r="F28" s="12">
        <f>INDEX(Suppliers!$G$2:$G$13,MATCH(7,Suppliers!$A$2:$A$13,0))</f>
        <v>3282</v>
      </c>
    </row>
    <row r="29" spans="1:6" ht="15" customHeight="1" x14ac:dyDescent="0.25">
      <c r="A29" s="12" t="str">
        <f>INDEX(Suppliers!$B$2:$B$13,MATCH(6,Suppliers!$A$2:$A$13,0))</f>
        <v>Ironwood Industries</v>
      </c>
      <c r="B29" s="12" t="str">
        <f>INDEX(Suppliers!$C$2:$C$13,MATCH(6,Suppliers!$A$2:$A$13,0))</f>
        <v>Mexico</v>
      </c>
      <c r="C29" s="12">
        <f>INDEX(Suppliers!$D$2:$D$13,MATCH(6,Suppliers!$A$2:$A$13,0))</f>
        <v>9</v>
      </c>
      <c r="D29" s="16">
        <f>INDEX(Suppliers!$E$2:$E$13,MATCH(6,Suppliers!$A$2:$A$13,0))</f>
        <v>3.71</v>
      </c>
      <c r="E29" s="12">
        <f>INDEX(Suppliers!$F$2:$F$13,MATCH(6,Suppliers!$A$2:$A$13,0))</f>
        <v>3</v>
      </c>
      <c r="F29" s="12">
        <f>INDEX(Suppliers!$G$2:$G$13,MATCH(6,Suppliers!$A$2:$A$13,0))</f>
        <v>872</v>
      </c>
    </row>
    <row r="30" spans="1:6" ht="15" customHeight="1" x14ac:dyDescent="0.25">
      <c r="A30" s="12" t="str">
        <f>INDEX(Suppliers!$B$2:$B$13,MATCH(9,Suppliers!$A$2:$A$13,0))</f>
        <v>Continental Fabrics</v>
      </c>
      <c r="B30" s="12" t="str">
        <f>INDEX(Suppliers!$C$2:$C$13,MATCH(9,Suppliers!$A$2:$A$13,0))</f>
        <v>Turkey</v>
      </c>
      <c r="C30" s="12">
        <f>INDEX(Suppliers!$D$2:$D$13,MATCH(9,Suppliers!$A$2:$A$13,0))</f>
        <v>31</v>
      </c>
      <c r="D30" s="16">
        <f>INDEX(Suppliers!$E$2:$E$13,MATCH(9,Suppliers!$A$2:$A$13,0))</f>
        <v>3.66</v>
      </c>
      <c r="E30" s="12">
        <f>INDEX(Suppliers!$F$2:$F$13,MATCH(9,Suppliers!$A$2:$A$13,0))</f>
        <v>4</v>
      </c>
      <c r="F30" s="12">
        <f>INDEX(Suppliers!$G$2:$G$13,MATCH(9,Suppliers!$A$2:$A$13,0))</f>
        <v>805</v>
      </c>
    </row>
    <row r="31" spans="1:6" ht="15" customHeight="1" x14ac:dyDescent="0.25">
      <c r="A31" s="12" t="str">
        <f>INDEX(Suppliers!$B$2:$B$13,MATCH(4,Suppliers!$A$2:$A$13,0))</f>
        <v>Nordic Components</v>
      </c>
      <c r="B31" s="12" t="str">
        <f>INDEX(Suppliers!$C$2:$C$13,MATCH(4,Suppliers!$A$2:$A$13,0))</f>
        <v>Vietnam</v>
      </c>
      <c r="C31" s="12">
        <f>INDEX(Suppliers!$D$2:$D$13,MATCH(4,Suppliers!$A$2:$A$13,0))</f>
        <v>19</v>
      </c>
      <c r="D31" s="16">
        <f>INDEX(Suppliers!$E$2:$E$13,MATCH(4,Suppliers!$A$2:$A$13,0))</f>
        <v>3.64</v>
      </c>
      <c r="E31" s="12">
        <f>INDEX(Suppliers!$F$2:$F$13,MATCH(4,Suppliers!$A$2:$A$13,0))</f>
        <v>7</v>
      </c>
      <c r="F31" s="12">
        <f>INDEX(Suppliers!$G$2:$G$13,MATCH(4,Suppliers!$A$2:$A$13,0))</f>
        <v>3645</v>
      </c>
    </row>
    <row r="32" spans="1:6" ht="15" customHeight="1" x14ac:dyDescent="0.25">
      <c r="A32" s="12" t="str">
        <f>INDEX(Suppliers!$B$2:$B$13,MATCH(12,Suppliers!$A$2:$A$13,0))</f>
        <v>Falcon Packaging</v>
      </c>
      <c r="B32" s="12" t="str">
        <f>INDEX(Suppliers!$C$2:$C$13,MATCH(12,Suppliers!$A$2:$A$13,0))</f>
        <v>Canada</v>
      </c>
      <c r="C32" s="12">
        <f>INDEX(Suppliers!$D$2:$D$13,MATCH(12,Suppliers!$A$2:$A$13,0))</f>
        <v>41</v>
      </c>
      <c r="D32" s="16">
        <f>INDEX(Suppliers!$E$2:$E$13,MATCH(12,Suppliers!$A$2:$A$13,0))</f>
        <v>3.64</v>
      </c>
      <c r="E32" s="12">
        <f>INDEX(Suppliers!$F$2:$F$13,MATCH(12,Suppliers!$A$2:$A$13,0))</f>
        <v>11</v>
      </c>
      <c r="F32" s="12">
        <f>INDEX(Suppliers!$G$2:$G$13,MATCH(12,Suppliers!$A$2:$A$13,0))</f>
        <v>2662</v>
      </c>
    </row>
    <row r="33" spans="1:6" ht="15" customHeight="1" x14ac:dyDescent="0.25">
      <c r="A33" s="12" t="str">
        <f>INDEX(Suppliers!$B$2:$B$13,MATCH(1,Suppliers!$A$2:$A$13,0))</f>
        <v>Acme Manufacturing</v>
      </c>
      <c r="B33" s="12" t="str">
        <f>INDEX(Suppliers!$C$2:$C$13,MATCH(1,Suppliers!$A$2:$A$13,0))</f>
        <v>China</v>
      </c>
      <c r="C33" s="12">
        <f>INDEX(Suppliers!$D$2:$D$13,MATCH(1,Suppliers!$A$2:$A$13,0))</f>
        <v>20</v>
      </c>
      <c r="D33" s="16">
        <f>INDEX(Suppliers!$E$2:$E$13,MATCH(1,Suppliers!$A$2:$A$13,0))</f>
        <v>3.4</v>
      </c>
      <c r="E33" s="12">
        <f>INDEX(Suppliers!$F$2:$F$13,MATCH(1,Suppliers!$A$2:$A$13,0))</f>
        <v>9</v>
      </c>
      <c r="F33" s="12">
        <f>INDEX(Suppliers!$G$2:$G$13,MATCH(1,Suppliers!$A$2:$A$13,0))</f>
        <v>2613</v>
      </c>
    </row>
    <row r="34" spans="1:6" ht="15" customHeight="1" x14ac:dyDescent="0.25">
      <c r="A34" s="12" t="str">
        <f>INDEX(Suppliers!$B$2:$B$13,MATCH(3,Suppliers!$A$2:$A$13,0))</f>
        <v>EastPoint Textiles</v>
      </c>
      <c r="B34" s="12" t="str">
        <f>INDEX(Suppliers!$C$2:$C$13,MATCH(3,Suppliers!$A$2:$A$13,0))</f>
        <v>Germany</v>
      </c>
      <c r="C34" s="12">
        <f>INDEX(Suppliers!$D$2:$D$13,MATCH(3,Suppliers!$A$2:$A$13,0))</f>
        <v>10</v>
      </c>
      <c r="D34" s="16">
        <f>INDEX(Suppliers!$E$2:$E$13,MATCH(3,Suppliers!$A$2:$A$13,0))</f>
        <v>3.1</v>
      </c>
      <c r="E34" s="12">
        <f>INDEX(Suppliers!$F$2:$F$13,MATCH(3,Suppliers!$A$2:$A$13,0))</f>
        <v>3</v>
      </c>
      <c r="F34" s="12">
        <f>INDEX(Suppliers!$G$2:$G$13,MATCH(3,Suppliers!$A$2:$A$13,0))</f>
        <v>334</v>
      </c>
    </row>
    <row r="35" spans="1:6" ht="15" customHeight="1" x14ac:dyDescent="0.25">
      <c r="A35" s="12" t="str">
        <f>INDEX(Suppliers!$B$2:$B$13,MATCH(8,Suppliers!$A$2:$A$13,0))</f>
        <v>Zenith Materials</v>
      </c>
      <c r="B35" s="12" t="str">
        <f>INDEX(Suppliers!$C$2:$C$13,MATCH(8,Suppliers!$A$2:$A$13,0))</f>
        <v>Italy</v>
      </c>
      <c r="C35" s="12">
        <f>INDEX(Suppliers!$D$2:$D$13,MATCH(8,Suppliers!$A$2:$A$13,0))</f>
        <v>31</v>
      </c>
      <c r="D35" s="16">
        <f>INDEX(Suppliers!$E$2:$E$13,MATCH(8,Suppliers!$A$2:$A$13,0))</f>
        <v>2.94</v>
      </c>
      <c r="E35" s="12">
        <f>INDEX(Suppliers!$F$2:$F$13,MATCH(8,Suppliers!$A$2:$A$13,0))</f>
        <v>12</v>
      </c>
      <c r="F35" s="12">
        <f>INDEX(Suppliers!$G$2:$G$13,MATCH(8,Suppliers!$A$2:$A$13,0))</f>
        <v>2943</v>
      </c>
    </row>
    <row r="37" spans="1:6" ht="19.5" customHeight="1" x14ac:dyDescent="0.25">
      <c r="A37" s="2" t="s">
        <v>169</v>
      </c>
      <c r="B37" s="2"/>
      <c r="C37" s="2"/>
    </row>
    <row r="38" spans="1:6" ht="23.25" customHeight="1" x14ac:dyDescent="0.25">
      <c r="A38" s="11" t="s">
        <v>170</v>
      </c>
      <c r="B38" s="11" t="s">
        <v>171</v>
      </c>
      <c r="C38" s="11" t="s">
        <v>172</v>
      </c>
    </row>
    <row r="39" spans="1:6" ht="15" customHeight="1" x14ac:dyDescent="0.25">
      <c r="A39" s="12" t="s">
        <v>173</v>
      </c>
      <c r="B39" s="12">
        <f>COUNTIF(InventoryTransactions!$D$2:$D$351,$A39)</f>
        <v>169</v>
      </c>
      <c r="C39" s="12">
        <f>SUMIF(InventoryTransactions!$D$2:$D$351,$A39,InventoryTransactions!$E$2:$E$351)</f>
        <v>29554</v>
      </c>
    </row>
    <row r="40" spans="1:6" ht="15" customHeight="1" x14ac:dyDescent="0.25">
      <c r="A40" s="12" t="s">
        <v>174</v>
      </c>
      <c r="B40" s="12">
        <f>COUNTIF(InventoryTransactions!$D$2:$D$351,$A40)</f>
        <v>51</v>
      </c>
      <c r="C40" s="12">
        <f>SUMIF(InventoryTransactions!$D$2:$D$351,$A40,InventoryTransactions!$E$2:$E$351)</f>
        <v>-1161</v>
      </c>
    </row>
    <row r="41" spans="1:6" ht="15" customHeight="1" x14ac:dyDescent="0.25">
      <c r="A41" s="12" t="s">
        <v>175</v>
      </c>
      <c r="B41" s="12">
        <f>COUNTIF(InventoryTransactions!$D$2:$D$351,$A41)</f>
        <v>0</v>
      </c>
      <c r="C41" s="12">
        <f>SUMIF(InventoryTransactions!$D$2:$D$351,$A41,InventoryTransactions!$E$2:$E$351)</f>
        <v>0</v>
      </c>
    </row>
    <row r="42" spans="1:6" ht="15" customHeight="1" x14ac:dyDescent="0.25">
      <c r="A42" s="12" t="s">
        <v>176</v>
      </c>
      <c r="B42" s="12">
        <f>COUNTIF(InventoryTransactions!$D$2:$D$351,$A42)</f>
        <v>68</v>
      </c>
      <c r="C42" s="12">
        <f>SUMIF(InventoryTransactions!$D$2:$D$351,$A42,InventoryTransactions!$E$2:$E$351)</f>
        <v>-1554</v>
      </c>
    </row>
    <row r="43" spans="1:6" ht="15" customHeight="1" x14ac:dyDescent="0.25">
      <c r="A43" s="12" t="s">
        <v>177</v>
      </c>
      <c r="B43" s="12">
        <f>COUNTIF(InventoryTransactions!$D$2:$D$351,$A43)</f>
        <v>62</v>
      </c>
      <c r="C43" s="12">
        <f>SUMIF(InventoryTransactions!$D$2:$D$351,$A43,InventoryTransactions!$E$2:$E$351)</f>
        <v>-1317</v>
      </c>
    </row>
    <row r="45" spans="1:6" ht="19.5" customHeight="1" x14ac:dyDescent="0.25">
      <c r="A45" s="2" t="s">
        <v>178</v>
      </c>
      <c r="B45" s="2"/>
      <c r="C45" s="2"/>
      <c r="D45" s="2"/>
    </row>
    <row r="46" spans="1:6" ht="23.25" customHeight="1" x14ac:dyDescent="0.25">
      <c r="A46" s="11" t="s">
        <v>11</v>
      </c>
      <c r="B46" s="11" t="s">
        <v>120</v>
      </c>
      <c r="C46" s="11" t="s">
        <v>179</v>
      </c>
      <c r="D46" s="11" t="s">
        <v>180</v>
      </c>
    </row>
    <row r="47" spans="1:6" ht="15" customHeight="1" x14ac:dyDescent="0.25">
      <c r="A47" s="12" t="str">
        <f>INDEX(Categories!$B$2:$B$11,MATCH("Sporting Goods",Categories!$B$2:$B$11,0))</f>
        <v>Sporting Goods</v>
      </c>
      <c r="B47" s="13">
        <f>INDEX(Categories!$F$2:$F$11,MATCH($A47,Categories!$B$2:$B$11,0))</f>
        <v>517487.33000000007</v>
      </c>
      <c r="C47" s="12">
        <f>INDEX(Categories!$D$2:$D$11,MATCH($A47,Categories!$B$2:$B$11,0))</f>
        <v>757</v>
      </c>
      <c r="D47" s="15">
        <f>IFERROR(C47/(SUMIF(Products!$J$2:$J$101,$A47,Products!$G$2:$G$101)+C47),0)</f>
        <v>0.21366073948631104</v>
      </c>
    </row>
    <row r="48" spans="1:6" ht="15" customHeight="1" x14ac:dyDescent="0.25">
      <c r="A48" s="12" t="str">
        <f>INDEX(Categories!$B$2:$B$11,MATCH("Apparel",Categories!$B$2:$B$11,0))</f>
        <v>Apparel</v>
      </c>
      <c r="B48" s="13">
        <f>INDEX(Categories!$F$2:$F$11,MATCH($A48,Categories!$B$2:$B$11,0))</f>
        <v>342078.08999999997</v>
      </c>
      <c r="C48" s="12">
        <f>INDEX(Categories!$D$2:$D$11,MATCH($A48,Categories!$B$2:$B$11,0))</f>
        <v>794</v>
      </c>
      <c r="D48" s="15">
        <f>IFERROR(C48/(SUMIF(Products!$J$2:$J$101,$A48,Products!$G$2:$G$101)+C48),0)</f>
        <v>0.28747284576393917</v>
      </c>
    </row>
    <row r="49" spans="1:4" ht="15" customHeight="1" x14ac:dyDescent="0.25">
      <c r="A49" s="12" t="str">
        <f>INDEX(Categories!$B$2:$B$11,MATCH("Office Supplies",Categories!$B$2:$B$11,0))</f>
        <v>Office Supplies</v>
      </c>
      <c r="B49" s="13">
        <f>INDEX(Categories!$F$2:$F$11,MATCH($A49,Categories!$B$2:$B$11,0))</f>
        <v>494090.54999999993</v>
      </c>
      <c r="C49" s="12">
        <f>INDEX(Categories!$D$2:$D$11,MATCH($A49,Categories!$B$2:$B$11,0))</f>
        <v>666</v>
      </c>
      <c r="D49" s="15">
        <f>IFERROR(C49/(SUMIF(Products!$J$2:$J$101,$A49,Products!$G$2:$G$101)+C49),0)</f>
        <v>0.19170984455958548</v>
      </c>
    </row>
    <row r="50" spans="1:4" ht="15" customHeight="1" x14ac:dyDescent="0.25">
      <c r="A50" s="12" t="str">
        <f>INDEX(Categories!$B$2:$B$11,MATCH("Electronics",Categories!$B$2:$B$11,0))</f>
        <v>Electronics</v>
      </c>
      <c r="B50" s="13">
        <f>INDEX(Categories!$F$2:$F$11,MATCH($A50,Categories!$B$2:$B$11,0))</f>
        <v>474429.85</v>
      </c>
      <c r="C50" s="12">
        <f>INDEX(Categories!$D$2:$D$11,MATCH($A50,Categories!$B$2:$B$11,0))</f>
        <v>711</v>
      </c>
      <c r="D50" s="15">
        <f>IFERROR(C50/(SUMIF(Products!$J$2:$J$101,$A50,Products!$G$2:$G$101)+C50),0)</f>
        <v>0.20454545454545456</v>
      </c>
    </row>
    <row r="51" spans="1:4" ht="15" customHeight="1" x14ac:dyDescent="0.25">
      <c r="A51" s="12" t="str">
        <f>INDEX(Categories!$B$2:$B$11,MATCH("Groceries",Categories!$B$2:$B$11,0))</f>
        <v>Groceries</v>
      </c>
      <c r="B51" s="13">
        <f>INDEX(Categories!$F$2:$F$11,MATCH($A51,Categories!$B$2:$B$11,0))</f>
        <v>343753.31</v>
      </c>
      <c r="C51" s="12">
        <f>INDEX(Categories!$D$2:$D$11,MATCH($A51,Categories!$B$2:$B$11,0))</f>
        <v>710</v>
      </c>
      <c r="D51" s="15">
        <f>IFERROR(C51/(SUMIF(Products!$J$2:$J$101,$A51,Products!$G$2:$G$101)+C51),0)</f>
        <v>0.22001859312054539</v>
      </c>
    </row>
    <row r="52" spans="1:4" ht="15" customHeight="1" x14ac:dyDescent="0.25">
      <c r="A52" s="12" t="str">
        <f>INDEX(Categories!$B$2:$B$11,MATCH("Health &amp; Beauty",Categories!$B$2:$B$11,0))</f>
        <v>Health &amp; Beauty</v>
      </c>
      <c r="B52" s="13">
        <f>INDEX(Categories!$F$2:$F$11,MATCH($A52,Categories!$B$2:$B$11,0))</f>
        <v>466264.94</v>
      </c>
      <c r="C52" s="12">
        <f>INDEX(Categories!$D$2:$D$11,MATCH($A52,Categories!$B$2:$B$11,0))</f>
        <v>638</v>
      </c>
      <c r="D52" s="15">
        <f>IFERROR(C52/(SUMIF(Products!$J$2:$J$101,$A52,Products!$G$2:$G$101)+C52),0)</f>
        <v>0.17493830545653963</v>
      </c>
    </row>
    <row r="53" spans="1:4" ht="15" customHeight="1" x14ac:dyDescent="0.25">
      <c r="A53" s="12" t="str">
        <f>INDEX(Categories!$B$2:$B$11,MATCH("Automotive Parts",Categories!$B$2:$B$11,0))</f>
        <v>Automotive Parts</v>
      </c>
      <c r="B53" s="13">
        <f>INDEX(Categories!$F$2:$F$11,MATCH($A53,Categories!$B$2:$B$11,0))</f>
        <v>359871.16</v>
      </c>
      <c r="C53" s="12">
        <f>INDEX(Categories!$D$2:$D$11,MATCH($A53,Categories!$B$2:$B$11,0))</f>
        <v>654</v>
      </c>
      <c r="D53" s="15">
        <f>IFERROR(C53/(SUMIF(Products!$J$2:$J$101,$A53,Products!$G$2:$G$101)+C53),0)</f>
        <v>0.21219987021414666</v>
      </c>
    </row>
    <row r="54" spans="1:4" ht="15" customHeight="1" x14ac:dyDescent="0.25">
      <c r="A54" s="12" t="str">
        <f>INDEX(Categories!$B$2:$B$11,MATCH("Furniture",Categories!$B$2:$B$11,0))</f>
        <v>Furniture</v>
      </c>
      <c r="B54" s="13">
        <f>INDEX(Categories!$F$2:$F$11,MATCH($A54,Categories!$B$2:$B$11,0))</f>
        <v>374937.3</v>
      </c>
      <c r="C54" s="12">
        <f>INDEX(Categories!$D$2:$D$11,MATCH($A54,Categories!$B$2:$B$11,0))</f>
        <v>621</v>
      </c>
      <c r="D54" s="15">
        <f>IFERROR(C54/(SUMIF(Products!$J$2:$J$101,$A54,Products!$G$2:$G$101)+C54),0)</f>
        <v>0.20583360954590654</v>
      </c>
    </row>
    <row r="55" spans="1:4" ht="15" customHeight="1" x14ac:dyDescent="0.25">
      <c r="A55" s="12" t="str">
        <f>INDEX(Categories!$B$2:$B$11,MATCH("Home &amp; Kitchen",Categories!$B$2:$B$11,0))</f>
        <v>Home &amp; Kitchen</v>
      </c>
      <c r="B55" s="13">
        <f>INDEX(Categories!$F$2:$F$11,MATCH($A55,Categories!$B$2:$B$11,0))</f>
        <v>246239.51</v>
      </c>
      <c r="C55" s="12">
        <f>INDEX(Categories!$D$2:$D$11,MATCH($A55,Categories!$B$2:$B$11,0))</f>
        <v>710</v>
      </c>
      <c r="D55" s="15">
        <f>IFERROR(C55/(SUMIF(Products!$J$2:$J$101,$A55,Products!$G$2:$G$101)+C55),0)</f>
        <v>0.22910616327847694</v>
      </c>
    </row>
    <row r="56" spans="1:4" ht="15" customHeight="1" x14ac:dyDescent="0.25">
      <c r="A56" s="12" t="str">
        <f>INDEX(Categories!$B$2:$B$11,MATCH("Toys &amp; Games",Categories!$B$2:$B$11,0))</f>
        <v>Toys &amp; Games</v>
      </c>
      <c r="B56" s="13">
        <f>INDEX(Categories!$F$2:$F$11,MATCH($A56,Categories!$B$2:$B$11,0))</f>
        <v>199556.26</v>
      </c>
      <c r="C56" s="12">
        <f>INDEX(Categories!$D$2:$D$11,MATCH($A56,Categories!$B$2:$B$11,0))</f>
        <v>641</v>
      </c>
      <c r="D56" s="15">
        <f>IFERROR(C56/(SUMIF(Products!$J$2:$J$101,$A56,Products!$G$2:$G$101)+C56),0)</f>
        <v>0.22187608168916581</v>
      </c>
    </row>
  </sheetData>
  <mergeCells count="23">
    <mergeCell ref="A22:F22"/>
    <mergeCell ref="A37:C37"/>
    <mergeCell ref="A45:D45"/>
    <mergeCell ref="A9:B9"/>
    <mergeCell ref="C9:D9"/>
    <mergeCell ref="E9:F9"/>
    <mergeCell ref="G9:H9"/>
    <mergeCell ref="A11:F11"/>
    <mergeCell ref="A6:B6"/>
    <mergeCell ref="C6:D6"/>
    <mergeCell ref="E6:F6"/>
    <mergeCell ref="G6:H6"/>
    <mergeCell ref="A8:B8"/>
    <mergeCell ref="C8:D8"/>
    <mergeCell ref="E8:F8"/>
    <mergeCell ref="G8:H8"/>
    <mergeCell ref="A1:H1"/>
    <mergeCell ref="A2:H2"/>
    <mergeCell ref="A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G32"/>
  <sheetViews>
    <sheetView zoomScaleNormal="100" workbookViewId="0">
      <pane ySplit="1" topLeftCell="A13" activePane="bottomLeft" state="frozen"/>
      <selection activeCell="F50" sqref="F50"/>
      <selection pane="bottomLeft" activeCell="A13" sqref="A13"/>
    </sheetView>
  </sheetViews>
  <sheetFormatPr defaultColWidth="8.7109375" defaultRowHeight="15" x14ac:dyDescent="0.25"/>
  <cols>
    <col min="1" max="1" width="48" style="10" bestFit="1" customWidth="1"/>
    <col min="2" max="2" width="22.42578125" style="10" bestFit="1" customWidth="1"/>
    <col min="3" max="3" width="14" style="10" customWidth="1"/>
    <col min="4" max="4" width="15.28515625" style="10" bestFit="1" customWidth="1"/>
    <col min="5" max="5" width="21.140625" style="10" bestFit="1" customWidth="1"/>
    <col min="6" max="6" width="20.85546875" style="10" bestFit="1" customWidth="1"/>
    <col min="7" max="7" width="24" style="10" bestFit="1" customWidth="1"/>
  </cols>
  <sheetData>
    <row r="1" spans="1:7" ht="15" customHeight="1" x14ac:dyDescent="0.25">
      <c r="A1" s="39" t="s">
        <v>1480</v>
      </c>
      <c r="B1" s="39" t="s">
        <v>1486</v>
      </c>
      <c r="C1" s="39" t="s">
        <v>181</v>
      </c>
      <c r="D1" s="39" t="s">
        <v>20</v>
      </c>
      <c r="E1" s="39" t="s">
        <v>182</v>
      </c>
      <c r="F1" s="39" t="s">
        <v>183</v>
      </c>
      <c r="G1" s="39" t="s">
        <v>184</v>
      </c>
    </row>
    <row r="2" spans="1:7" ht="15" customHeight="1" x14ac:dyDescent="0.25">
      <c r="A2" s="10" t="s">
        <v>1481</v>
      </c>
      <c r="B2" s="10" t="s">
        <v>185</v>
      </c>
      <c r="C2" s="17">
        <v>500000</v>
      </c>
      <c r="D2" s="10">
        <f>COUNTIF(Employees!$E$2:$E$37,A2)</f>
        <v>0</v>
      </c>
      <c r="E2" s="17">
        <f>SUMIF(Employees!$E$2:$E$37,A2,Employees!$I$2:$I$37)</f>
        <v>0</v>
      </c>
      <c r="F2" s="17">
        <f t="shared" ref="F2:F8" si="0">C2-E2</f>
        <v>500000</v>
      </c>
      <c r="G2" s="18">
        <f t="shared" ref="G2:G8" si="1">IFERROR(E2/C2,0)</f>
        <v>0</v>
      </c>
    </row>
    <row r="3" spans="1:7" ht="15" customHeight="1" x14ac:dyDescent="0.25">
      <c r="A3" s="10">
        <v>2</v>
      </c>
      <c r="B3" s="10" t="s">
        <v>186</v>
      </c>
      <c r="C3" s="17">
        <v>250000</v>
      </c>
      <c r="D3" s="10">
        <f>COUNTIF(Employees!$E$2:$E$37,A3)</f>
        <v>4</v>
      </c>
      <c r="E3" s="17">
        <f>SUMIF(Employees!$E$2:$E$37,A3,Employees!$I$2:$I$37)</f>
        <v>355891.84</v>
      </c>
      <c r="F3" s="17">
        <f t="shared" si="0"/>
        <v>-105891.84000000003</v>
      </c>
      <c r="G3" s="18">
        <f t="shared" si="1"/>
        <v>1.4235673600000001</v>
      </c>
    </row>
    <row r="4" spans="1:7" ht="15" customHeight="1" x14ac:dyDescent="0.25">
      <c r="A4" s="10">
        <v>3</v>
      </c>
      <c r="B4" s="10" t="s">
        <v>187</v>
      </c>
      <c r="C4" s="17">
        <v>300000</v>
      </c>
      <c r="D4" s="10">
        <f>COUNTIF(Employees!$E$2:$E$37,A4)</f>
        <v>6</v>
      </c>
      <c r="E4" s="17">
        <f>SUMIF(Employees!$E$2:$E$37,A4,Employees!$I$2:$I$37)</f>
        <v>458531.52</v>
      </c>
      <c r="F4" s="17">
        <f t="shared" si="0"/>
        <v>-158531.52000000002</v>
      </c>
      <c r="G4" s="18">
        <f t="shared" si="1"/>
        <v>1.5284384</v>
      </c>
    </row>
    <row r="5" spans="1:7" ht="15" customHeight="1" x14ac:dyDescent="0.25">
      <c r="A5" s="10">
        <v>4</v>
      </c>
      <c r="B5" s="10" t="s">
        <v>188</v>
      </c>
      <c r="C5" s="17">
        <v>450000</v>
      </c>
      <c r="D5" s="10">
        <f>COUNTIF(Employees!$E$2:$E$37,A5)</f>
        <v>4</v>
      </c>
      <c r="E5" s="17">
        <f>SUMIF(Employees!$E$2:$E$37,A5,Employees!$I$2:$I$37)</f>
        <v>338462.71999999997</v>
      </c>
      <c r="F5" s="17">
        <f t="shared" si="0"/>
        <v>111537.28000000003</v>
      </c>
      <c r="G5" s="18">
        <f t="shared" si="1"/>
        <v>0.75213937777777773</v>
      </c>
    </row>
    <row r="6" spans="1:7" ht="15" customHeight="1" x14ac:dyDescent="0.25">
      <c r="A6" s="10">
        <v>5</v>
      </c>
      <c r="B6" s="10" t="s">
        <v>189</v>
      </c>
      <c r="C6" s="17">
        <v>150000</v>
      </c>
      <c r="D6" s="10">
        <f>COUNTIF(Employees!$E$2:$E$37,A6)</f>
        <v>6</v>
      </c>
      <c r="E6" s="17">
        <f>SUMIF(Employees!$E$2:$E$37,A6,Employees!$I$2:$I$37)</f>
        <v>477814.43</v>
      </c>
      <c r="F6" s="17">
        <f t="shared" si="0"/>
        <v>-327814.43</v>
      </c>
      <c r="G6" s="18">
        <f t="shared" si="1"/>
        <v>3.1854295333333331</v>
      </c>
    </row>
    <row r="7" spans="1:7" ht="15" customHeight="1" x14ac:dyDescent="0.25">
      <c r="A7" s="10">
        <v>6</v>
      </c>
      <c r="B7" s="10" t="s">
        <v>190</v>
      </c>
      <c r="C7" s="17">
        <v>350000</v>
      </c>
      <c r="D7" s="10">
        <f>COUNTIF(Employees!$E$2:$E$37,A7)</f>
        <v>6</v>
      </c>
      <c r="E7" s="17">
        <f>SUMIF(Employees!$E$2:$E$37,A7,Employees!$I$2:$I$37)</f>
        <v>431307.33</v>
      </c>
      <c r="F7" s="17">
        <f t="shared" si="0"/>
        <v>-81307.330000000016</v>
      </c>
      <c r="G7" s="18">
        <f t="shared" si="1"/>
        <v>1.2323066571428571</v>
      </c>
    </row>
    <row r="8" spans="1:7" ht="15" customHeight="1" x14ac:dyDescent="0.25">
      <c r="A8" s="10">
        <v>7</v>
      </c>
      <c r="B8" s="10" t="s">
        <v>191</v>
      </c>
      <c r="C8" s="17">
        <v>200000</v>
      </c>
      <c r="D8" s="10">
        <f>COUNTIF(Employees!$E$2:$E$37,A8)</f>
        <v>6</v>
      </c>
      <c r="E8" s="17">
        <f>SUMIF(Employees!$E$2:$E$37,A8,Employees!$I$2:$I$37)</f>
        <v>508330.64</v>
      </c>
      <c r="F8" s="17">
        <f t="shared" si="0"/>
        <v>-308330.64</v>
      </c>
      <c r="G8" s="18">
        <f t="shared" si="1"/>
        <v>2.5416532000000003</v>
      </c>
    </row>
    <row r="12" spans="1:7" x14ac:dyDescent="0.25">
      <c r="A12" s="26" t="s">
        <v>1482</v>
      </c>
      <c r="B12" s="26"/>
    </row>
    <row r="13" spans="1:7" x14ac:dyDescent="0.25">
      <c r="A13" s="26"/>
      <c r="B13" s="26"/>
    </row>
    <row r="14" spans="1:7" x14ac:dyDescent="0.25">
      <c r="A14" s="26"/>
      <c r="B14" s="26"/>
    </row>
    <row r="15" spans="1:7" x14ac:dyDescent="0.25">
      <c r="A15" s="26"/>
      <c r="B15" s="26"/>
    </row>
    <row r="16" spans="1:7" x14ac:dyDescent="0.25">
      <c r="A16" s="26"/>
      <c r="B16" s="26"/>
    </row>
    <row r="17" spans="1:2" x14ac:dyDescent="0.25">
      <c r="A17" s="26"/>
      <c r="B17" s="26"/>
    </row>
    <row r="18" spans="1:2" x14ac:dyDescent="0.25">
      <c r="A18" s="26"/>
      <c r="B18" s="26"/>
    </row>
    <row r="19" spans="1:2" x14ac:dyDescent="0.25">
      <c r="A19" s="26"/>
      <c r="B19" s="26"/>
    </row>
    <row r="20" spans="1:2" x14ac:dyDescent="0.25">
      <c r="A20" s="26"/>
      <c r="B20" s="26"/>
    </row>
    <row r="21" spans="1:2" x14ac:dyDescent="0.25">
      <c r="A21" s="26"/>
      <c r="B21" s="26"/>
    </row>
    <row r="22" spans="1:2" x14ac:dyDescent="0.25">
      <c r="A22" s="26"/>
      <c r="B22" s="26"/>
    </row>
    <row r="23" spans="1:2" x14ac:dyDescent="0.25">
      <c r="A23" s="26"/>
      <c r="B23" s="26"/>
    </row>
    <row r="24" spans="1:2" x14ac:dyDescent="0.25">
      <c r="A24" s="26"/>
      <c r="B24" s="26"/>
    </row>
    <row r="25" spans="1:2" x14ac:dyDescent="0.25">
      <c r="A25" s="26"/>
      <c r="B25" s="26"/>
    </row>
    <row r="26" spans="1:2" x14ac:dyDescent="0.25">
      <c r="A26" s="26"/>
      <c r="B26" s="26"/>
    </row>
    <row r="27" spans="1:2" x14ac:dyDescent="0.25">
      <c r="A27" s="26"/>
      <c r="B27" s="26"/>
    </row>
    <row r="28" spans="1:2" x14ac:dyDescent="0.25">
      <c r="A28" s="26"/>
      <c r="B28" s="26"/>
    </row>
    <row r="29" spans="1:2" x14ac:dyDescent="0.25">
      <c r="A29" s="26"/>
      <c r="B29" s="26"/>
    </row>
    <row r="30" spans="1:2" x14ac:dyDescent="0.25">
      <c r="A30" s="26"/>
      <c r="B30" s="26"/>
    </row>
    <row r="31" spans="1:2" x14ac:dyDescent="0.25">
      <c r="A31" s="26"/>
      <c r="B31" s="26"/>
    </row>
    <row r="32" spans="1:2" x14ac:dyDescent="0.25">
      <c r="A32" s="27"/>
      <c r="B32" s="27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P37"/>
  <sheetViews>
    <sheetView topLeftCell="F1" zoomScaleNormal="100" workbookViewId="0">
      <pane ySplit="1" topLeftCell="A2" activePane="bottomLeft" state="frozen"/>
      <selection pane="bottomLeft" activeCell="J1" sqref="J1"/>
    </sheetView>
  </sheetViews>
  <sheetFormatPr defaultColWidth="8.7109375" defaultRowHeight="15" x14ac:dyDescent="0.25"/>
  <cols>
    <col min="1" max="1" width="17.28515625" style="10" bestFit="1" customWidth="1"/>
    <col min="2" max="2" width="15" style="10" bestFit="1" customWidth="1"/>
    <col min="3" max="3" width="12.42578125" style="10" customWidth="1"/>
    <col min="4" max="4" width="34.140625" style="10" bestFit="1" customWidth="1"/>
    <col min="5" max="5" width="16.28515625" style="10" customWidth="1"/>
    <col min="6" max="6" width="14" style="10" customWidth="1"/>
    <col min="7" max="7" width="22" style="10" customWidth="1"/>
    <col min="8" max="8" width="12" style="10" customWidth="1"/>
    <col min="9" max="9" width="11.140625" style="10" bestFit="1" customWidth="1"/>
    <col min="10" max="10" width="14" style="10" bestFit="1" customWidth="1"/>
    <col min="11" max="11" width="22.28515625" style="10" bestFit="1" customWidth="1"/>
    <col min="12" max="12" width="16.28515625" style="10" customWidth="1"/>
    <col min="13" max="13" width="20" style="10" customWidth="1"/>
    <col min="14" max="14" width="15.85546875" style="10" customWidth="1"/>
    <col min="15" max="15" width="17.28515625" style="10" customWidth="1"/>
    <col min="16" max="16" width="21.28515625" style="10" customWidth="1"/>
  </cols>
  <sheetData>
    <row r="1" spans="1:16" ht="23.25" customHeight="1" x14ac:dyDescent="0.25">
      <c r="A1" s="39" t="s">
        <v>1488</v>
      </c>
      <c r="B1" s="39" t="s">
        <v>1487</v>
      </c>
      <c r="C1" s="39" t="s">
        <v>1489</v>
      </c>
      <c r="D1" s="39" t="s">
        <v>192</v>
      </c>
      <c r="E1" s="39" t="s">
        <v>1490</v>
      </c>
      <c r="F1" s="39" t="s">
        <v>1491</v>
      </c>
      <c r="G1" s="39" t="s">
        <v>1492</v>
      </c>
      <c r="H1" s="39" t="s">
        <v>1493</v>
      </c>
      <c r="I1" s="39" t="s">
        <v>193</v>
      </c>
      <c r="J1" s="39" t="s">
        <v>194</v>
      </c>
      <c r="K1" s="39" t="s">
        <v>195</v>
      </c>
      <c r="L1" s="39" t="s">
        <v>196</v>
      </c>
      <c r="M1" s="39" t="s">
        <v>148</v>
      </c>
      <c r="N1" s="39" t="s">
        <v>149</v>
      </c>
      <c r="O1" s="39" t="s">
        <v>55</v>
      </c>
      <c r="P1" s="39" t="s">
        <v>56</v>
      </c>
    </row>
    <row r="2" spans="1:16" ht="15" customHeight="1" x14ac:dyDescent="0.25">
      <c r="A2" s="10">
        <v>1</v>
      </c>
      <c r="B2" s="10" t="s">
        <v>197</v>
      </c>
      <c r="C2" s="10" t="s">
        <v>198</v>
      </c>
      <c r="D2" s="10" t="s">
        <v>199</v>
      </c>
      <c r="E2" s="10">
        <v>1</v>
      </c>
      <c r="G2" s="10" t="s">
        <v>200</v>
      </c>
      <c r="H2" s="10" t="s">
        <v>201</v>
      </c>
      <c r="I2" s="19">
        <v>118369.77</v>
      </c>
      <c r="J2" s="10" t="s">
        <v>37</v>
      </c>
      <c r="K2" s="10" t="str">
        <f>IFERROR(INDEX(Departments!$B$2:$B$8,MATCH(E2,Departments!$A$2:$A$8,0)),"Unassigned")</f>
        <v>Unassigned</v>
      </c>
      <c r="L2" s="10">
        <f t="shared" ref="L2:L37" ca="1" si="0">ROUND((TODAY()-H2)/365.25,1)</f>
        <v>11.5</v>
      </c>
      <c r="M2" s="10" t="str">
        <f t="shared" ref="M2:M37" si="1">IFERROR(INDEX($B$2:$B$37,MATCH(F2,$A$2:$A$37,0))&amp;" "&amp;INDEX($C$2:$C$37,MATCH(F2,$A$2:$A$37,0)),"(Top Level)")</f>
        <v>(Top Level)</v>
      </c>
      <c r="N2" s="10">
        <f t="shared" ref="N2:N37" si="2">COUNTIF($F$2:$F$37,A2)</f>
        <v>3</v>
      </c>
      <c r="O2" s="10">
        <f>COUNTIF(Orders!$C$2:$C$401,A2)</f>
        <v>89</v>
      </c>
      <c r="P2" s="19">
        <f>SUMIF(Orders!$C$2:$C$401,A2,Orders!$H$2:$H$401)</f>
        <v>377581.8355000001</v>
      </c>
    </row>
    <row r="3" spans="1:16" ht="15" customHeight="1" x14ac:dyDescent="0.25">
      <c r="A3" s="10">
        <v>2</v>
      </c>
      <c r="B3" s="10" t="s">
        <v>202</v>
      </c>
      <c r="C3" s="10" t="s">
        <v>203</v>
      </c>
      <c r="D3" s="10" t="s">
        <v>204</v>
      </c>
      <c r="E3" s="10">
        <v>2</v>
      </c>
      <c r="G3" s="10" t="s">
        <v>205</v>
      </c>
      <c r="H3" s="10" t="s">
        <v>206</v>
      </c>
      <c r="I3" s="19">
        <v>115451.48</v>
      </c>
      <c r="J3" s="10" t="s">
        <v>39</v>
      </c>
      <c r="K3" s="10" t="str">
        <f>IFERROR(INDEX(Departments!$B$2:$B$8,MATCH(E3,Departments!$A$2:$A$8,0)),"Unassigned")</f>
        <v>Marketing</v>
      </c>
      <c r="L3" s="10">
        <f t="shared" ca="1" si="0"/>
        <v>11.1</v>
      </c>
      <c r="M3" s="10" t="str">
        <f t="shared" si="1"/>
        <v>(Top Level)</v>
      </c>
      <c r="N3" s="10">
        <f t="shared" si="2"/>
        <v>3</v>
      </c>
      <c r="O3" s="10">
        <f>COUNTIF(Orders!$C$2:$C$401,A3)</f>
        <v>0</v>
      </c>
      <c r="P3" s="19">
        <f>SUMIF(Orders!$C$2:$C$401,A3,Orders!$H$2:$H$401)</f>
        <v>0</v>
      </c>
    </row>
    <row r="4" spans="1:16" ht="15" customHeight="1" x14ac:dyDescent="0.25">
      <c r="A4" s="10">
        <v>3</v>
      </c>
      <c r="B4" s="10" t="s">
        <v>207</v>
      </c>
      <c r="C4" s="10" t="s">
        <v>208</v>
      </c>
      <c r="D4" s="10" t="s">
        <v>209</v>
      </c>
      <c r="E4" s="10">
        <v>3</v>
      </c>
      <c r="G4" s="10" t="s">
        <v>210</v>
      </c>
      <c r="H4" s="10" t="s">
        <v>211</v>
      </c>
      <c r="I4" s="19">
        <v>86430.22</v>
      </c>
      <c r="J4" s="10" t="s">
        <v>36</v>
      </c>
      <c r="K4" s="10" t="str">
        <f>IFERROR(INDEX(Departments!$B$2:$B$8,MATCH(E4,Departments!$A$2:$A$8,0)),"Unassigned")</f>
        <v>Finance</v>
      </c>
      <c r="L4" s="10">
        <f t="shared" ca="1" si="0"/>
        <v>9.3000000000000007</v>
      </c>
      <c r="M4" s="10" t="str">
        <f t="shared" si="1"/>
        <v>(Top Level)</v>
      </c>
      <c r="N4" s="10">
        <f t="shared" si="2"/>
        <v>5</v>
      </c>
      <c r="O4" s="10">
        <f>COUNTIF(Orders!$C$2:$C$401,A4)</f>
        <v>0</v>
      </c>
      <c r="P4" s="19">
        <f>SUMIF(Orders!$C$2:$C$401,A4,Orders!$H$2:$H$401)</f>
        <v>0</v>
      </c>
    </row>
    <row r="5" spans="1:16" ht="15" customHeight="1" x14ac:dyDescent="0.25">
      <c r="A5" s="10">
        <v>4</v>
      </c>
      <c r="B5" s="10" t="s">
        <v>212</v>
      </c>
      <c r="C5" s="10" t="s">
        <v>213</v>
      </c>
      <c r="D5" s="10" t="s">
        <v>214</v>
      </c>
      <c r="E5" s="10">
        <v>4</v>
      </c>
      <c r="G5" s="10" t="s">
        <v>215</v>
      </c>
      <c r="H5" s="10" t="s">
        <v>216</v>
      </c>
      <c r="I5" s="19">
        <v>112090.84</v>
      </c>
      <c r="J5" s="10" t="s">
        <v>39</v>
      </c>
      <c r="K5" s="10" t="str">
        <f>IFERROR(INDEX(Departments!$B$2:$B$8,MATCH(E5,Departments!$A$2:$A$8,0)),"Unassigned")</f>
        <v>Operations</v>
      </c>
      <c r="L5" s="10">
        <f t="shared" ca="1" si="0"/>
        <v>8.9</v>
      </c>
      <c r="M5" s="10" t="str">
        <f t="shared" si="1"/>
        <v>(Top Level)</v>
      </c>
      <c r="N5" s="10">
        <f t="shared" si="2"/>
        <v>3</v>
      </c>
      <c r="O5" s="10">
        <f>COUNTIF(Orders!$C$2:$C$401,A5)</f>
        <v>0</v>
      </c>
      <c r="P5" s="19">
        <f>SUMIF(Orders!$C$2:$C$401,A5,Orders!$H$2:$H$401)</f>
        <v>0</v>
      </c>
    </row>
    <row r="6" spans="1:16" ht="15" customHeight="1" x14ac:dyDescent="0.25">
      <c r="A6" s="10">
        <v>5</v>
      </c>
      <c r="B6" s="10" t="s">
        <v>212</v>
      </c>
      <c r="C6" s="10" t="s">
        <v>217</v>
      </c>
      <c r="D6" s="10" t="s">
        <v>218</v>
      </c>
      <c r="E6" s="10">
        <v>5</v>
      </c>
      <c r="G6" s="10" t="s">
        <v>219</v>
      </c>
      <c r="H6" s="10" t="s">
        <v>220</v>
      </c>
      <c r="I6" s="19">
        <v>94919.83</v>
      </c>
      <c r="J6" s="10" t="s">
        <v>39</v>
      </c>
      <c r="K6" s="10" t="str">
        <f>IFERROR(INDEX(Departments!$B$2:$B$8,MATCH(E6,Departments!$A$2:$A$8,0)),"Unassigned")</f>
        <v>Human Resources</v>
      </c>
      <c r="L6" s="10">
        <f t="shared" ca="1" si="0"/>
        <v>9.3000000000000007</v>
      </c>
      <c r="M6" s="10" t="str">
        <f t="shared" si="1"/>
        <v>(Top Level)</v>
      </c>
      <c r="N6" s="10">
        <f t="shared" si="2"/>
        <v>5</v>
      </c>
      <c r="O6" s="10">
        <f>COUNTIF(Orders!$C$2:$C$401,A6)</f>
        <v>0</v>
      </c>
      <c r="P6" s="19">
        <f>SUMIF(Orders!$C$2:$C$401,A6,Orders!$H$2:$H$401)</f>
        <v>0</v>
      </c>
    </row>
    <row r="7" spans="1:16" ht="15" customHeight="1" x14ac:dyDescent="0.25">
      <c r="A7" s="10">
        <v>6</v>
      </c>
      <c r="B7" s="10" t="s">
        <v>221</v>
      </c>
      <c r="C7" s="10" t="s">
        <v>222</v>
      </c>
      <c r="D7" s="10" t="s">
        <v>223</v>
      </c>
      <c r="E7" s="10">
        <v>6</v>
      </c>
      <c r="G7" s="10" t="s">
        <v>224</v>
      </c>
      <c r="H7" s="10" t="s">
        <v>225</v>
      </c>
      <c r="I7" s="19">
        <v>116416.27</v>
      </c>
      <c r="J7" s="10" t="s">
        <v>38</v>
      </c>
      <c r="K7" s="10" t="str">
        <f>IFERROR(INDEX(Departments!$B$2:$B$8,MATCH(E7,Departments!$A$2:$A$8,0)),"Unassigned")</f>
        <v>IT</v>
      </c>
      <c r="L7" s="10">
        <f t="shared" ca="1" si="0"/>
        <v>10.8</v>
      </c>
      <c r="M7" s="10" t="str">
        <f t="shared" si="1"/>
        <v>(Top Level)</v>
      </c>
      <c r="N7" s="10">
        <f t="shared" si="2"/>
        <v>5</v>
      </c>
      <c r="O7" s="10">
        <f>COUNTIF(Orders!$C$2:$C$401,A7)</f>
        <v>0</v>
      </c>
      <c r="P7" s="19">
        <f>SUMIF(Orders!$C$2:$C$401,A7,Orders!$H$2:$H$401)</f>
        <v>0</v>
      </c>
    </row>
    <row r="8" spans="1:16" ht="15" customHeight="1" x14ac:dyDescent="0.25">
      <c r="A8" s="10">
        <v>7</v>
      </c>
      <c r="B8" s="10" t="s">
        <v>221</v>
      </c>
      <c r="C8" s="10" t="s">
        <v>203</v>
      </c>
      <c r="D8" s="10" t="s">
        <v>226</v>
      </c>
      <c r="E8" s="10">
        <v>7</v>
      </c>
      <c r="G8" s="10" t="s">
        <v>227</v>
      </c>
      <c r="H8" s="10" t="s">
        <v>228</v>
      </c>
      <c r="I8" s="19">
        <v>128074.59</v>
      </c>
      <c r="J8" s="10" t="s">
        <v>38</v>
      </c>
      <c r="K8" s="10" t="str">
        <f>IFERROR(INDEX(Departments!$B$2:$B$8,MATCH(E8,Departments!$A$2:$A$8,0)),"Unassigned")</f>
        <v>Customer Support</v>
      </c>
      <c r="L8" s="10">
        <f t="shared" ca="1" si="0"/>
        <v>10.5</v>
      </c>
      <c r="M8" s="10" t="str">
        <f t="shared" si="1"/>
        <v>(Top Level)</v>
      </c>
      <c r="N8" s="10">
        <f t="shared" si="2"/>
        <v>5</v>
      </c>
      <c r="O8" s="10">
        <f>COUNTIF(Orders!$C$2:$C$401,A8)</f>
        <v>0</v>
      </c>
      <c r="P8" s="19">
        <f>SUMIF(Orders!$C$2:$C$401,A8,Orders!$H$2:$H$401)</f>
        <v>0</v>
      </c>
    </row>
    <row r="9" spans="1:16" ht="15" customHeight="1" x14ac:dyDescent="0.25">
      <c r="A9" s="10">
        <v>8</v>
      </c>
      <c r="B9" s="10" t="s">
        <v>207</v>
      </c>
      <c r="C9" s="10" t="s">
        <v>229</v>
      </c>
      <c r="D9" s="10" t="s">
        <v>230</v>
      </c>
      <c r="E9" s="10">
        <v>1</v>
      </c>
      <c r="F9" s="10">
        <v>1</v>
      </c>
      <c r="G9" s="10" t="s">
        <v>231</v>
      </c>
      <c r="H9" s="10" t="s">
        <v>232</v>
      </c>
      <c r="I9" s="19">
        <v>87374.720000000001</v>
      </c>
      <c r="J9" s="10" t="s">
        <v>39</v>
      </c>
      <c r="K9" s="10" t="str">
        <f>IFERROR(INDEX(Departments!$B$2:$B$8,MATCH(E9,Departments!$A$2:$A$8,0)),"Unassigned")</f>
        <v>Unassigned</v>
      </c>
      <c r="L9" s="10">
        <f t="shared" ca="1" si="0"/>
        <v>9.6</v>
      </c>
      <c r="M9" s="10" t="str">
        <f t="shared" si="1"/>
        <v>Daniel Brown</v>
      </c>
      <c r="N9" s="10">
        <f t="shared" si="2"/>
        <v>0</v>
      </c>
      <c r="O9" s="10">
        <f>COUNTIF(Orders!$C$2:$C$401,A9)</f>
        <v>115</v>
      </c>
      <c r="P9" s="19">
        <f>SUMIF(Orders!$C$2:$C$401,A9,Orders!$H$2:$H$401)</f>
        <v>497216.81400000019</v>
      </c>
    </row>
    <row r="10" spans="1:16" ht="15" customHeight="1" x14ac:dyDescent="0.25">
      <c r="A10" s="10">
        <v>9</v>
      </c>
      <c r="B10" s="10" t="s">
        <v>221</v>
      </c>
      <c r="C10" s="10" t="s">
        <v>233</v>
      </c>
      <c r="D10" s="10" t="s">
        <v>234</v>
      </c>
      <c r="E10" s="10">
        <v>1</v>
      </c>
      <c r="F10" s="10">
        <v>1</v>
      </c>
      <c r="G10" s="10" t="s">
        <v>235</v>
      </c>
      <c r="H10" s="10" t="s">
        <v>236</v>
      </c>
      <c r="I10" s="19">
        <v>71811.399999999994</v>
      </c>
      <c r="J10" s="10" t="s">
        <v>40</v>
      </c>
      <c r="K10" s="10" t="str">
        <f>IFERROR(INDEX(Departments!$B$2:$B$8,MATCH(E10,Departments!$A$2:$A$8,0)),"Unassigned")</f>
        <v>Unassigned</v>
      </c>
      <c r="L10" s="10">
        <f t="shared" ca="1" si="0"/>
        <v>2.5</v>
      </c>
      <c r="M10" s="10" t="str">
        <f t="shared" si="1"/>
        <v>Daniel Brown</v>
      </c>
      <c r="N10" s="10">
        <f t="shared" si="2"/>
        <v>0</v>
      </c>
      <c r="O10" s="10">
        <f>COUNTIF(Orders!$C$2:$C$401,A10)</f>
        <v>93</v>
      </c>
      <c r="P10" s="19">
        <f>SUMIF(Orders!$C$2:$C$401,A10,Orders!$H$2:$H$401)</f>
        <v>419101.89050000015</v>
      </c>
    </row>
    <row r="11" spans="1:16" ht="15" customHeight="1" x14ac:dyDescent="0.25">
      <c r="A11" s="10">
        <v>10</v>
      </c>
      <c r="B11" s="10" t="s">
        <v>207</v>
      </c>
      <c r="C11" s="10" t="s">
        <v>217</v>
      </c>
      <c r="D11" s="10" t="s">
        <v>237</v>
      </c>
      <c r="E11" s="10">
        <v>1</v>
      </c>
      <c r="F11" s="10">
        <v>1</v>
      </c>
      <c r="G11" s="10" t="s">
        <v>231</v>
      </c>
      <c r="H11" s="10" t="s">
        <v>238</v>
      </c>
      <c r="I11" s="19">
        <v>73867.61</v>
      </c>
      <c r="J11" s="10" t="s">
        <v>36</v>
      </c>
      <c r="K11" s="10" t="str">
        <f>IFERROR(INDEX(Departments!$B$2:$B$8,MATCH(E11,Departments!$A$2:$A$8,0)),"Unassigned")</f>
        <v>Unassigned</v>
      </c>
      <c r="L11" s="10">
        <f t="shared" ca="1" si="0"/>
        <v>7.4</v>
      </c>
      <c r="M11" s="10" t="str">
        <f t="shared" si="1"/>
        <v>Daniel Brown</v>
      </c>
      <c r="N11" s="10">
        <f t="shared" si="2"/>
        <v>0</v>
      </c>
      <c r="O11" s="10">
        <f>COUNTIF(Orders!$C$2:$C$401,A11)</f>
        <v>103</v>
      </c>
      <c r="P11" s="19">
        <f>SUMIF(Orders!$C$2:$C$401,A11,Orders!$H$2:$H$401)</f>
        <v>461776.5500000001</v>
      </c>
    </row>
    <row r="12" spans="1:16" ht="15" customHeight="1" x14ac:dyDescent="0.25">
      <c r="A12" s="10">
        <v>11</v>
      </c>
      <c r="B12" s="10" t="s">
        <v>239</v>
      </c>
      <c r="C12" s="10" t="s">
        <v>213</v>
      </c>
      <c r="D12" s="10" t="s">
        <v>240</v>
      </c>
      <c r="E12" s="10">
        <v>2</v>
      </c>
      <c r="F12" s="10">
        <v>2</v>
      </c>
      <c r="G12" s="10" t="s">
        <v>241</v>
      </c>
      <c r="H12" s="10" t="s">
        <v>242</v>
      </c>
      <c r="I12" s="19">
        <v>94261.08</v>
      </c>
      <c r="J12" s="10" t="s">
        <v>37</v>
      </c>
      <c r="K12" s="10" t="str">
        <f>IFERROR(INDEX(Departments!$B$2:$B$8,MATCH(E12,Departments!$A$2:$A$8,0)),"Unassigned")</f>
        <v>Marketing</v>
      </c>
      <c r="L12" s="10">
        <f t="shared" ca="1" si="0"/>
        <v>2</v>
      </c>
      <c r="M12" s="10" t="str">
        <f t="shared" si="1"/>
        <v>Linda Jones</v>
      </c>
      <c r="N12" s="10">
        <f t="shared" si="2"/>
        <v>0</v>
      </c>
      <c r="O12" s="10">
        <f>COUNTIF(Orders!$C$2:$C$401,A12)</f>
        <v>0</v>
      </c>
      <c r="P12" s="19">
        <f>SUMIF(Orders!$C$2:$C$401,A12,Orders!$H$2:$H$401)</f>
        <v>0</v>
      </c>
    </row>
    <row r="13" spans="1:16" ht="15" customHeight="1" x14ac:dyDescent="0.25">
      <c r="A13" s="10">
        <v>12</v>
      </c>
      <c r="B13" s="10" t="s">
        <v>243</v>
      </c>
      <c r="C13" s="10" t="s">
        <v>198</v>
      </c>
      <c r="D13" s="10" t="s">
        <v>244</v>
      </c>
      <c r="E13" s="10">
        <v>2</v>
      </c>
      <c r="F13" s="10">
        <v>2</v>
      </c>
      <c r="G13" s="10" t="s">
        <v>241</v>
      </c>
      <c r="H13" s="10" t="s">
        <v>245</v>
      </c>
      <c r="I13" s="19">
        <v>67670.52</v>
      </c>
      <c r="J13" s="10" t="s">
        <v>38</v>
      </c>
      <c r="K13" s="10" t="str">
        <f>IFERROR(INDEX(Departments!$B$2:$B$8,MATCH(E13,Departments!$A$2:$A$8,0)),"Unassigned")</f>
        <v>Marketing</v>
      </c>
      <c r="L13" s="10">
        <f t="shared" ca="1" si="0"/>
        <v>6.4</v>
      </c>
      <c r="M13" s="10" t="str">
        <f t="shared" si="1"/>
        <v>Linda Jones</v>
      </c>
      <c r="N13" s="10">
        <f t="shared" si="2"/>
        <v>0</v>
      </c>
      <c r="O13" s="10">
        <f>COUNTIF(Orders!$C$2:$C$401,A13)</f>
        <v>0</v>
      </c>
      <c r="P13" s="19">
        <f>SUMIF(Orders!$C$2:$C$401,A13,Orders!$H$2:$H$401)</f>
        <v>0</v>
      </c>
    </row>
    <row r="14" spans="1:16" ht="15" customHeight="1" x14ac:dyDescent="0.25">
      <c r="A14" s="10">
        <v>13</v>
      </c>
      <c r="B14" s="10" t="s">
        <v>246</v>
      </c>
      <c r="C14" s="10" t="s">
        <v>247</v>
      </c>
      <c r="D14" s="10" t="s">
        <v>248</v>
      </c>
      <c r="E14" s="10">
        <v>2</v>
      </c>
      <c r="F14" s="10">
        <v>2</v>
      </c>
      <c r="G14" s="10" t="s">
        <v>249</v>
      </c>
      <c r="H14" s="10" t="s">
        <v>250</v>
      </c>
      <c r="I14" s="19">
        <v>78508.759999999995</v>
      </c>
      <c r="J14" s="10" t="s">
        <v>36</v>
      </c>
      <c r="K14" s="10" t="str">
        <f>IFERROR(INDEX(Departments!$B$2:$B$8,MATCH(E14,Departments!$A$2:$A$8,0)),"Unassigned")</f>
        <v>Marketing</v>
      </c>
      <c r="L14" s="10">
        <f t="shared" ca="1" si="0"/>
        <v>6.7</v>
      </c>
      <c r="M14" s="10" t="str">
        <f t="shared" si="1"/>
        <v>Linda Jones</v>
      </c>
      <c r="N14" s="10">
        <f t="shared" si="2"/>
        <v>0</v>
      </c>
      <c r="O14" s="10">
        <f>COUNTIF(Orders!$C$2:$C$401,A14)</f>
        <v>0</v>
      </c>
      <c r="P14" s="19">
        <f>SUMIF(Orders!$C$2:$C$401,A14,Orders!$H$2:$H$401)</f>
        <v>0</v>
      </c>
    </row>
    <row r="15" spans="1:16" ht="15" customHeight="1" x14ac:dyDescent="0.25">
      <c r="A15" s="10">
        <v>14</v>
      </c>
      <c r="B15" s="10" t="s">
        <v>197</v>
      </c>
      <c r="C15" s="10" t="s">
        <v>251</v>
      </c>
      <c r="D15" s="10" t="s">
        <v>252</v>
      </c>
      <c r="E15" s="10">
        <v>3</v>
      </c>
      <c r="F15" s="10">
        <v>3</v>
      </c>
      <c r="G15" s="10" t="s">
        <v>253</v>
      </c>
      <c r="H15" s="10" t="s">
        <v>254</v>
      </c>
      <c r="I15" s="19">
        <v>57240.55</v>
      </c>
      <c r="J15" s="10" t="s">
        <v>40</v>
      </c>
      <c r="K15" s="10" t="str">
        <f>IFERROR(INDEX(Departments!$B$2:$B$8,MATCH(E15,Departments!$A$2:$A$8,0)),"Unassigned")</f>
        <v>Finance</v>
      </c>
      <c r="L15" s="10">
        <f t="shared" ca="1" si="0"/>
        <v>4.7</v>
      </c>
      <c r="M15" s="10" t="str">
        <f t="shared" si="1"/>
        <v>John Jackson</v>
      </c>
      <c r="N15" s="10">
        <f t="shared" si="2"/>
        <v>0</v>
      </c>
      <c r="O15" s="10">
        <f>COUNTIF(Orders!$C$2:$C$401,A15)</f>
        <v>0</v>
      </c>
      <c r="P15" s="19">
        <f>SUMIF(Orders!$C$2:$C$401,A15,Orders!$H$2:$H$401)</f>
        <v>0</v>
      </c>
    </row>
    <row r="16" spans="1:16" ht="15" customHeight="1" x14ac:dyDescent="0.25">
      <c r="A16" s="10">
        <v>15</v>
      </c>
      <c r="B16" s="10" t="s">
        <v>255</v>
      </c>
      <c r="C16" s="10" t="s">
        <v>256</v>
      </c>
      <c r="D16" s="10" t="s">
        <v>257</v>
      </c>
      <c r="E16" s="10">
        <v>3</v>
      </c>
      <c r="F16" s="10">
        <v>3</v>
      </c>
      <c r="G16" s="10" t="s">
        <v>253</v>
      </c>
      <c r="H16" s="10" t="s">
        <v>258</v>
      </c>
      <c r="I16" s="19">
        <v>72847.490000000005</v>
      </c>
      <c r="J16" s="10" t="s">
        <v>38</v>
      </c>
      <c r="K16" s="10" t="str">
        <f>IFERROR(INDEX(Departments!$B$2:$B$8,MATCH(E16,Departments!$A$2:$A$8,0)),"Unassigned")</f>
        <v>Finance</v>
      </c>
      <c r="L16" s="10">
        <f t="shared" ca="1" si="0"/>
        <v>3.5</v>
      </c>
      <c r="M16" s="10" t="str">
        <f t="shared" si="1"/>
        <v>John Jackson</v>
      </c>
      <c r="N16" s="10">
        <f t="shared" si="2"/>
        <v>0</v>
      </c>
      <c r="O16" s="10">
        <f>COUNTIF(Orders!$C$2:$C$401,A16)</f>
        <v>0</v>
      </c>
      <c r="P16" s="19">
        <f>SUMIF(Orders!$C$2:$C$401,A16,Orders!$H$2:$H$401)</f>
        <v>0</v>
      </c>
    </row>
    <row r="17" spans="1:16" ht="15" customHeight="1" x14ac:dyDescent="0.25">
      <c r="A17" s="10">
        <v>16</v>
      </c>
      <c r="B17" s="10" t="s">
        <v>259</v>
      </c>
      <c r="C17" s="10" t="s">
        <v>233</v>
      </c>
      <c r="D17" s="10" t="s">
        <v>260</v>
      </c>
      <c r="E17" s="10">
        <v>3</v>
      </c>
      <c r="F17" s="10">
        <v>3</v>
      </c>
      <c r="G17" s="10" t="s">
        <v>261</v>
      </c>
      <c r="H17" s="10" t="s">
        <v>262</v>
      </c>
      <c r="I17" s="19">
        <v>85252.29</v>
      </c>
      <c r="J17" s="10" t="s">
        <v>40</v>
      </c>
      <c r="K17" s="10" t="str">
        <f>IFERROR(INDEX(Departments!$B$2:$B$8,MATCH(E17,Departments!$A$2:$A$8,0)),"Unassigned")</f>
        <v>Finance</v>
      </c>
      <c r="L17" s="10">
        <f t="shared" ca="1" si="0"/>
        <v>8.1</v>
      </c>
      <c r="M17" s="10" t="str">
        <f t="shared" si="1"/>
        <v>John Jackson</v>
      </c>
      <c r="N17" s="10">
        <f t="shared" si="2"/>
        <v>0</v>
      </c>
      <c r="O17" s="10">
        <f>COUNTIF(Orders!$C$2:$C$401,A17)</f>
        <v>0</v>
      </c>
      <c r="P17" s="19">
        <f>SUMIF(Orders!$C$2:$C$401,A17,Orders!$H$2:$H$401)</f>
        <v>0</v>
      </c>
    </row>
    <row r="18" spans="1:16" ht="15" customHeight="1" x14ac:dyDescent="0.25">
      <c r="A18" s="10">
        <v>17</v>
      </c>
      <c r="B18" s="10" t="s">
        <v>221</v>
      </c>
      <c r="C18" s="10" t="s">
        <v>263</v>
      </c>
      <c r="D18" s="10" t="s">
        <v>264</v>
      </c>
      <c r="E18" s="10">
        <v>3</v>
      </c>
      <c r="F18" s="10">
        <v>3</v>
      </c>
      <c r="G18" s="10" t="s">
        <v>253</v>
      </c>
      <c r="H18" s="10" t="s">
        <v>265</v>
      </c>
      <c r="I18" s="19">
        <v>88818.38</v>
      </c>
      <c r="J18" s="10" t="s">
        <v>38</v>
      </c>
      <c r="K18" s="10" t="str">
        <f>IFERROR(INDEX(Departments!$B$2:$B$8,MATCH(E18,Departments!$A$2:$A$8,0)),"Unassigned")</f>
        <v>Finance</v>
      </c>
      <c r="L18" s="10">
        <f t="shared" ca="1" si="0"/>
        <v>8.3000000000000007</v>
      </c>
      <c r="M18" s="10" t="str">
        <f t="shared" si="1"/>
        <v>John Jackson</v>
      </c>
      <c r="N18" s="10">
        <f t="shared" si="2"/>
        <v>0</v>
      </c>
      <c r="O18" s="10">
        <f>COUNTIF(Orders!$C$2:$C$401,A18)</f>
        <v>0</v>
      </c>
      <c r="P18" s="19">
        <f>SUMIF(Orders!$C$2:$C$401,A18,Orders!$H$2:$H$401)</f>
        <v>0</v>
      </c>
    </row>
    <row r="19" spans="1:16" ht="15" customHeight="1" x14ac:dyDescent="0.25">
      <c r="A19" s="10">
        <v>18</v>
      </c>
      <c r="B19" s="10" t="s">
        <v>212</v>
      </c>
      <c r="C19" s="10" t="s">
        <v>266</v>
      </c>
      <c r="D19" s="10" t="s">
        <v>267</v>
      </c>
      <c r="E19" s="10">
        <v>3</v>
      </c>
      <c r="F19" s="10">
        <v>3</v>
      </c>
      <c r="G19" s="10" t="s">
        <v>253</v>
      </c>
      <c r="H19" s="10" t="s">
        <v>268</v>
      </c>
      <c r="I19" s="19">
        <v>67942.59</v>
      </c>
      <c r="J19" s="10" t="s">
        <v>38</v>
      </c>
      <c r="K19" s="10" t="str">
        <f>IFERROR(INDEX(Departments!$B$2:$B$8,MATCH(E19,Departments!$A$2:$A$8,0)),"Unassigned")</f>
        <v>Finance</v>
      </c>
      <c r="L19" s="10">
        <f t="shared" ca="1" si="0"/>
        <v>6.3</v>
      </c>
      <c r="M19" s="10" t="str">
        <f t="shared" si="1"/>
        <v>John Jackson</v>
      </c>
      <c r="N19" s="10">
        <f t="shared" si="2"/>
        <v>0</v>
      </c>
      <c r="O19" s="10">
        <f>COUNTIF(Orders!$C$2:$C$401,A19)</f>
        <v>0</v>
      </c>
      <c r="P19" s="19">
        <f>SUMIF(Orders!$C$2:$C$401,A19,Orders!$H$2:$H$401)</f>
        <v>0</v>
      </c>
    </row>
    <row r="20" spans="1:16" ht="15" customHeight="1" x14ac:dyDescent="0.25">
      <c r="A20" s="10">
        <v>19</v>
      </c>
      <c r="B20" s="10" t="s">
        <v>202</v>
      </c>
      <c r="C20" s="10" t="s">
        <v>217</v>
      </c>
      <c r="D20" s="10" t="s">
        <v>269</v>
      </c>
      <c r="E20" s="10">
        <v>4</v>
      </c>
      <c r="F20" s="10">
        <v>4</v>
      </c>
      <c r="G20" s="10" t="s">
        <v>270</v>
      </c>
      <c r="H20" s="10" t="s">
        <v>271</v>
      </c>
      <c r="I20" s="19">
        <v>82350.69</v>
      </c>
      <c r="J20" s="10" t="s">
        <v>40</v>
      </c>
      <c r="K20" s="10" t="str">
        <f>IFERROR(INDEX(Departments!$B$2:$B$8,MATCH(E20,Departments!$A$2:$A$8,0)),"Unassigned")</f>
        <v>Operations</v>
      </c>
      <c r="L20" s="10">
        <f t="shared" ca="1" si="0"/>
        <v>4.5999999999999996</v>
      </c>
      <c r="M20" s="10" t="str">
        <f t="shared" si="1"/>
        <v>Michael Davis</v>
      </c>
      <c r="N20" s="10">
        <f t="shared" si="2"/>
        <v>0</v>
      </c>
      <c r="O20" s="10">
        <f>COUNTIF(Orders!$C$2:$C$401,A20)</f>
        <v>0</v>
      </c>
      <c r="P20" s="19">
        <f>SUMIF(Orders!$C$2:$C$401,A20,Orders!$H$2:$H$401)</f>
        <v>0</v>
      </c>
    </row>
    <row r="21" spans="1:16" ht="15" customHeight="1" x14ac:dyDescent="0.25">
      <c r="A21" s="10">
        <v>20</v>
      </c>
      <c r="B21" s="10" t="s">
        <v>272</v>
      </c>
      <c r="C21" s="10" t="s">
        <v>208</v>
      </c>
      <c r="D21" s="10" t="s">
        <v>273</v>
      </c>
      <c r="E21" s="10">
        <v>4</v>
      </c>
      <c r="F21" s="10">
        <v>4</v>
      </c>
      <c r="G21" s="10" t="s">
        <v>270</v>
      </c>
      <c r="H21" s="10" t="s">
        <v>274</v>
      </c>
      <c r="I21" s="19">
        <v>55966.04</v>
      </c>
      <c r="J21" s="10" t="s">
        <v>37</v>
      </c>
      <c r="K21" s="10" t="str">
        <f>IFERROR(INDEX(Departments!$B$2:$B$8,MATCH(E21,Departments!$A$2:$A$8,0)),"Unassigned")</f>
        <v>Operations</v>
      </c>
      <c r="L21" s="10">
        <f t="shared" ca="1" si="0"/>
        <v>6.2</v>
      </c>
      <c r="M21" s="10" t="str">
        <f t="shared" si="1"/>
        <v>Michael Davis</v>
      </c>
      <c r="N21" s="10">
        <f t="shared" si="2"/>
        <v>0</v>
      </c>
      <c r="O21" s="10">
        <f>COUNTIF(Orders!$C$2:$C$401,A21)</f>
        <v>0</v>
      </c>
      <c r="P21" s="19">
        <f>SUMIF(Orders!$C$2:$C$401,A21,Orders!$H$2:$H$401)</f>
        <v>0</v>
      </c>
    </row>
    <row r="22" spans="1:16" ht="15" customHeight="1" x14ac:dyDescent="0.25">
      <c r="A22" s="10">
        <v>21</v>
      </c>
      <c r="B22" s="10" t="s">
        <v>266</v>
      </c>
      <c r="C22" s="10" t="s">
        <v>266</v>
      </c>
      <c r="D22" s="10" t="s">
        <v>275</v>
      </c>
      <c r="E22" s="10">
        <v>4</v>
      </c>
      <c r="F22" s="10">
        <v>4</v>
      </c>
      <c r="G22" s="10" t="s">
        <v>276</v>
      </c>
      <c r="H22" s="10" t="s">
        <v>277</v>
      </c>
      <c r="I22" s="19">
        <v>88055.15</v>
      </c>
      <c r="J22" s="10" t="s">
        <v>37</v>
      </c>
      <c r="K22" s="10" t="str">
        <f>IFERROR(INDEX(Departments!$B$2:$B$8,MATCH(E22,Departments!$A$2:$A$8,0)),"Unassigned")</f>
        <v>Operations</v>
      </c>
      <c r="L22" s="10">
        <f t="shared" ca="1" si="0"/>
        <v>9.6999999999999993</v>
      </c>
      <c r="M22" s="10" t="str">
        <f t="shared" si="1"/>
        <v>Michael Davis</v>
      </c>
      <c r="N22" s="10">
        <f t="shared" si="2"/>
        <v>0</v>
      </c>
      <c r="O22" s="10">
        <f>COUNTIF(Orders!$C$2:$C$401,A22)</f>
        <v>0</v>
      </c>
      <c r="P22" s="19">
        <f>SUMIF(Orders!$C$2:$C$401,A22,Orders!$H$2:$H$401)</f>
        <v>0</v>
      </c>
    </row>
    <row r="23" spans="1:16" ht="15" customHeight="1" x14ac:dyDescent="0.25">
      <c r="A23" s="10">
        <v>22</v>
      </c>
      <c r="B23" s="10" t="s">
        <v>246</v>
      </c>
      <c r="C23" s="10" t="s">
        <v>278</v>
      </c>
      <c r="D23" s="10" t="s">
        <v>279</v>
      </c>
      <c r="E23" s="10">
        <v>5</v>
      </c>
      <c r="F23" s="10">
        <v>5</v>
      </c>
      <c r="G23" s="10" t="s">
        <v>280</v>
      </c>
      <c r="H23" s="10" t="s">
        <v>281</v>
      </c>
      <c r="I23" s="19">
        <v>64238.37</v>
      </c>
      <c r="J23" s="10" t="s">
        <v>39</v>
      </c>
      <c r="K23" s="10" t="str">
        <f>IFERROR(INDEX(Departments!$B$2:$B$8,MATCH(E23,Departments!$A$2:$A$8,0)),"Unassigned")</f>
        <v>Human Resources</v>
      </c>
      <c r="L23" s="10">
        <f t="shared" ca="1" si="0"/>
        <v>4</v>
      </c>
      <c r="M23" s="10" t="str">
        <f t="shared" si="1"/>
        <v>Michael Moore</v>
      </c>
      <c r="N23" s="10">
        <f t="shared" si="2"/>
        <v>0</v>
      </c>
      <c r="O23" s="10">
        <f>COUNTIF(Orders!$C$2:$C$401,A23)</f>
        <v>0</v>
      </c>
      <c r="P23" s="19">
        <f>SUMIF(Orders!$C$2:$C$401,A23,Orders!$H$2:$H$401)</f>
        <v>0</v>
      </c>
    </row>
    <row r="24" spans="1:16" ht="15" customHeight="1" x14ac:dyDescent="0.25">
      <c r="A24" s="10">
        <v>23</v>
      </c>
      <c r="B24" s="10" t="s">
        <v>282</v>
      </c>
      <c r="C24" s="10" t="s">
        <v>283</v>
      </c>
      <c r="D24" s="10" t="s">
        <v>284</v>
      </c>
      <c r="E24" s="10">
        <v>5</v>
      </c>
      <c r="F24" s="10">
        <v>5</v>
      </c>
      <c r="G24" s="10" t="s">
        <v>280</v>
      </c>
      <c r="H24" s="10" t="s">
        <v>285</v>
      </c>
      <c r="I24" s="19">
        <v>79014.17</v>
      </c>
      <c r="J24" s="10" t="s">
        <v>36</v>
      </c>
      <c r="K24" s="10" t="str">
        <f>IFERROR(INDEX(Departments!$B$2:$B$8,MATCH(E24,Departments!$A$2:$A$8,0)),"Unassigned")</f>
        <v>Human Resources</v>
      </c>
      <c r="L24" s="10">
        <f t="shared" ca="1" si="0"/>
        <v>7.9</v>
      </c>
      <c r="M24" s="10" t="str">
        <f t="shared" si="1"/>
        <v>Michael Moore</v>
      </c>
      <c r="N24" s="10">
        <f t="shared" si="2"/>
        <v>0</v>
      </c>
      <c r="O24" s="10">
        <f>COUNTIF(Orders!$C$2:$C$401,A24)</f>
        <v>0</v>
      </c>
      <c r="P24" s="19">
        <f>SUMIF(Orders!$C$2:$C$401,A24,Orders!$H$2:$H$401)</f>
        <v>0</v>
      </c>
    </row>
    <row r="25" spans="1:16" ht="15" customHeight="1" x14ac:dyDescent="0.25">
      <c r="A25" s="10">
        <v>24</v>
      </c>
      <c r="B25" s="10" t="s">
        <v>239</v>
      </c>
      <c r="C25" s="10" t="s">
        <v>217</v>
      </c>
      <c r="D25" s="10" t="s">
        <v>286</v>
      </c>
      <c r="E25" s="10">
        <v>5</v>
      </c>
      <c r="F25" s="10">
        <v>5</v>
      </c>
      <c r="G25" s="10" t="s">
        <v>287</v>
      </c>
      <c r="H25" s="10" t="s">
        <v>288</v>
      </c>
      <c r="I25" s="19">
        <v>83429.94</v>
      </c>
      <c r="J25" s="10" t="s">
        <v>38</v>
      </c>
      <c r="K25" s="10" t="str">
        <f>IFERROR(INDEX(Departments!$B$2:$B$8,MATCH(E25,Departments!$A$2:$A$8,0)),"Unassigned")</f>
        <v>Human Resources</v>
      </c>
      <c r="L25" s="10">
        <f t="shared" ca="1" si="0"/>
        <v>2.2999999999999998</v>
      </c>
      <c r="M25" s="10" t="str">
        <f t="shared" si="1"/>
        <v>Michael Moore</v>
      </c>
      <c r="N25" s="10">
        <f t="shared" si="2"/>
        <v>0</v>
      </c>
      <c r="O25" s="10">
        <f>COUNTIF(Orders!$C$2:$C$401,A25)</f>
        <v>0</v>
      </c>
      <c r="P25" s="19">
        <f>SUMIF(Orders!$C$2:$C$401,A25,Orders!$H$2:$H$401)</f>
        <v>0</v>
      </c>
    </row>
    <row r="26" spans="1:16" ht="15" customHeight="1" x14ac:dyDescent="0.25">
      <c r="A26" s="10">
        <v>25</v>
      </c>
      <c r="B26" s="10" t="s">
        <v>289</v>
      </c>
      <c r="C26" s="10" t="s">
        <v>290</v>
      </c>
      <c r="D26" s="10" t="s">
        <v>291</v>
      </c>
      <c r="E26" s="10">
        <v>5</v>
      </c>
      <c r="F26" s="10">
        <v>5</v>
      </c>
      <c r="G26" s="10" t="s">
        <v>280</v>
      </c>
      <c r="H26" s="10" t="s">
        <v>292</v>
      </c>
      <c r="I26" s="19">
        <v>67686.19</v>
      </c>
      <c r="J26" s="10" t="s">
        <v>38</v>
      </c>
      <c r="K26" s="10" t="str">
        <f>IFERROR(INDEX(Departments!$B$2:$B$8,MATCH(E26,Departments!$A$2:$A$8,0)),"Unassigned")</f>
        <v>Human Resources</v>
      </c>
      <c r="L26" s="10">
        <f t="shared" ca="1" si="0"/>
        <v>5.8</v>
      </c>
      <c r="M26" s="10" t="str">
        <f t="shared" si="1"/>
        <v>Michael Moore</v>
      </c>
      <c r="N26" s="10">
        <f t="shared" si="2"/>
        <v>0</v>
      </c>
      <c r="O26" s="10">
        <f>COUNTIF(Orders!$C$2:$C$401,A26)</f>
        <v>0</v>
      </c>
      <c r="P26" s="19">
        <f>SUMIF(Orders!$C$2:$C$401,A26,Orders!$H$2:$H$401)</f>
        <v>0</v>
      </c>
    </row>
    <row r="27" spans="1:16" ht="15" customHeight="1" x14ac:dyDescent="0.25">
      <c r="A27" s="10">
        <v>26</v>
      </c>
      <c r="B27" s="10" t="s">
        <v>266</v>
      </c>
      <c r="C27" s="10" t="s">
        <v>251</v>
      </c>
      <c r="D27" s="10" t="s">
        <v>293</v>
      </c>
      <c r="E27" s="10">
        <v>5</v>
      </c>
      <c r="F27" s="10">
        <v>5</v>
      </c>
      <c r="G27" s="10" t="s">
        <v>280</v>
      </c>
      <c r="H27" s="10" t="s">
        <v>294</v>
      </c>
      <c r="I27" s="19">
        <v>88525.93</v>
      </c>
      <c r="J27" s="10" t="s">
        <v>38</v>
      </c>
      <c r="K27" s="10" t="str">
        <f>IFERROR(INDEX(Departments!$B$2:$B$8,MATCH(E27,Departments!$A$2:$A$8,0)),"Unassigned")</f>
        <v>Human Resources</v>
      </c>
      <c r="L27" s="10">
        <f t="shared" ca="1" si="0"/>
        <v>5</v>
      </c>
      <c r="M27" s="10" t="str">
        <f t="shared" si="1"/>
        <v>Michael Moore</v>
      </c>
      <c r="N27" s="10">
        <f t="shared" si="2"/>
        <v>0</v>
      </c>
      <c r="O27" s="10">
        <f>COUNTIF(Orders!$C$2:$C$401,A27)</f>
        <v>0</v>
      </c>
      <c r="P27" s="19">
        <f>SUMIF(Orders!$C$2:$C$401,A27,Orders!$H$2:$H$401)</f>
        <v>0</v>
      </c>
    </row>
    <row r="28" spans="1:16" ht="15" customHeight="1" x14ac:dyDescent="0.25">
      <c r="A28" s="10">
        <v>27</v>
      </c>
      <c r="B28" s="10" t="s">
        <v>266</v>
      </c>
      <c r="C28" s="10" t="s">
        <v>295</v>
      </c>
      <c r="D28" s="10" t="s">
        <v>296</v>
      </c>
      <c r="E28" s="10">
        <v>6</v>
      </c>
      <c r="F28" s="10">
        <v>6</v>
      </c>
      <c r="G28" s="10" t="s">
        <v>297</v>
      </c>
      <c r="H28" s="10" t="s">
        <v>298</v>
      </c>
      <c r="I28" s="19">
        <v>63695.69</v>
      </c>
      <c r="J28" s="10" t="s">
        <v>37</v>
      </c>
      <c r="K28" s="10" t="str">
        <f>IFERROR(INDEX(Departments!$B$2:$B$8,MATCH(E28,Departments!$A$2:$A$8,0)),"Unassigned")</f>
        <v>IT</v>
      </c>
      <c r="L28" s="10">
        <f t="shared" ca="1" si="0"/>
        <v>8.5</v>
      </c>
      <c r="M28" s="10" t="str">
        <f t="shared" si="1"/>
        <v>William Smith</v>
      </c>
      <c r="N28" s="10">
        <f t="shared" si="2"/>
        <v>0</v>
      </c>
      <c r="O28" s="10">
        <f>COUNTIF(Orders!$C$2:$C$401,A28)</f>
        <v>0</v>
      </c>
      <c r="P28" s="19">
        <f>SUMIF(Orders!$C$2:$C$401,A28,Orders!$H$2:$H$401)</f>
        <v>0</v>
      </c>
    </row>
    <row r="29" spans="1:16" ht="15" customHeight="1" x14ac:dyDescent="0.25">
      <c r="A29" s="10">
        <v>28</v>
      </c>
      <c r="B29" s="10" t="s">
        <v>299</v>
      </c>
      <c r="C29" s="10" t="s">
        <v>283</v>
      </c>
      <c r="D29" s="10" t="s">
        <v>300</v>
      </c>
      <c r="E29" s="10">
        <v>6</v>
      </c>
      <c r="F29" s="10">
        <v>6</v>
      </c>
      <c r="G29" s="10" t="s">
        <v>301</v>
      </c>
      <c r="H29" s="10" t="s">
        <v>302</v>
      </c>
      <c r="I29" s="19">
        <v>61207.8</v>
      </c>
      <c r="J29" s="10" t="s">
        <v>36</v>
      </c>
      <c r="K29" s="10" t="str">
        <f>IFERROR(INDEX(Departments!$B$2:$B$8,MATCH(E29,Departments!$A$2:$A$8,0)),"Unassigned")</f>
        <v>IT</v>
      </c>
      <c r="L29" s="10">
        <f t="shared" ca="1" si="0"/>
        <v>10.7</v>
      </c>
      <c r="M29" s="10" t="str">
        <f t="shared" si="1"/>
        <v>William Smith</v>
      </c>
      <c r="N29" s="10">
        <f t="shared" si="2"/>
        <v>0</v>
      </c>
      <c r="O29" s="10">
        <f>COUNTIF(Orders!$C$2:$C$401,A29)</f>
        <v>0</v>
      </c>
      <c r="P29" s="19">
        <f>SUMIF(Orders!$C$2:$C$401,A29,Orders!$H$2:$H$401)</f>
        <v>0</v>
      </c>
    </row>
    <row r="30" spans="1:16" ht="15" customHeight="1" x14ac:dyDescent="0.25">
      <c r="A30" s="10">
        <v>29</v>
      </c>
      <c r="B30" s="10" t="s">
        <v>289</v>
      </c>
      <c r="C30" s="10" t="s">
        <v>247</v>
      </c>
      <c r="D30" s="10" t="s">
        <v>303</v>
      </c>
      <c r="E30" s="10">
        <v>6</v>
      </c>
      <c r="F30" s="10">
        <v>6</v>
      </c>
      <c r="G30" s="10" t="s">
        <v>304</v>
      </c>
      <c r="H30" s="10" t="s">
        <v>305</v>
      </c>
      <c r="I30" s="19">
        <v>56972.62</v>
      </c>
      <c r="J30" s="10" t="s">
        <v>37</v>
      </c>
      <c r="K30" s="10" t="str">
        <f>IFERROR(INDEX(Departments!$B$2:$B$8,MATCH(E30,Departments!$A$2:$A$8,0)),"Unassigned")</f>
        <v>IT</v>
      </c>
      <c r="L30" s="10">
        <f t="shared" ca="1" si="0"/>
        <v>1.6</v>
      </c>
      <c r="M30" s="10" t="str">
        <f t="shared" si="1"/>
        <v>William Smith</v>
      </c>
      <c r="N30" s="10">
        <f t="shared" si="2"/>
        <v>0</v>
      </c>
      <c r="O30" s="10">
        <f>COUNTIF(Orders!$C$2:$C$401,A30)</f>
        <v>0</v>
      </c>
      <c r="P30" s="19">
        <f>SUMIF(Orders!$C$2:$C$401,A30,Orders!$H$2:$H$401)</f>
        <v>0</v>
      </c>
    </row>
    <row r="31" spans="1:16" ht="15" customHeight="1" x14ac:dyDescent="0.25">
      <c r="A31" s="10">
        <v>30</v>
      </c>
      <c r="B31" s="10" t="s">
        <v>272</v>
      </c>
      <c r="C31" s="10" t="s">
        <v>208</v>
      </c>
      <c r="D31" s="10" t="s">
        <v>306</v>
      </c>
      <c r="E31" s="10">
        <v>6</v>
      </c>
      <c r="F31" s="10">
        <v>6</v>
      </c>
      <c r="G31" s="10" t="s">
        <v>297</v>
      </c>
      <c r="H31" s="10" t="s">
        <v>307</v>
      </c>
      <c r="I31" s="19">
        <v>81595.38</v>
      </c>
      <c r="J31" s="10" t="s">
        <v>36</v>
      </c>
      <c r="K31" s="10" t="str">
        <f>IFERROR(INDEX(Departments!$B$2:$B$8,MATCH(E31,Departments!$A$2:$A$8,0)),"Unassigned")</f>
        <v>IT</v>
      </c>
      <c r="L31" s="10">
        <f t="shared" ca="1" si="0"/>
        <v>9.8000000000000007</v>
      </c>
      <c r="M31" s="10" t="str">
        <f t="shared" si="1"/>
        <v>William Smith</v>
      </c>
      <c r="N31" s="10">
        <f t="shared" si="2"/>
        <v>0</v>
      </c>
      <c r="O31" s="10">
        <f>COUNTIF(Orders!$C$2:$C$401,A31)</f>
        <v>0</v>
      </c>
      <c r="P31" s="19">
        <f>SUMIF(Orders!$C$2:$C$401,A31,Orders!$H$2:$H$401)</f>
        <v>0</v>
      </c>
    </row>
    <row r="32" spans="1:16" ht="15" customHeight="1" x14ac:dyDescent="0.25">
      <c r="A32" s="10">
        <v>31</v>
      </c>
      <c r="B32" s="10" t="s">
        <v>308</v>
      </c>
      <c r="C32" s="10" t="s">
        <v>217</v>
      </c>
      <c r="D32" s="10" t="s">
        <v>309</v>
      </c>
      <c r="E32" s="10">
        <v>6</v>
      </c>
      <c r="F32" s="10">
        <v>6</v>
      </c>
      <c r="G32" s="10" t="s">
        <v>297</v>
      </c>
      <c r="H32" s="10" t="s">
        <v>310</v>
      </c>
      <c r="I32" s="19">
        <v>51419.57</v>
      </c>
      <c r="J32" s="10" t="s">
        <v>40</v>
      </c>
      <c r="K32" s="10" t="str">
        <f>IFERROR(INDEX(Departments!$B$2:$B$8,MATCH(E32,Departments!$A$2:$A$8,0)),"Unassigned")</f>
        <v>IT</v>
      </c>
      <c r="L32" s="10">
        <f t="shared" ca="1" si="0"/>
        <v>2.1</v>
      </c>
      <c r="M32" s="10" t="str">
        <f t="shared" si="1"/>
        <v>William Smith</v>
      </c>
      <c r="N32" s="10">
        <f t="shared" si="2"/>
        <v>0</v>
      </c>
      <c r="O32" s="10">
        <f>COUNTIF(Orders!$C$2:$C$401,A32)</f>
        <v>0</v>
      </c>
      <c r="P32" s="19">
        <f>SUMIF(Orders!$C$2:$C$401,A32,Orders!$H$2:$H$401)</f>
        <v>0</v>
      </c>
    </row>
    <row r="33" spans="1:16" ht="15" customHeight="1" x14ac:dyDescent="0.25">
      <c r="A33" s="10">
        <v>32</v>
      </c>
      <c r="B33" s="10" t="s">
        <v>246</v>
      </c>
      <c r="C33" s="10" t="s">
        <v>256</v>
      </c>
      <c r="D33" s="10" t="s">
        <v>311</v>
      </c>
      <c r="E33" s="10">
        <v>7</v>
      </c>
      <c r="F33" s="10">
        <v>7</v>
      </c>
      <c r="G33" s="10" t="s">
        <v>312</v>
      </c>
      <c r="H33" s="10" t="s">
        <v>313</v>
      </c>
      <c r="I33" s="19">
        <v>93218.15</v>
      </c>
      <c r="J33" s="10" t="s">
        <v>39</v>
      </c>
      <c r="K33" s="10" t="str">
        <f>IFERROR(INDEX(Departments!$B$2:$B$8,MATCH(E33,Departments!$A$2:$A$8,0)),"Unassigned")</f>
        <v>Customer Support</v>
      </c>
      <c r="L33" s="10">
        <f t="shared" ca="1" si="0"/>
        <v>4.8</v>
      </c>
      <c r="M33" s="10" t="str">
        <f t="shared" si="1"/>
        <v>William Jones</v>
      </c>
      <c r="N33" s="10">
        <f t="shared" si="2"/>
        <v>0</v>
      </c>
      <c r="O33" s="10">
        <f>COUNTIF(Orders!$C$2:$C$401,A33)</f>
        <v>0</v>
      </c>
      <c r="P33" s="19">
        <f>SUMIF(Orders!$C$2:$C$401,A33,Orders!$H$2:$H$401)</f>
        <v>0</v>
      </c>
    </row>
    <row r="34" spans="1:16" ht="15" customHeight="1" x14ac:dyDescent="0.25">
      <c r="A34" s="10">
        <v>33</v>
      </c>
      <c r="B34" s="10" t="s">
        <v>308</v>
      </c>
      <c r="C34" s="10" t="s">
        <v>314</v>
      </c>
      <c r="D34" s="10" t="s">
        <v>315</v>
      </c>
      <c r="E34" s="10">
        <v>7</v>
      </c>
      <c r="F34" s="10">
        <v>7</v>
      </c>
      <c r="G34" s="10" t="s">
        <v>312</v>
      </c>
      <c r="H34" s="10" t="s">
        <v>316</v>
      </c>
      <c r="I34" s="19">
        <v>64949.61</v>
      </c>
      <c r="J34" s="10" t="s">
        <v>38</v>
      </c>
      <c r="K34" s="10" t="str">
        <f>IFERROR(INDEX(Departments!$B$2:$B$8,MATCH(E34,Departments!$A$2:$A$8,0)),"Unassigned")</f>
        <v>Customer Support</v>
      </c>
      <c r="L34" s="10">
        <f t="shared" ca="1" si="0"/>
        <v>2.7</v>
      </c>
      <c r="M34" s="10" t="str">
        <f t="shared" si="1"/>
        <v>William Jones</v>
      </c>
      <c r="N34" s="10">
        <f t="shared" si="2"/>
        <v>0</v>
      </c>
      <c r="O34" s="10">
        <f>COUNTIF(Orders!$C$2:$C$401,A34)</f>
        <v>0</v>
      </c>
      <c r="P34" s="19">
        <f>SUMIF(Orders!$C$2:$C$401,A34,Orders!$H$2:$H$401)</f>
        <v>0</v>
      </c>
    </row>
    <row r="35" spans="1:16" ht="15" customHeight="1" x14ac:dyDescent="0.25">
      <c r="A35" s="10">
        <v>34</v>
      </c>
      <c r="B35" s="10" t="s">
        <v>282</v>
      </c>
      <c r="C35" s="10" t="s">
        <v>283</v>
      </c>
      <c r="D35" s="10" t="s">
        <v>317</v>
      </c>
      <c r="E35" s="10">
        <v>7</v>
      </c>
      <c r="F35" s="10">
        <v>7</v>
      </c>
      <c r="G35" s="10" t="s">
        <v>318</v>
      </c>
      <c r="H35" s="10" t="s">
        <v>319</v>
      </c>
      <c r="I35" s="19">
        <v>57395.28</v>
      </c>
      <c r="J35" s="10" t="s">
        <v>36</v>
      </c>
      <c r="K35" s="10" t="str">
        <f>IFERROR(INDEX(Departments!$B$2:$B$8,MATCH(E35,Departments!$A$2:$A$8,0)),"Unassigned")</f>
        <v>Customer Support</v>
      </c>
      <c r="L35" s="10">
        <f t="shared" ca="1" si="0"/>
        <v>5.6</v>
      </c>
      <c r="M35" s="10" t="str">
        <f t="shared" si="1"/>
        <v>William Jones</v>
      </c>
      <c r="N35" s="10">
        <f t="shared" si="2"/>
        <v>0</v>
      </c>
      <c r="O35" s="10">
        <f>COUNTIF(Orders!$C$2:$C$401,A35)</f>
        <v>0</v>
      </c>
      <c r="P35" s="19">
        <f>SUMIF(Orders!$C$2:$C$401,A35,Orders!$H$2:$H$401)</f>
        <v>0</v>
      </c>
    </row>
    <row r="36" spans="1:16" ht="15" customHeight="1" x14ac:dyDescent="0.25">
      <c r="A36" s="10">
        <v>35</v>
      </c>
      <c r="B36" s="10" t="s">
        <v>320</v>
      </c>
      <c r="C36" s="10" t="s">
        <v>222</v>
      </c>
      <c r="D36" s="10" t="s">
        <v>321</v>
      </c>
      <c r="E36" s="10">
        <v>7</v>
      </c>
      <c r="F36" s="10">
        <v>7</v>
      </c>
      <c r="G36" s="10" t="s">
        <v>318</v>
      </c>
      <c r="H36" s="10" t="s">
        <v>322</v>
      </c>
      <c r="I36" s="19">
        <v>74422.009999999995</v>
      </c>
      <c r="J36" s="10" t="s">
        <v>36</v>
      </c>
      <c r="K36" s="10" t="str">
        <f>IFERROR(INDEX(Departments!$B$2:$B$8,MATCH(E36,Departments!$A$2:$A$8,0)),"Unassigned")</f>
        <v>Customer Support</v>
      </c>
      <c r="L36" s="10">
        <f t="shared" ca="1" si="0"/>
        <v>4.0999999999999996</v>
      </c>
      <c r="M36" s="10" t="str">
        <f t="shared" si="1"/>
        <v>William Jones</v>
      </c>
      <c r="N36" s="10">
        <f t="shared" si="2"/>
        <v>0</v>
      </c>
      <c r="O36" s="10">
        <f>COUNTIF(Orders!$C$2:$C$401,A36)</f>
        <v>0</v>
      </c>
      <c r="P36" s="19">
        <f>SUMIF(Orders!$C$2:$C$401,A36,Orders!$H$2:$H$401)</f>
        <v>0</v>
      </c>
    </row>
    <row r="37" spans="1:16" ht="15" customHeight="1" x14ac:dyDescent="0.25">
      <c r="A37" s="10">
        <v>36</v>
      </c>
      <c r="B37" s="10" t="s">
        <v>207</v>
      </c>
      <c r="C37" s="10" t="s">
        <v>233</v>
      </c>
      <c r="D37" s="10" t="s">
        <v>323</v>
      </c>
      <c r="E37" s="10">
        <v>7</v>
      </c>
      <c r="F37" s="10">
        <v>7</v>
      </c>
      <c r="G37" s="10" t="s">
        <v>318</v>
      </c>
      <c r="H37" s="10" t="s">
        <v>324</v>
      </c>
      <c r="I37" s="19">
        <v>90271</v>
      </c>
      <c r="J37" s="10" t="s">
        <v>38</v>
      </c>
      <c r="K37" s="10" t="str">
        <f>IFERROR(INDEX(Departments!$B$2:$B$8,MATCH(E37,Departments!$A$2:$A$8,0)),"Unassigned")</f>
        <v>Customer Support</v>
      </c>
      <c r="L37" s="10">
        <f t="shared" ca="1" si="0"/>
        <v>8.1</v>
      </c>
      <c r="M37" s="10" t="str">
        <f t="shared" si="1"/>
        <v>William Jones</v>
      </c>
      <c r="N37" s="10">
        <f t="shared" si="2"/>
        <v>0</v>
      </c>
      <c r="O37" s="10">
        <f>COUNTIF(Orders!$C$2:$C$401,A37)</f>
        <v>0</v>
      </c>
      <c r="P37" s="19">
        <f>SUMIF(Orders!$C$2:$C$401,A37,Orders!$H$2:$H$401)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K61"/>
  <sheetViews>
    <sheetView topLeftCell="B1"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 x14ac:dyDescent="0.25"/>
  <cols>
    <col min="1" max="1" width="16.5703125" style="10" bestFit="1" customWidth="1"/>
    <col min="2" max="2" width="20.28515625" style="10" bestFit="1" customWidth="1"/>
    <col min="3" max="3" width="18.42578125" style="10" bestFit="1" customWidth="1"/>
    <col min="4" max="4" width="34.7109375" style="10" bestFit="1" customWidth="1"/>
    <col min="5" max="5" width="12.28515625" style="10" bestFit="1" customWidth="1"/>
    <col min="6" max="6" width="11.42578125" style="10" bestFit="1" customWidth="1"/>
    <col min="7" max="7" width="14.140625" style="10" bestFit="1" customWidth="1"/>
    <col min="8" max="8" width="16.5703125" style="10" bestFit="1" customWidth="1"/>
    <col min="9" max="9" width="16.7109375" style="10" bestFit="1" customWidth="1"/>
    <col min="10" max="10" width="18.85546875" style="10" bestFit="1" customWidth="1"/>
    <col min="11" max="11" width="20.7109375" style="10" bestFit="1" customWidth="1"/>
  </cols>
  <sheetData>
    <row r="1" spans="1:11" ht="23.25" customHeight="1" x14ac:dyDescent="0.25">
      <c r="A1" s="39" t="s">
        <v>325</v>
      </c>
      <c r="B1" s="39" t="s">
        <v>1496</v>
      </c>
      <c r="C1" s="39" t="s">
        <v>1495</v>
      </c>
      <c r="D1" s="39" t="s">
        <v>192</v>
      </c>
      <c r="E1" s="39" t="s">
        <v>326</v>
      </c>
      <c r="F1" s="39" t="s">
        <v>327</v>
      </c>
      <c r="G1" s="39" t="s">
        <v>328</v>
      </c>
      <c r="H1" s="39" t="s">
        <v>1494</v>
      </c>
      <c r="I1" s="39" t="s">
        <v>329</v>
      </c>
      <c r="J1" s="39" t="s">
        <v>330</v>
      </c>
      <c r="K1" s="39" t="s">
        <v>57</v>
      </c>
    </row>
    <row r="2" spans="1:11" ht="15" customHeight="1" x14ac:dyDescent="0.25">
      <c r="A2" s="10">
        <v>1</v>
      </c>
      <c r="B2" s="10" t="s">
        <v>331</v>
      </c>
      <c r="C2" s="10" t="s">
        <v>332</v>
      </c>
      <c r="D2" s="10" t="s">
        <v>333</v>
      </c>
      <c r="E2" s="10" t="s">
        <v>334</v>
      </c>
      <c r="F2" s="10" t="s">
        <v>335</v>
      </c>
      <c r="G2" s="10" t="s">
        <v>43</v>
      </c>
      <c r="H2" s="10" t="s">
        <v>336</v>
      </c>
      <c r="I2" s="10">
        <f>COUNTIF(Orders!$B$2:$B$401,A2)</f>
        <v>5</v>
      </c>
      <c r="J2" s="19">
        <f>SUMIF(Orders!$B$2:$B$401,A2,Orders!$H$2:$H$401)</f>
        <v>30053.016</v>
      </c>
      <c r="K2" s="19">
        <f t="shared" ref="K2:K33" si="0">IFERROR(J2/I2,0)</f>
        <v>6010.6031999999996</v>
      </c>
    </row>
    <row r="3" spans="1:11" ht="15" customHeight="1" x14ac:dyDescent="0.25">
      <c r="A3" s="10">
        <v>2</v>
      </c>
      <c r="B3" s="10" t="s">
        <v>337</v>
      </c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43</v>
      </c>
      <c r="H3" s="10" t="s">
        <v>342</v>
      </c>
      <c r="I3" s="10">
        <f>COUNTIF(Orders!$B$2:$B$401,A3)</f>
        <v>3</v>
      </c>
      <c r="J3" s="19">
        <f>SUMIF(Orders!$B$2:$B$401,A3,Orders!$H$2:$H$401)</f>
        <v>15188.331</v>
      </c>
      <c r="K3" s="19">
        <f t="shared" si="0"/>
        <v>5062.777</v>
      </c>
    </row>
    <row r="4" spans="1:11" ht="15" customHeight="1" x14ac:dyDescent="0.25">
      <c r="A4" s="10">
        <v>3</v>
      </c>
      <c r="B4" s="10" t="s">
        <v>343</v>
      </c>
      <c r="C4" s="10" t="s">
        <v>344</v>
      </c>
      <c r="D4" s="10" t="s">
        <v>345</v>
      </c>
      <c r="E4" s="10" t="s">
        <v>346</v>
      </c>
      <c r="F4" s="10" t="s">
        <v>347</v>
      </c>
      <c r="G4" s="10" t="s">
        <v>45</v>
      </c>
      <c r="H4" s="10" t="s">
        <v>348</v>
      </c>
      <c r="I4" s="10">
        <f>COUNTIF(Orders!$B$2:$B$401,A4)</f>
        <v>3</v>
      </c>
      <c r="J4" s="19">
        <f>SUMIF(Orders!$B$2:$B$401,A4,Orders!$H$2:$H$401)</f>
        <v>18853.145499999999</v>
      </c>
      <c r="K4" s="19">
        <f t="shared" si="0"/>
        <v>6284.3818333333329</v>
      </c>
    </row>
    <row r="5" spans="1:11" ht="15" customHeight="1" x14ac:dyDescent="0.25">
      <c r="A5" s="10">
        <v>4</v>
      </c>
      <c r="B5" s="10" t="s">
        <v>349</v>
      </c>
      <c r="C5" s="10" t="s">
        <v>350</v>
      </c>
      <c r="D5" s="10" t="s">
        <v>351</v>
      </c>
      <c r="E5" s="10" t="s">
        <v>346</v>
      </c>
      <c r="F5" s="10" t="s">
        <v>352</v>
      </c>
      <c r="G5" s="10" t="s">
        <v>44</v>
      </c>
      <c r="H5" s="10" t="s">
        <v>353</v>
      </c>
      <c r="I5" s="10">
        <f>COUNTIF(Orders!$B$2:$B$401,A5)</f>
        <v>4</v>
      </c>
      <c r="J5" s="19">
        <f>SUMIF(Orders!$B$2:$B$401,A5,Orders!$H$2:$H$401)</f>
        <v>10838.086499999999</v>
      </c>
      <c r="K5" s="19">
        <f t="shared" si="0"/>
        <v>2709.5216249999999</v>
      </c>
    </row>
    <row r="6" spans="1:11" ht="15" customHeight="1" x14ac:dyDescent="0.25">
      <c r="A6" s="10">
        <v>5</v>
      </c>
      <c r="B6" s="10" t="s">
        <v>354</v>
      </c>
      <c r="C6" s="10" t="s">
        <v>355</v>
      </c>
      <c r="D6" s="10" t="s">
        <v>356</v>
      </c>
      <c r="E6" s="10" t="s">
        <v>346</v>
      </c>
      <c r="F6" s="10" t="s">
        <v>347</v>
      </c>
      <c r="G6" s="10" t="s">
        <v>45</v>
      </c>
      <c r="H6" s="10" t="s">
        <v>357</v>
      </c>
      <c r="I6" s="10">
        <f>COUNTIF(Orders!$B$2:$B$401,A6)</f>
        <v>4</v>
      </c>
      <c r="J6" s="19">
        <f>SUMIF(Orders!$B$2:$B$401,A6,Orders!$H$2:$H$401)</f>
        <v>21579.464</v>
      </c>
      <c r="K6" s="19">
        <f t="shared" si="0"/>
        <v>5394.866</v>
      </c>
    </row>
    <row r="7" spans="1:11" ht="15" customHeight="1" x14ac:dyDescent="0.25">
      <c r="A7" s="10">
        <v>6</v>
      </c>
      <c r="B7" s="10" t="s">
        <v>358</v>
      </c>
      <c r="C7" s="10" t="s">
        <v>359</v>
      </c>
      <c r="D7" s="10" t="s">
        <v>360</v>
      </c>
      <c r="E7" s="10" t="s">
        <v>361</v>
      </c>
      <c r="F7" s="10" t="s">
        <v>362</v>
      </c>
      <c r="G7" s="10" t="s">
        <v>45</v>
      </c>
      <c r="H7" s="10" t="s">
        <v>363</v>
      </c>
      <c r="I7" s="10">
        <f>COUNTIF(Orders!$B$2:$B$401,A7)</f>
        <v>10</v>
      </c>
      <c r="J7" s="19">
        <f>SUMIF(Orders!$B$2:$B$401,A7,Orders!$H$2:$H$401)</f>
        <v>46488.101000000002</v>
      </c>
      <c r="K7" s="19">
        <f t="shared" si="0"/>
        <v>4648.8101000000006</v>
      </c>
    </row>
    <row r="8" spans="1:11" ht="15" customHeight="1" x14ac:dyDescent="0.25">
      <c r="A8" s="10">
        <v>7</v>
      </c>
      <c r="B8" s="10" t="s">
        <v>364</v>
      </c>
      <c r="C8" s="10" t="s">
        <v>365</v>
      </c>
      <c r="D8" s="10" t="s">
        <v>366</v>
      </c>
      <c r="E8" s="10" t="s">
        <v>367</v>
      </c>
      <c r="F8" s="10" t="s">
        <v>368</v>
      </c>
      <c r="G8" s="10" t="s">
        <v>44</v>
      </c>
      <c r="H8" s="10" t="s">
        <v>369</v>
      </c>
      <c r="I8" s="10">
        <f>COUNTIF(Orders!$B$2:$B$401,A8)</f>
        <v>4</v>
      </c>
      <c r="J8" s="19">
        <f>SUMIF(Orders!$B$2:$B$401,A8,Orders!$H$2:$H$401)</f>
        <v>17833.693000000003</v>
      </c>
      <c r="K8" s="19">
        <f t="shared" si="0"/>
        <v>4458.4232500000007</v>
      </c>
    </row>
    <row r="9" spans="1:11" ht="15" customHeight="1" x14ac:dyDescent="0.25">
      <c r="A9" s="10">
        <v>8</v>
      </c>
      <c r="B9" s="10" t="s">
        <v>370</v>
      </c>
      <c r="C9" s="10" t="s">
        <v>371</v>
      </c>
      <c r="D9" s="10" t="s">
        <v>372</v>
      </c>
      <c r="E9" s="10" t="s">
        <v>346</v>
      </c>
      <c r="F9" s="10" t="s">
        <v>373</v>
      </c>
      <c r="G9" s="10" t="s">
        <v>45</v>
      </c>
      <c r="H9" s="10" t="s">
        <v>374</v>
      </c>
      <c r="I9" s="10">
        <f>COUNTIF(Orders!$B$2:$B$401,A9)</f>
        <v>9</v>
      </c>
      <c r="J9" s="19">
        <f>SUMIF(Orders!$B$2:$B$401,A9,Orders!$H$2:$H$401)</f>
        <v>28811.665499999999</v>
      </c>
      <c r="K9" s="19">
        <f t="shared" si="0"/>
        <v>3201.2961666666665</v>
      </c>
    </row>
    <row r="10" spans="1:11" ht="15" customHeight="1" x14ac:dyDescent="0.25">
      <c r="A10" s="10">
        <v>9</v>
      </c>
      <c r="B10" s="10" t="s">
        <v>375</v>
      </c>
      <c r="C10" s="10" t="s">
        <v>376</v>
      </c>
      <c r="D10" s="10" t="s">
        <v>377</v>
      </c>
      <c r="E10" s="10" t="s">
        <v>361</v>
      </c>
      <c r="F10" s="10" t="s">
        <v>378</v>
      </c>
      <c r="G10" s="10" t="s">
        <v>45</v>
      </c>
      <c r="H10" s="10" t="s">
        <v>379</v>
      </c>
      <c r="I10" s="10">
        <f>COUNTIF(Orders!$B$2:$B$401,A10)</f>
        <v>4</v>
      </c>
      <c r="J10" s="19">
        <f>SUMIF(Orders!$B$2:$B$401,A10,Orders!$H$2:$H$401)</f>
        <v>14596.396000000001</v>
      </c>
      <c r="K10" s="19">
        <f t="shared" si="0"/>
        <v>3649.0990000000002</v>
      </c>
    </row>
    <row r="11" spans="1:11" ht="15" customHeight="1" x14ac:dyDescent="0.25">
      <c r="A11" s="10">
        <v>10</v>
      </c>
      <c r="B11" s="10" t="s">
        <v>380</v>
      </c>
      <c r="C11" s="10" t="s">
        <v>381</v>
      </c>
      <c r="D11" s="10" t="s">
        <v>382</v>
      </c>
      <c r="E11" s="10" t="s">
        <v>367</v>
      </c>
      <c r="F11" s="10" t="s">
        <v>368</v>
      </c>
      <c r="G11" s="10" t="s">
        <v>43</v>
      </c>
      <c r="H11" s="10" t="s">
        <v>383</v>
      </c>
      <c r="I11" s="10">
        <f>COUNTIF(Orders!$B$2:$B$401,A11)</f>
        <v>8</v>
      </c>
      <c r="J11" s="19">
        <f>SUMIF(Orders!$B$2:$B$401,A11,Orders!$H$2:$H$401)</f>
        <v>55426.68</v>
      </c>
      <c r="K11" s="19">
        <f t="shared" si="0"/>
        <v>6928.335</v>
      </c>
    </row>
    <row r="12" spans="1:11" ht="15" customHeight="1" x14ac:dyDescent="0.25">
      <c r="A12" s="10">
        <v>11</v>
      </c>
      <c r="B12" s="10" t="s">
        <v>384</v>
      </c>
      <c r="C12" s="10" t="s">
        <v>385</v>
      </c>
      <c r="D12" s="10" t="s">
        <v>386</v>
      </c>
      <c r="E12" s="10" t="s">
        <v>387</v>
      </c>
      <c r="F12" s="10" t="s">
        <v>388</v>
      </c>
      <c r="G12" s="10" t="s">
        <v>45</v>
      </c>
      <c r="H12" s="10" t="s">
        <v>389</v>
      </c>
      <c r="I12" s="10">
        <f>COUNTIF(Orders!$B$2:$B$401,A12)</f>
        <v>9</v>
      </c>
      <c r="J12" s="19">
        <f>SUMIF(Orders!$B$2:$B$401,A12,Orders!$H$2:$H$401)</f>
        <v>37463.5245</v>
      </c>
      <c r="K12" s="19">
        <f t="shared" si="0"/>
        <v>4162.6138333333329</v>
      </c>
    </row>
    <row r="13" spans="1:11" ht="15" customHeight="1" x14ac:dyDescent="0.25">
      <c r="A13" s="10">
        <v>12</v>
      </c>
      <c r="B13" s="10" t="s">
        <v>390</v>
      </c>
      <c r="C13" s="10" t="s">
        <v>391</v>
      </c>
      <c r="D13" s="10" t="s">
        <v>392</v>
      </c>
      <c r="E13" s="10" t="s">
        <v>346</v>
      </c>
      <c r="F13" s="10" t="s">
        <v>352</v>
      </c>
      <c r="G13" s="10" t="s">
        <v>44</v>
      </c>
      <c r="H13" s="10" t="s">
        <v>393</v>
      </c>
      <c r="I13" s="10">
        <f>COUNTIF(Orders!$B$2:$B$401,A13)</f>
        <v>10</v>
      </c>
      <c r="J13" s="19">
        <f>SUMIF(Orders!$B$2:$B$401,A13,Orders!$H$2:$H$401)</f>
        <v>38655.064500000008</v>
      </c>
      <c r="K13" s="19">
        <f t="shared" si="0"/>
        <v>3865.5064500000008</v>
      </c>
    </row>
    <row r="14" spans="1:11" ht="15" customHeight="1" x14ac:dyDescent="0.25">
      <c r="A14" s="10">
        <v>13</v>
      </c>
      <c r="B14" s="10" t="s">
        <v>394</v>
      </c>
      <c r="C14" s="10" t="s">
        <v>395</v>
      </c>
      <c r="D14" s="10" t="s">
        <v>396</v>
      </c>
      <c r="E14" s="10" t="s">
        <v>397</v>
      </c>
      <c r="F14" s="10" t="s">
        <v>398</v>
      </c>
      <c r="G14" s="10" t="s">
        <v>44</v>
      </c>
      <c r="H14" s="10" t="s">
        <v>399</v>
      </c>
      <c r="I14" s="10">
        <f>COUNTIF(Orders!$B$2:$B$401,A14)</f>
        <v>5</v>
      </c>
      <c r="J14" s="19">
        <f>SUMIF(Orders!$B$2:$B$401,A14,Orders!$H$2:$H$401)</f>
        <v>25727.167999999998</v>
      </c>
      <c r="K14" s="19">
        <f t="shared" si="0"/>
        <v>5145.4335999999994</v>
      </c>
    </row>
    <row r="15" spans="1:11" ht="15" customHeight="1" x14ac:dyDescent="0.25">
      <c r="A15" s="10">
        <v>14</v>
      </c>
      <c r="B15" s="10" t="s">
        <v>400</v>
      </c>
      <c r="C15" s="10" t="s">
        <v>401</v>
      </c>
      <c r="D15" s="10" t="s">
        <v>402</v>
      </c>
      <c r="E15" s="10" t="s">
        <v>346</v>
      </c>
      <c r="F15" s="10" t="s">
        <v>373</v>
      </c>
      <c r="G15" s="10" t="s">
        <v>44</v>
      </c>
      <c r="H15" s="10" t="s">
        <v>403</v>
      </c>
      <c r="I15" s="10">
        <f>COUNTIF(Orders!$B$2:$B$401,A15)</f>
        <v>4</v>
      </c>
      <c r="J15" s="19">
        <f>SUMIF(Orders!$B$2:$B$401,A15,Orders!$H$2:$H$401)</f>
        <v>21681.080500000004</v>
      </c>
      <c r="K15" s="19">
        <f t="shared" si="0"/>
        <v>5420.2701250000009</v>
      </c>
    </row>
    <row r="16" spans="1:11" ht="15" customHeight="1" x14ac:dyDescent="0.25">
      <c r="A16" s="10">
        <v>15</v>
      </c>
      <c r="B16" s="10" t="s">
        <v>404</v>
      </c>
      <c r="C16" s="10" t="s">
        <v>405</v>
      </c>
      <c r="D16" s="10" t="s">
        <v>406</v>
      </c>
      <c r="E16" s="10" t="s">
        <v>407</v>
      </c>
      <c r="F16" s="10" t="s">
        <v>408</v>
      </c>
      <c r="G16" s="10" t="s">
        <v>44</v>
      </c>
      <c r="H16" s="10" t="s">
        <v>409</v>
      </c>
      <c r="I16" s="10">
        <f>COUNTIF(Orders!$B$2:$B$401,A16)</f>
        <v>6</v>
      </c>
      <c r="J16" s="19">
        <f>SUMIF(Orders!$B$2:$B$401,A16,Orders!$H$2:$H$401)</f>
        <v>23806.791499999999</v>
      </c>
      <c r="K16" s="19">
        <f t="shared" si="0"/>
        <v>3967.7985833333332</v>
      </c>
    </row>
    <row r="17" spans="1:11" ht="15" customHeight="1" x14ac:dyDescent="0.25">
      <c r="A17" s="10">
        <v>16</v>
      </c>
      <c r="B17" s="10" t="s">
        <v>410</v>
      </c>
      <c r="C17" s="10" t="s">
        <v>411</v>
      </c>
      <c r="D17" s="10" t="s">
        <v>412</v>
      </c>
      <c r="E17" s="10" t="s">
        <v>334</v>
      </c>
      <c r="F17" s="10" t="s">
        <v>335</v>
      </c>
      <c r="G17" s="10" t="s">
        <v>44</v>
      </c>
      <c r="H17" s="10" t="s">
        <v>413</v>
      </c>
      <c r="I17" s="10">
        <f>COUNTIF(Orders!$B$2:$B$401,A17)</f>
        <v>7</v>
      </c>
      <c r="J17" s="19">
        <f>SUMIF(Orders!$B$2:$B$401,A17,Orders!$H$2:$H$401)</f>
        <v>30204.004499999999</v>
      </c>
      <c r="K17" s="19">
        <f t="shared" si="0"/>
        <v>4314.8577857142855</v>
      </c>
    </row>
    <row r="18" spans="1:11" ht="15" customHeight="1" x14ac:dyDescent="0.25">
      <c r="A18" s="10">
        <v>17</v>
      </c>
      <c r="B18" s="10" t="s">
        <v>414</v>
      </c>
      <c r="C18" s="10" t="s">
        <v>415</v>
      </c>
      <c r="D18" s="10" t="s">
        <v>416</v>
      </c>
      <c r="E18" s="10" t="s">
        <v>407</v>
      </c>
      <c r="F18" s="10" t="s">
        <v>417</v>
      </c>
      <c r="G18" s="10" t="s">
        <v>44</v>
      </c>
      <c r="H18" s="10" t="s">
        <v>418</v>
      </c>
      <c r="I18" s="10">
        <f>COUNTIF(Orders!$B$2:$B$401,A18)</f>
        <v>2</v>
      </c>
      <c r="J18" s="19">
        <f>SUMIF(Orders!$B$2:$B$401,A18,Orders!$H$2:$H$401)</f>
        <v>7660.4054999999998</v>
      </c>
      <c r="K18" s="19">
        <f t="shared" si="0"/>
        <v>3830.2027499999999</v>
      </c>
    </row>
    <row r="19" spans="1:11" ht="15" customHeight="1" x14ac:dyDescent="0.25">
      <c r="A19" s="10">
        <v>18</v>
      </c>
      <c r="B19" s="10" t="s">
        <v>419</v>
      </c>
      <c r="C19" s="10" t="s">
        <v>420</v>
      </c>
      <c r="D19" s="10" t="s">
        <v>421</v>
      </c>
      <c r="E19" s="10" t="s">
        <v>334</v>
      </c>
      <c r="F19" s="10" t="s">
        <v>335</v>
      </c>
      <c r="G19" s="10" t="s">
        <v>44</v>
      </c>
      <c r="H19" s="10" t="s">
        <v>422</v>
      </c>
      <c r="I19" s="10">
        <f>COUNTIF(Orders!$B$2:$B$401,A19)</f>
        <v>8</v>
      </c>
      <c r="J19" s="19">
        <f>SUMIF(Orders!$B$2:$B$401,A19,Orders!$H$2:$H$401)</f>
        <v>23940.137000000002</v>
      </c>
      <c r="K19" s="19">
        <f t="shared" si="0"/>
        <v>2992.5171250000003</v>
      </c>
    </row>
    <row r="20" spans="1:11" ht="15" customHeight="1" x14ac:dyDescent="0.25">
      <c r="A20" s="10">
        <v>19</v>
      </c>
      <c r="B20" s="10" t="s">
        <v>423</v>
      </c>
      <c r="C20" s="10" t="s">
        <v>424</v>
      </c>
      <c r="D20" s="10" t="s">
        <v>425</v>
      </c>
      <c r="E20" s="10" t="s">
        <v>346</v>
      </c>
      <c r="F20" s="10" t="s">
        <v>426</v>
      </c>
      <c r="G20" s="10" t="s">
        <v>43</v>
      </c>
      <c r="H20" s="10" t="s">
        <v>427</v>
      </c>
      <c r="I20" s="10">
        <f>COUNTIF(Orders!$B$2:$B$401,A20)</f>
        <v>4</v>
      </c>
      <c r="J20" s="19">
        <f>SUMIF(Orders!$B$2:$B$401,A20,Orders!$H$2:$H$401)</f>
        <v>11637.811</v>
      </c>
      <c r="K20" s="19">
        <f t="shared" si="0"/>
        <v>2909.4527499999999</v>
      </c>
    </row>
    <row r="21" spans="1:11" ht="15" customHeight="1" x14ac:dyDescent="0.25">
      <c r="A21" s="10">
        <v>20</v>
      </c>
      <c r="B21" s="10" t="s">
        <v>428</v>
      </c>
      <c r="C21" s="10" t="s">
        <v>429</v>
      </c>
      <c r="D21" s="10" t="s">
        <v>430</v>
      </c>
      <c r="E21" s="10" t="s">
        <v>397</v>
      </c>
      <c r="F21" s="10" t="s">
        <v>398</v>
      </c>
      <c r="G21" s="10" t="s">
        <v>43</v>
      </c>
      <c r="H21" s="10" t="s">
        <v>431</v>
      </c>
      <c r="I21" s="10">
        <f>COUNTIF(Orders!$B$2:$B$401,A21)</f>
        <v>4</v>
      </c>
      <c r="J21" s="19">
        <f>SUMIF(Orders!$B$2:$B$401,A21,Orders!$H$2:$H$401)</f>
        <v>14271.250500000002</v>
      </c>
      <c r="K21" s="19">
        <f t="shared" si="0"/>
        <v>3567.8126250000005</v>
      </c>
    </row>
    <row r="22" spans="1:11" ht="15" customHeight="1" x14ac:dyDescent="0.25">
      <c r="A22" s="10">
        <v>21</v>
      </c>
      <c r="B22" s="10" t="s">
        <v>432</v>
      </c>
      <c r="C22" s="10" t="s">
        <v>433</v>
      </c>
      <c r="D22" s="10" t="s">
        <v>434</v>
      </c>
      <c r="E22" s="10" t="s">
        <v>435</v>
      </c>
      <c r="F22" s="10" t="s">
        <v>436</v>
      </c>
      <c r="G22" s="10" t="s">
        <v>43</v>
      </c>
      <c r="H22" s="10" t="s">
        <v>437</v>
      </c>
      <c r="I22" s="10">
        <f>COUNTIF(Orders!$B$2:$B$401,A22)</f>
        <v>8</v>
      </c>
      <c r="J22" s="19">
        <f>SUMIF(Orders!$B$2:$B$401,A22,Orders!$H$2:$H$401)</f>
        <v>37259.340499999998</v>
      </c>
      <c r="K22" s="19">
        <f t="shared" si="0"/>
        <v>4657.4175624999998</v>
      </c>
    </row>
    <row r="23" spans="1:11" ht="15" customHeight="1" x14ac:dyDescent="0.25">
      <c r="A23" s="10">
        <v>22</v>
      </c>
      <c r="B23" s="10" t="s">
        <v>438</v>
      </c>
      <c r="C23" s="10" t="s">
        <v>439</v>
      </c>
      <c r="D23" s="10" t="s">
        <v>440</v>
      </c>
      <c r="E23" s="10" t="s">
        <v>441</v>
      </c>
      <c r="F23" s="10" t="s">
        <v>441</v>
      </c>
      <c r="G23" s="10" t="s">
        <v>44</v>
      </c>
      <c r="H23" s="10" t="s">
        <v>442</v>
      </c>
      <c r="I23" s="10">
        <f>COUNTIF(Orders!$B$2:$B$401,A23)</f>
        <v>5</v>
      </c>
      <c r="J23" s="19">
        <f>SUMIF(Orders!$B$2:$B$401,A23,Orders!$H$2:$H$401)</f>
        <v>14206.556</v>
      </c>
      <c r="K23" s="19">
        <f t="shared" si="0"/>
        <v>2841.3112000000001</v>
      </c>
    </row>
    <row r="24" spans="1:11" ht="15" customHeight="1" x14ac:dyDescent="0.25">
      <c r="A24" s="10">
        <v>23</v>
      </c>
      <c r="B24" s="10" t="s">
        <v>443</v>
      </c>
      <c r="C24" s="10" t="s">
        <v>444</v>
      </c>
      <c r="D24" s="10" t="s">
        <v>445</v>
      </c>
      <c r="E24" s="10" t="s">
        <v>446</v>
      </c>
      <c r="F24" s="10" t="s">
        <v>447</v>
      </c>
      <c r="G24" s="10" t="s">
        <v>44</v>
      </c>
      <c r="H24" s="10" t="s">
        <v>448</v>
      </c>
      <c r="I24" s="10">
        <f>COUNTIF(Orders!$B$2:$B$401,A24)</f>
        <v>6</v>
      </c>
      <c r="J24" s="19">
        <f>SUMIF(Orders!$B$2:$B$401,A24,Orders!$H$2:$H$401)</f>
        <v>27376.811500000003</v>
      </c>
      <c r="K24" s="19">
        <f t="shared" si="0"/>
        <v>4562.8019166666672</v>
      </c>
    </row>
    <row r="25" spans="1:11" ht="15" customHeight="1" x14ac:dyDescent="0.25">
      <c r="A25" s="10">
        <v>24</v>
      </c>
      <c r="B25" s="10" t="s">
        <v>449</v>
      </c>
      <c r="C25" s="10" t="s">
        <v>450</v>
      </c>
      <c r="D25" s="10" t="s">
        <v>451</v>
      </c>
      <c r="E25" s="10" t="s">
        <v>452</v>
      </c>
      <c r="F25" s="10" t="s">
        <v>453</v>
      </c>
      <c r="G25" s="10" t="s">
        <v>45</v>
      </c>
      <c r="H25" s="10" t="s">
        <v>454</v>
      </c>
      <c r="I25" s="10">
        <f>COUNTIF(Orders!$B$2:$B$401,A25)</f>
        <v>4</v>
      </c>
      <c r="J25" s="19">
        <f>SUMIF(Orders!$B$2:$B$401,A25,Orders!$H$2:$H$401)</f>
        <v>19013.3125</v>
      </c>
      <c r="K25" s="19">
        <f t="shared" si="0"/>
        <v>4753.328125</v>
      </c>
    </row>
    <row r="26" spans="1:11" ht="15" customHeight="1" x14ac:dyDescent="0.25">
      <c r="A26" s="10">
        <v>25</v>
      </c>
      <c r="B26" s="10" t="s">
        <v>455</v>
      </c>
      <c r="C26" s="10" t="s">
        <v>456</v>
      </c>
      <c r="D26" s="10" t="s">
        <v>457</v>
      </c>
      <c r="E26" s="10" t="s">
        <v>407</v>
      </c>
      <c r="F26" s="10" t="s">
        <v>417</v>
      </c>
      <c r="G26" s="10" t="s">
        <v>44</v>
      </c>
      <c r="H26" s="10" t="s">
        <v>458</v>
      </c>
      <c r="I26" s="10">
        <f>COUNTIF(Orders!$B$2:$B$401,A26)</f>
        <v>7</v>
      </c>
      <c r="J26" s="19">
        <f>SUMIF(Orders!$B$2:$B$401,A26,Orders!$H$2:$H$401)</f>
        <v>44517.674999999996</v>
      </c>
      <c r="K26" s="19">
        <f t="shared" si="0"/>
        <v>6359.6678571428565</v>
      </c>
    </row>
    <row r="27" spans="1:11" ht="15" customHeight="1" x14ac:dyDescent="0.25">
      <c r="A27" s="10">
        <v>26</v>
      </c>
      <c r="B27" s="10" t="s">
        <v>459</v>
      </c>
      <c r="C27" s="10" t="s">
        <v>460</v>
      </c>
      <c r="D27" s="10" t="s">
        <v>461</v>
      </c>
      <c r="E27" s="10" t="s">
        <v>346</v>
      </c>
      <c r="F27" s="10" t="s">
        <v>373</v>
      </c>
      <c r="G27" s="10" t="s">
        <v>44</v>
      </c>
      <c r="H27" s="10" t="s">
        <v>462</v>
      </c>
      <c r="I27" s="10">
        <f>COUNTIF(Orders!$B$2:$B$401,A27)</f>
        <v>3</v>
      </c>
      <c r="J27" s="19">
        <f>SUMIF(Orders!$B$2:$B$401,A27,Orders!$H$2:$H$401)</f>
        <v>22236.874</v>
      </c>
      <c r="K27" s="19">
        <f t="shared" si="0"/>
        <v>7412.2913333333336</v>
      </c>
    </row>
    <row r="28" spans="1:11" ht="15" customHeight="1" x14ac:dyDescent="0.25">
      <c r="A28" s="10">
        <v>27</v>
      </c>
      <c r="B28" s="10" t="s">
        <v>463</v>
      </c>
      <c r="C28" s="10" t="s">
        <v>464</v>
      </c>
      <c r="D28" s="10" t="s">
        <v>465</v>
      </c>
      <c r="E28" s="10" t="s">
        <v>387</v>
      </c>
      <c r="F28" s="10" t="s">
        <v>388</v>
      </c>
      <c r="G28" s="10" t="s">
        <v>44</v>
      </c>
      <c r="H28" s="10" t="s">
        <v>466</v>
      </c>
      <c r="I28" s="10">
        <f>COUNTIF(Orders!$B$2:$B$401,A28)</f>
        <v>5</v>
      </c>
      <c r="J28" s="19">
        <f>SUMIF(Orders!$B$2:$B$401,A28,Orders!$H$2:$H$401)</f>
        <v>17150.433999999997</v>
      </c>
      <c r="K28" s="19">
        <f t="shared" si="0"/>
        <v>3430.0867999999996</v>
      </c>
    </row>
    <row r="29" spans="1:11" ht="15" customHeight="1" x14ac:dyDescent="0.25">
      <c r="A29" s="10">
        <v>28</v>
      </c>
      <c r="B29" s="10" t="s">
        <v>467</v>
      </c>
      <c r="C29" s="10" t="s">
        <v>468</v>
      </c>
      <c r="D29" s="10" t="s">
        <v>469</v>
      </c>
      <c r="E29" s="10" t="s">
        <v>361</v>
      </c>
      <c r="F29" s="10" t="s">
        <v>362</v>
      </c>
      <c r="G29" s="10" t="s">
        <v>44</v>
      </c>
      <c r="H29" s="10" t="s">
        <v>470</v>
      </c>
      <c r="I29" s="10">
        <f>COUNTIF(Orders!$B$2:$B$401,A29)</f>
        <v>2</v>
      </c>
      <c r="J29" s="19">
        <f>SUMIF(Orders!$B$2:$B$401,A29,Orders!$H$2:$H$401)</f>
        <v>11353.656000000001</v>
      </c>
      <c r="K29" s="19">
        <f t="shared" si="0"/>
        <v>5676.8280000000004</v>
      </c>
    </row>
    <row r="30" spans="1:11" ht="15" customHeight="1" x14ac:dyDescent="0.25">
      <c r="A30" s="10">
        <v>29</v>
      </c>
      <c r="B30" s="10" t="s">
        <v>428</v>
      </c>
      <c r="C30" s="10" t="s">
        <v>471</v>
      </c>
      <c r="D30" s="10" t="s">
        <v>472</v>
      </c>
      <c r="E30" s="10" t="s">
        <v>452</v>
      </c>
      <c r="F30" s="10" t="s">
        <v>453</v>
      </c>
      <c r="G30" s="10" t="s">
        <v>45</v>
      </c>
      <c r="H30" s="10" t="s">
        <v>473</v>
      </c>
      <c r="I30" s="10">
        <f>COUNTIF(Orders!$B$2:$B$401,A30)</f>
        <v>10</v>
      </c>
      <c r="J30" s="19">
        <f>SUMIF(Orders!$B$2:$B$401,A30,Orders!$H$2:$H$401)</f>
        <v>41079.410999999993</v>
      </c>
      <c r="K30" s="19">
        <f t="shared" si="0"/>
        <v>4107.9410999999991</v>
      </c>
    </row>
    <row r="31" spans="1:11" ht="15" customHeight="1" x14ac:dyDescent="0.25">
      <c r="A31" s="10">
        <v>30</v>
      </c>
      <c r="B31" s="10" t="s">
        <v>474</v>
      </c>
      <c r="C31" s="10" t="s">
        <v>475</v>
      </c>
      <c r="D31" s="10" t="s">
        <v>476</v>
      </c>
      <c r="E31" s="10" t="s">
        <v>387</v>
      </c>
      <c r="F31" s="10" t="s">
        <v>388</v>
      </c>
      <c r="G31" s="10" t="s">
        <v>45</v>
      </c>
      <c r="H31" s="10" t="s">
        <v>477</v>
      </c>
      <c r="I31" s="10">
        <f>COUNTIF(Orders!$B$2:$B$401,A31)</f>
        <v>13</v>
      </c>
      <c r="J31" s="19">
        <f>SUMIF(Orders!$B$2:$B$401,A31,Orders!$H$2:$H$401)</f>
        <v>56501.296000000002</v>
      </c>
      <c r="K31" s="19">
        <f t="shared" si="0"/>
        <v>4346.2535384615385</v>
      </c>
    </row>
    <row r="32" spans="1:11" ht="15" customHeight="1" x14ac:dyDescent="0.25">
      <c r="A32" s="10">
        <v>31</v>
      </c>
      <c r="B32" s="10" t="s">
        <v>432</v>
      </c>
      <c r="C32" s="10" t="s">
        <v>478</v>
      </c>
      <c r="D32" s="10" t="s">
        <v>479</v>
      </c>
      <c r="E32" s="10" t="s">
        <v>435</v>
      </c>
      <c r="F32" s="10" t="s">
        <v>436</v>
      </c>
      <c r="G32" s="10" t="s">
        <v>45</v>
      </c>
      <c r="H32" s="10" t="s">
        <v>480</v>
      </c>
      <c r="I32" s="10">
        <f>COUNTIF(Orders!$B$2:$B$401,A32)</f>
        <v>14</v>
      </c>
      <c r="J32" s="19">
        <f>SUMIF(Orders!$B$2:$B$401,A32,Orders!$H$2:$H$401)</f>
        <v>59497.622999999992</v>
      </c>
      <c r="K32" s="19">
        <f t="shared" si="0"/>
        <v>4249.8302142857137</v>
      </c>
    </row>
    <row r="33" spans="1:11" ht="15" customHeight="1" x14ac:dyDescent="0.25">
      <c r="A33" s="10">
        <v>32</v>
      </c>
      <c r="B33" s="10" t="s">
        <v>481</v>
      </c>
      <c r="C33" s="10" t="s">
        <v>482</v>
      </c>
      <c r="D33" s="10" t="s">
        <v>483</v>
      </c>
      <c r="E33" s="10" t="s">
        <v>361</v>
      </c>
      <c r="F33" s="10" t="s">
        <v>362</v>
      </c>
      <c r="G33" s="10" t="s">
        <v>44</v>
      </c>
      <c r="H33" s="10" t="s">
        <v>484</v>
      </c>
      <c r="I33" s="10">
        <f>COUNTIF(Orders!$B$2:$B$401,A33)</f>
        <v>6</v>
      </c>
      <c r="J33" s="19">
        <f>SUMIF(Orders!$B$2:$B$401,A33,Orders!$H$2:$H$401)</f>
        <v>31481.271499999999</v>
      </c>
      <c r="K33" s="19">
        <f t="shared" si="0"/>
        <v>5246.8785833333332</v>
      </c>
    </row>
    <row r="34" spans="1:11" ht="15" customHeight="1" x14ac:dyDescent="0.25">
      <c r="A34" s="10">
        <v>33</v>
      </c>
      <c r="B34" s="10" t="s">
        <v>485</v>
      </c>
      <c r="C34" s="10" t="s">
        <v>486</v>
      </c>
      <c r="D34" s="10" t="s">
        <v>487</v>
      </c>
      <c r="E34" s="10" t="s">
        <v>361</v>
      </c>
      <c r="F34" s="10" t="s">
        <v>362</v>
      </c>
      <c r="G34" s="10" t="s">
        <v>45</v>
      </c>
      <c r="H34" s="10" t="s">
        <v>488</v>
      </c>
      <c r="I34" s="10">
        <f>COUNTIF(Orders!$B$2:$B$401,A34)</f>
        <v>10</v>
      </c>
      <c r="J34" s="19">
        <f>SUMIF(Orders!$B$2:$B$401,A34,Orders!$H$2:$H$401)</f>
        <v>44966.745999999999</v>
      </c>
      <c r="K34" s="19">
        <f t="shared" ref="K34:K65" si="1">IFERROR(J34/I34,0)</f>
        <v>4496.6746000000003</v>
      </c>
    </row>
    <row r="35" spans="1:11" ht="15" customHeight="1" x14ac:dyDescent="0.25">
      <c r="A35" s="10">
        <v>34</v>
      </c>
      <c r="B35" s="10" t="s">
        <v>489</v>
      </c>
      <c r="C35" s="10" t="s">
        <v>490</v>
      </c>
      <c r="D35" s="10" t="s">
        <v>491</v>
      </c>
      <c r="E35" s="10" t="s">
        <v>334</v>
      </c>
      <c r="F35" s="10" t="s">
        <v>335</v>
      </c>
      <c r="G35" s="10" t="s">
        <v>44</v>
      </c>
      <c r="H35" s="10" t="s">
        <v>492</v>
      </c>
      <c r="I35" s="10">
        <f>COUNTIF(Orders!$B$2:$B$401,A35)</f>
        <v>9</v>
      </c>
      <c r="J35" s="19">
        <f>SUMIF(Orders!$B$2:$B$401,A35,Orders!$H$2:$H$401)</f>
        <v>43829.227500000001</v>
      </c>
      <c r="K35" s="19">
        <f t="shared" si="1"/>
        <v>4869.9141666666665</v>
      </c>
    </row>
    <row r="36" spans="1:11" ht="15" customHeight="1" x14ac:dyDescent="0.25">
      <c r="A36" s="10">
        <v>35</v>
      </c>
      <c r="B36" s="10" t="s">
        <v>493</v>
      </c>
      <c r="C36" s="10" t="s">
        <v>494</v>
      </c>
      <c r="D36" s="10" t="s">
        <v>495</v>
      </c>
      <c r="E36" s="10" t="s">
        <v>361</v>
      </c>
      <c r="F36" s="10" t="s">
        <v>378</v>
      </c>
      <c r="G36" s="10" t="s">
        <v>45</v>
      </c>
      <c r="H36" s="10" t="s">
        <v>496</v>
      </c>
      <c r="I36" s="10">
        <f>COUNTIF(Orders!$B$2:$B$401,A36)</f>
        <v>2</v>
      </c>
      <c r="J36" s="19">
        <f>SUMIF(Orders!$B$2:$B$401,A36,Orders!$H$2:$H$401)</f>
        <v>12021.8565</v>
      </c>
      <c r="K36" s="19">
        <f t="shared" si="1"/>
        <v>6010.9282499999999</v>
      </c>
    </row>
    <row r="37" spans="1:11" ht="15" customHeight="1" x14ac:dyDescent="0.25">
      <c r="A37" s="10">
        <v>36</v>
      </c>
      <c r="B37" s="10" t="s">
        <v>497</v>
      </c>
      <c r="C37" s="10" t="s">
        <v>498</v>
      </c>
      <c r="D37" s="10" t="s">
        <v>499</v>
      </c>
      <c r="E37" s="10" t="s">
        <v>435</v>
      </c>
      <c r="F37" s="10" t="s">
        <v>436</v>
      </c>
      <c r="G37" s="10" t="s">
        <v>43</v>
      </c>
      <c r="H37" s="10" t="s">
        <v>500</v>
      </c>
      <c r="I37" s="10">
        <f>COUNTIF(Orders!$B$2:$B$401,A37)</f>
        <v>4</v>
      </c>
      <c r="J37" s="19">
        <f>SUMIF(Orders!$B$2:$B$401,A37,Orders!$H$2:$H$401)</f>
        <v>21510.774000000001</v>
      </c>
      <c r="K37" s="19">
        <f t="shared" si="1"/>
        <v>5377.6935000000003</v>
      </c>
    </row>
    <row r="38" spans="1:11" ht="15" customHeight="1" x14ac:dyDescent="0.25">
      <c r="A38" s="10">
        <v>37</v>
      </c>
      <c r="B38" s="10" t="s">
        <v>501</v>
      </c>
      <c r="C38" s="10" t="s">
        <v>502</v>
      </c>
      <c r="D38" s="10" t="s">
        <v>503</v>
      </c>
      <c r="E38" s="10" t="s">
        <v>361</v>
      </c>
      <c r="F38" s="10" t="s">
        <v>378</v>
      </c>
      <c r="G38" s="10" t="s">
        <v>43</v>
      </c>
      <c r="H38" s="10" t="s">
        <v>504</v>
      </c>
      <c r="I38" s="10">
        <f>COUNTIF(Orders!$B$2:$B$401,A38)</f>
        <v>7</v>
      </c>
      <c r="J38" s="19">
        <f>SUMIF(Orders!$B$2:$B$401,A38,Orders!$H$2:$H$401)</f>
        <v>24549.376</v>
      </c>
      <c r="K38" s="19">
        <f t="shared" si="1"/>
        <v>3507.0537142857142</v>
      </c>
    </row>
    <row r="39" spans="1:11" ht="15" customHeight="1" x14ac:dyDescent="0.25">
      <c r="A39" s="10">
        <v>38</v>
      </c>
      <c r="B39" s="10" t="s">
        <v>505</v>
      </c>
      <c r="C39" s="10" t="s">
        <v>506</v>
      </c>
      <c r="D39" s="10" t="s">
        <v>507</v>
      </c>
      <c r="E39" s="10" t="s">
        <v>508</v>
      </c>
      <c r="F39" s="10" t="s">
        <v>509</v>
      </c>
      <c r="G39" s="10" t="s">
        <v>44</v>
      </c>
      <c r="H39" s="10" t="s">
        <v>510</v>
      </c>
      <c r="I39" s="10">
        <f>COUNTIF(Orders!$B$2:$B$401,A39)</f>
        <v>6</v>
      </c>
      <c r="J39" s="19">
        <f>SUMIF(Orders!$B$2:$B$401,A39,Orders!$H$2:$H$401)</f>
        <v>20037.924999999999</v>
      </c>
      <c r="K39" s="19">
        <f t="shared" si="1"/>
        <v>3339.6541666666667</v>
      </c>
    </row>
    <row r="40" spans="1:11" ht="15" customHeight="1" x14ac:dyDescent="0.25">
      <c r="A40" s="10">
        <v>39</v>
      </c>
      <c r="B40" s="10" t="s">
        <v>511</v>
      </c>
      <c r="C40" s="10" t="s">
        <v>512</v>
      </c>
      <c r="D40" s="10" t="s">
        <v>513</v>
      </c>
      <c r="E40" s="10" t="s">
        <v>446</v>
      </c>
      <c r="F40" s="10" t="s">
        <v>514</v>
      </c>
      <c r="G40" s="10" t="s">
        <v>45</v>
      </c>
      <c r="H40" s="10" t="s">
        <v>515</v>
      </c>
      <c r="I40" s="10">
        <f>COUNTIF(Orders!$B$2:$B$401,A40)</f>
        <v>12</v>
      </c>
      <c r="J40" s="19">
        <f>SUMIF(Orders!$B$2:$B$401,A40,Orders!$H$2:$H$401)</f>
        <v>39775.461000000003</v>
      </c>
      <c r="K40" s="19">
        <f t="shared" si="1"/>
        <v>3314.6217500000002</v>
      </c>
    </row>
    <row r="41" spans="1:11" ht="15" customHeight="1" x14ac:dyDescent="0.25">
      <c r="A41" s="10">
        <v>40</v>
      </c>
      <c r="B41" s="10" t="s">
        <v>463</v>
      </c>
      <c r="C41" s="10" t="s">
        <v>516</v>
      </c>
      <c r="D41" s="10" t="s">
        <v>517</v>
      </c>
      <c r="E41" s="10" t="s">
        <v>361</v>
      </c>
      <c r="F41" s="10" t="s">
        <v>362</v>
      </c>
      <c r="G41" s="10" t="s">
        <v>43</v>
      </c>
      <c r="H41" s="10" t="s">
        <v>393</v>
      </c>
      <c r="I41" s="10">
        <f>COUNTIF(Orders!$B$2:$B$401,A41)</f>
        <v>15</v>
      </c>
      <c r="J41" s="19">
        <f>SUMIF(Orders!$B$2:$B$401,A41,Orders!$H$2:$H$401)</f>
        <v>81483.695999999996</v>
      </c>
      <c r="K41" s="19">
        <f t="shared" si="1"/>
        <v>5432.2464</v>
      </c>
    </row>
    <row r="42" spans="1:11" ht="15" customHeight="1" x14ac:dyDescent="0.25">
      <c r="A42" s="10">
        <v>41</v>
      </c>
      <c r="B42" s="10" t="s">
        <v>518</v>
      </c>
      <c r="C42" s="10" t="s">
        <v>519</v>
      </c>
      <c r="D42" s="10" t="s">
        <v>520</v>
      </c>
      <c r="E42" s="10" t="s">
        <v>361</v>
      </c>
      <c r="F42" s="10" t="s">
        <v>378</v>
      </c>
      <c r="G42" s="10" t="s">
        <v>44</v>
      </c>
      <c r="H42" s="10" t="s">
        <v>521</v>
      </c>
      <c r="I42" s="10">
        <f>COUNTIF(Orders!$B$2:$B$401,A42)</f>
        <v>7</v>
      </c>
      <c r="J42" s="19">
        <f>SUMIF(Orders!$B$2:$B$401,A42,Orders!$H$2:$H$401)</f>
        <v>36823.480000000003</v>
      </c>
      <c r="K42" s="19">
        <f t="shared" si="1"/>
        <v>5260.4971428571434</v>
      </c>
    </row>
    <row r="43" spans="1:11" ht="15" customHeight="1" x14ac:dyDescent="0.25">
      <c r="A43" s="10">
        <v>42</v>
      </c>
      <c r="B43" s="10" t="s">
        <v>463</v>
      </c>
      <c r="C43" s="10" t="s">
        <v>522</v>
      </c>
      <c r="D43" s="10" t="s">
        <v>523</v>
      </c>
      <c r="E43" s="10" t="s">
        <v>346</v>
      </c>
      <c r="F43" s="10" t="s">
        <v>426</v>
      </c>
      <c r="G43" s="10" t="s">
        <v>44</v>
      </c>
      <c r="H43" s="10" t="s">
        <v>524</v>
      </c>
      <c r="I43" s="10">
        <f>COUNTIF(Orders!$B$2:$B$401,A43)</f>
        <v>7</v>
      </c>
      <c r="J43" s="19">
        <f>SUMIF(Orders!$B$2:$B$401,A43,Orders!$H$2:$H$401)</f>
        <v>22003.124</v>
      </c>
      <c r="K43" s="19">
        <f t="shared" si="1"/>
        <v>3143.3034285714284</v>
      </c>
    </row>
    <row r="44" spans="1:11" ht="15" customHeight="1" x14ac:dyDescent="0.25">
      <c r="A44" s="10">
        <v>43</v>
      </c>
      <c r="B44" s="10" t="s">
        <v>525</v>
      </c>
      <c r="C44" s="10" t="s">
        <v>526</v>
      </c>
      <c r="D44" s="10" t="s">
        <v>527</v>
      </c>
      <c r="E44" s="10" t="s">
        <v>334</v>
      </c>
      <c r="F44" s="10" t="s">
        <v>335</v>
      </c>
      <c r="G44" s="10" t="s">
        <v>43</v>
      </c>
      <c r="H44" s="10" t="s">
        <v>528</v>
      </c>
      <c r="I44" s="10">
        <f>COUNTIF(Orders!$B$2:$B$401,A44)</f>
        <v>7</v>
      </c>
      <c r="J44" s="19">
        <f>SUMIF(Orders!$B$2:$B$401,A44,Orders!$H$2:$H$401)</f>
        <v>31479.751000000004</v>
      </c>
      <c r="K44" s="19">
        <f t="shared" si="1"/>
        <v>4497.1072857142863</v>
      </c>
    </row>
    <row r="45" spans="1:11" ht="15" customHeight="1" x14ac:dyDescent="0.25">
      <c r="A45" s="10">
        <v>44</v>
      </c>
      <c r="B45" s="10" t="s">
        <v>529</v>
      </c>
      <c r="C45" s="10" t="s">
        <v>530</v>
      </c>
      <c r="D45" s="10" t="s">
        <v>531</v>
      </c>
      <c r="E45" s="10" t="s">
        <v>397</v>
      </c>
      <c r="F45" s="10" t="s">
        <v>398</v>
      </c>
      <c r="G45" s="10" t="s">
        <v>43</v>
      </c>
      <c r="H45" s="10" t="s">
        <v>532</v>
      </c>
      <c r="I45" s="10">
        <f>COUNTIF(Orders!$B$2:$B$401,A45)</f>
        <v>6</v>
      </c>
      <c r="J45" s="19">
        <f>SUMIF(Orders!$B$2:$B$401,A45,Orders!$H$2:$H$401)</f>
        <v>18072.964000000004</v>
      </c>
      <c r="K45" s="19">
        <f t="shared" si="1"/>
        <v>3012.1606666666671</v>
      </c>
    </row>
    <row r="46" spans="1:11" ht="15" customHeight="1" x14ac:dyDescent="0.25">
      <c r="A46" s="10">
        <v>45</v>
      </c>
      <c r="B46" s="10" t="s">
        <v>533</v>
      </c>
      <c r="C46" s="10" t="s">
        <v>534</v>
      </c>
      <c r="D46" s="10" t="s">
        <v>535</v>
      </c>
      <c r="E46" s="10" t="s">
        <v>452</v>
      </c>
      <c r="F46" s="10" t="s">
        <v>453</v>
      </c>
      <c r="G46" s="10" t="s">
        <v>45</v>
      </c>
      <c r="H46" s="10" t="s">
        <v>536</v>
      </c>
      <c r="I46" s="10">
        <f>COUNTIF(Orders!$B$2:$B$401,A46)</f>
        <v>8</v>
      </c>
      <c r="J46" s="19">
        <f>SUMIF(Orders!$B$2:$B$401,A46,Orders!$H$2:$H$401)</f>
        <v>23260.060999999998</v>
      </c>
      <c r="K46" s="19">
        <f t="shared" si="1"/>
        <v>2907.5076249999997</v>
      </c>
    </row>
    <row r="47" spans="1:11" ht="15" customHeight="1" x14ac:dyDescent="0.25">
      <c r="A47" s="10">
        <v>46</v>
      </c>
      <c r="B47" s="10" t="s">
        <v>537</v>
      </c>
      <c r="C47" s="10" t="s">
        <v>538</v>
      </c>
      <c r="D47" s="10" t="s">
        <v>539</v>
      </c>
      <c r="E47" s="10" t="s">
        <v>441</v>
      </c>
      <c r="F47" s="10" t="s">
        <v>441</v>
      </c>
      <c r="G47" s="10" t="s">
        <v>44</v>
      </c>
      <c r="H47" s="10" t="s">
        <v>540</v>
      </c>
      <c r="I47" s="10">
        <f>COUNTIF(Orders!$B$2:$B$401,A47)</f>
        <v>9</v>
      </c>
      <c r="J47" s="19">
        <f>SUMIF(Orders!$B$2:$B$401,A47,Orders!$H$2:$H$401)</f>
        <v>29758.126499999998</v>
      </c>
      <c r="K47" s="19">
        <f t="shared" si="1"/>
        <v>3306.4584999999997</v>
      </c>
    </row>
    <row r="48" spans="1:11" ht="15" customHeight="1" x14ac:dyDescent="0.25">
      <c r="A48" s="10">
        <v>47</v>
      </c>
      <c r="B48" s="10" t="s">
        <v>541</v>
      </c>
      <c r="C48" s="10" t="s">
        <v>542</v>
      </c>
      <c r="D48" s="10" t="s">
        <v>543</v>
      </c>
      <c r="E48" s="10" t="s">
        <v>446</v>
      </c>
      <c r="F48" s="10" t="s">
        <v>447</v>
      </c>
      <c r="G48" s="10" t="s">
        <v>43</v>
      </c>
      <c r="H48" s="10" t="s">
        <v>544</v>
      </c>
      <c r="I48" s="10">
        <f>COUNTIF(Orders!$B$2:$B$401,A48)</f>
        <v>5</v>
      </c>
      <c r="J48" s="19">
        <f>SUMIF(Orders!$B$2:$B$401,A48,Orders!$H$2:$H$401)</f>
        <v>23228.574500000002</v>
      </c>
      <c r="K48" s="19">
        <f t="shared" si="1"/>
        <v>4645.7149000000009</v>
      </c>
    </row>
    <row r="49" spans="1:11" ht="15" customHeight="1" x14ac:dyDescent="0.25">
      <c r="A49" s="10">
        <v>48</v>
      </c>
      <c r="B49" s="10" t="s">
        <v>545</v>
      </c>
      <c r="C49" s="10" t="s">
        <v>546</v>
      </c>
      <c r="D49" s="10" t="s">
        <v>547</v>
      </c>
      <c r="E49" s="10" t="s">
        <v>508</v>
      </c>
      <c r="F49" s="10" t="s">
        <v>509</v>
      </c>
      <c r="G49" s="10" t="s">
        <v>43</v>
      </c>
      <c r="H49" s="10" t="s">
        <v>548</v>
      </c>
      <c r="I49" s="10">
        <f>COUNTIF(Orders!$B$2:$B$401,A49)</f>
        <v>4</v>
      </c>
      <c r="J49" s="19">
        <f>SUMIF(Orders!$B$2:$B$401,A49,Orders!$H$2:$H$401)</f>
        <v>16940.572500000002</v>
      </c>
      <c r="K49" s="19">
        <f t="shared" si="1"/>
        <v>4235.1431250000005</v>
      </c>
    </row>
    <row r="50" spans="1:11" ht="15" customHeight="1" x14ac:dyDescent="0.25">
      <c r="A50" s="10">
        <v>49</v>
      </c>
      <c r="B50" s="10" t="s">
        <v>549</v>
      </c>
      <c r="C50" s="10" t="s">
        <v>502</v>
      </c>
      <c r="D50" s="10" t="s">
        <v>550</v>
      </c>
      <c r="E50" s="10" t="s">
        <v>397</v>
      </c>
      <c r="F50" s="10" t="s">
        <v>398</v>
      </c>
      <c r="G50" s="10" t="s">
        <v>43</v>
      </c>
      <c r="H50" s="10" t="s">
        <v>551</v>
      </c>
      <c r="I50" s="10">
        <f>COUNTIF(Orders!$B$2:$B$401,A50)</f>
        <v>10</v>
      </c>
      <c r="J50" s="19">
        <f>SUMIF(Orders!$B$2:$B$401,A50,Orders!$H$2:$H$401)</f>
        <v>54215.191999999995</v>
      </c>
      <c r="K50" s="19">
        <f t="shared" si="1"/>
        <v>5421.5191999999997</v>
      </c>
    </row>
    <row r="51" spans="1:11" ht="15" customHeight="1" x14ac:dyDescent="0.25">
      <c r="A51" s="10">
        <v>50</v>
      </c>
      <c r="B51" s="10" t="s">
        <v>552</v>
      </c>
      <c r="C51" s="10" t="s">
        <v>553</v>
      </c>
      <c r="D51" s="10" t="s">
        <v>554</v>
      </c>
      <c r="E51" s="10" t="s">
        <v>555</v>
      </c>
      <c r="F51" s="10" t="s">
        <v>556</v>
      </c>
      <c r="G51" s="10" t="s">
        <v>45</v>
      </c>
      <c r="H51" s="10" t="s">
        <v>557</v>
      </c>
      <c r="I51" s="10">
        <f>COUNTIF(Orders!$B$2:$B$401,A51)</f>
        <v>9</v>
      </c>
      <c r="J51" s="19">
        <f>SUMIF(Orders!$B$2:$B$401,A51,Orders!$H$2:$H$401)</f>
        <v>45141.262999999999</v>
      </c>
      <c r="K51" s="19">
        <f t="shared" si="1"/>
        <v>5015.6958888888885</v>
      </c>
    </row>
    <row r="52" spans="1:11" ht="15" customHeight="1" x14ac:dyDescent="0.25">
      <c r="A52" s="10">
        <v>51</v>
      </c>
      <c r="B52" s="10" t="s">
        <v>558</v>
      </c>
      <c r="C52" s="10" t="s">
        <v>559</v>
      </c>
      <c r="D52" s="10" t="s">
        <v>560</v>
      </c>
      <c r="E52" s="10" t="s">
        <v>387</v>
      </c>
      <c r="F52" s="10" t="s">
        <v>388</v>
      </c>
      <c r="G52" s="10" t="s">
        <v>45</v>
      </c>
      <c r="H52" s="10" t="s">
        <v>561</v>
      </c>
      <c r="I52" s="10">
        <f>COUNTIF(Orders!$B$2:$B$401,A52)</f>
        <v>5</v>
      </c>
      <c r="J52" s="19">
        <f>SUMIF(Orders!$B$2:$B$401,A52,Orders!$H$2:$H$401)</f>
        <v>13150.870500000003</v>
      </c>
      <c r="K52" s="19">
        <f t="shared" si="1"/>
        <v>2630.1741000000006</v>
      </c>
    </row>
    <row r="53" spans="1:11" ht="15" customHeight="1" x14ac:dyDescent="0.25">
      <c r="A53" s="10">
        <v>52</v>
      </c>
      <c r="B53" s="10" t="s">
        <v>562</v>
      </c>
      <c r="C53" s="10" t="s">
        <v>563</v>
      </c>
      <c r="D53" s="10" t="s">
        <v>564</v>
      </c>
      <c r="E53" s="10" t="s">
        <v>367</v>
      </c>
      <c r="F53" s="10" t="s">
        <v>368</v>
      </c>
      <c r="G53" s="10" t="s">
        <v>43</v>
      </c>
      <c r="H53" s="10" t="s">
        <v>565</v>
      </c>
      <c r="I53" s="10">
        <f>COUNTIF(Orders!$B$2:$B$401,A53)</f>
        <v>9</v>
      </c>
      <c r="J53" s="19">
        <f>SUMIF(Orders!$B$2:$B$401,A53,Orders!$H$2:$H$401)</f>
        <v>42846.034999999996</v>
      </c>
      <c r="K53" s="19">
        <f t="shared" si="1"/>
        <v>4760.6705555555554</v>
      </c>
    </row>
    <row r="54" spans="1:11" ht="15" customHeight="1" x14ac:dyDescent="0.25">
      <c r="A54" s="10">
        <v>53</v>
      </c>
      <c r="B54" s="10" t="s">
        <v>566</v>
      </c>
      <c r="C54" s="10" t="s">
        <v>567</v>
      </c>
      <c r="D54" s="10" t="s">
        <v>568</v>
      </c>
      <c r="E54" s="10" t="s">
        <v>569</v>
      </c>
      <c r="F54" s="10" t="s">
        <v>570</v>
      </c>
      <c r="G54" s="10" t="s">
        <v>43</v>
      </c>
      <c r="H54" s="10" t="s">
        <v>571</v>
      </c>
      <c r="I54" s="10">
        <f>COUNTIF(Orders!$B$2:$B$401,A54)</f>
        <v>3</v>
      </c>
      <c r="J54" s="19">
        <f>SUMIF(Orders!$B$2:$B$401,A54,Orders!$H$2:$H$401)</f>
        <v>6390.43</v>
      </c>
      <c r="K54" s="19">
        <f t="shared" si="1"/>
        <v>2130.1433333333334</v>
      </c>
    </row>
    <row r="55" spans="1:11" ht="15" customHeight="1" x14ac:dyDescent="0.25">
      <c r="A55" s="10">
        <v>54</v>
      </c>
      <c r="B55" s="10" t="s">
        <v>572</v>
      </c>
      <c r="C55" s="10" t="s">
        <v>573</v>
      </c>
      <c r="D55" s="10" t="s">
        <v>574</v>
      </c>
      <c r="E55" s="10" t="s">
        <v>346</v>
      </c>
      <c r="F55" s="10" t="s">
        <v>347</v>
      </c>
      <c r="G55" s="10" t="s">
        <v>43</v>
      </c>
      <c r="H55" s="10" t="s">
        <v>575</v>
      </c>
      <c r="I55" s="10">
        <f>COUNTIF(Orders!$B$2:$B$401,A55)</f>
        <v>5</v>
      </c>
      <c r="J55" s="19">
        <f>SUMIF(Orders!$B$2:$B$401,A55,Orders!$H$2:$H$401)</f>
        <v>34358.978499999997</v>
      </c>
      <c r="K55" s="19">
        <f t="shared" si="1"/>
        <v>6871.7956999999997</v>
      </c>
    </row>
    <row r="56" spans="1:11" ht="15" customHeight="1" x14ac:dyDescent="0.25">
      <c r="A56" s="10">
        <v>55</v>
      </c>
      <c r="B56" s="10" t="s">
        <v>576</v>
      </c>
      <c r="C56" s="10" t="s">
        <v>577</v>
      </c>
      <c r="D56" s="10" t="s">
        <v>578</v>
      </c>
      <c r="E56" s="10" t="s">
        <v>367</v>
      </c>
      <c r="F56" s="10" t="s">
        <v>368</v>
      </c>
      <c r="G56" s="10" t="s">
        <v>45</v>
      </c>
      <c r="H56" s="10" t="s">
        <v>579</v>
      </c>
      <c r="I56" s="10">
        <f>COUNTIF(Orders!$B$2:$B$401,A56)</f>
        <v>11</v>
      </c>
      <c r="J56" s="19">
        <f>SUMIF(Orders!$B$2:$B$401,A56,Orders!$H$2:$H$401)</f>
        <v>45176.289000000004</v>
      </c>
      <c r="K56" s="19">
        <f t="shared" si="1"/>
        <v>4106.9353636363639</v>
      </c>
    </row>
    <row r="57" spans="1:11" ht="15" customHeight="1" x14ac:dyDescent="0.25">
      <c r="A57" s="10">
        <v>56</v>
      </c>
      <c r="B57" s="10" t="s">
        <v>580</v>
      </c>
      <c r="C57" s="10" t="s">
        <v>581</v>
      </c>
      <c r="D57" s="10" t="s">
        <v>582</v>
      </c>
      <c r="E57" s="10" t="s">
        <v>367</v>
      </c>
      <c r="F57" s="10" t="s">
        <v>368</v>
      </c>
      <c r="G57" s="10" t="s">
        <v>45</v>
      </c>
      <c r="H57" s="10" t="s">
        <v>583</v>
      </c>
      <c r="I57" s="10">
        <f>COUNTIF(Orders!$B$2:$B$401,A57)</f>
        <v>10</v>
      </c>
      <c r="J57" s="19">
        <f>SUMIF(Orders!$B$2:$B$401,A57,Orders!$H$2:$H$401)</f>
        <v>61687.655999999988</v>
      </c>
      <c r="K57" s="19">
        <f t="shared" si="1"/>
        <v>6168.7655999999988</v>
      </c>
    </row>
    <row r="58" spans="1:11" ht="15" customHeight="1" x14ac:dyDescent="0.25">
      <c r="A58" s="10">
        <v>57</v>
      </c>
      <c r="B58" s="10" t="s">
        <v>584</v>
      </c>
      <c r="C58" s="10" t="s">
        <v>585</v>
      </c>
      <c r="D58" s="10" t="s">
        <v>586</v>
      </c>
      <c r="E58" s="10" t="s">
        <v>367</v>
      </c>
      <c r="F58" s="10" t="s">
        <v>368</v>
      </c>
      <c r="G58" s="10" t="s">
        <v>44</v>
      </c>
      <c r="H58" s="10" t="s">
        <v>587</v>
      </c>
      <c r="I58" s="10">
        <f>COUNTIF(Orders!$B$2:$B$401,A58)</f>
        <v>4</v>
      </c>
      <c r="J58" s="19">
        <f>SUMIF(Orders!$B$2:$B$401,A58,Orders!$H$2:$H$401)</f>
        <v>14396.6775</v>
      </c>
      <c r="K58" s="19">
        <f t="shared" si="1"/>
        <v>3599.1693749999999</v>
      </c>
    </row>
    <row r="59" spans="1:11" ht="15" customHeight="1" x14ac:dyDescent="0.25">
      <c r="A59" s="10">
        <v>58</v>
      </c>
      <c r="B59" s="10" t="s">
        <v>588</v>
      </c>
      <c r="C59" s="10" t="s">
        <v>589</v>
      </c>
      <c r="D59" s="10" t="s">
        <v>590</v>
      </c>
      <c r="E59" s="10" t="s">
        <v>367</v>
      </c>
      <c r="F59" s="10" t="s">
        <v>368</v>
      </c>
      <c r="G59" s="10" t="s">
        <v>45</v>
      </c>
      <c r="H59" s="10" t="s">
        <v>591</v>
      </c>
      <c r="I59" s="10">
        <f>COUNTIF(Orders!$B$2:$B$401,A59)</f>
        <v>5</v>
      </c>
      <c r="J59" s="19">
        <f>SUMIF(Orders!$B$2:$B$401,A59,Orders!$H$2:$H$401)</f>
        <v>15120.8415</v>
      </c>
      <c r="K59" s="19">
        <f t="shared" si="1"/>
        <v>3024.1683000000003</v>
      </c>
    </row>
    <row r="60" spans="1:11" ht="15" customHeight="1" x14ac:dyDescent="0.25">
      <c r="A60" s="10">
        <v>59</v>
      </c>
      <c r="B60" s="10" t="s">
        <v>592</v>
      </c>
      <c r="C60" s="10" t="s">
        <v>593</v>
      </c>
      <c r="D60" s="10" t="s">
        <v>594</v>
      </c>
      <c r="E60" s="10" t="s">
        <v>508</v>
      </c>
      <c r="F60" s="10" t="s">
        <v>509</v>
      </c>
      <c r="G60" s="10" t="s">
        <v>43</v>
      </c>
      <c r="H60" s="10" t="s">
        <v>595</v>
      </c>
      <c r="I60" s="10">
        <f>COUNTIF(Orders!$B$2:$B$401,A60)</f>
        <v>6</v>
      </c>
      <c r="J60" s="19">
        <f>SUMIF(Orders!$B$2:$B$401,A60,Orders!$H$2:$H$401)</f>
        <v>28354.077499999999</v>
      </c>
      <c r="K60" s="19">
        <f t="shared" si="1"/>
        <v>4725.6795833333335</v>
      </c>
    </row>
    <row r="61" spans="1:11" ht="15" customHeight="1" x14ac:dyDescent="0.25">
      <c r="A61" s="10">
        <v>60</v>
      </c>
      <c r="B61" s="10" t="s">
        <v>596</v>
      </c>
      <c r="C61" s="10" t="s">
        <v>332</v>
      </c>
      <c r="D61" s="10" t="s">
        <v>597</v>
      </c>
      <c r="E61" s="10" t="s">
        <v>367</v>
      </c>
      <c r="F61" s="10" t="s">
        <v>368</v>
      </c>
      <c r="G61" s="10" t="s">
        <v>45</v>
      </c>
      <c r="H61" s="10" t="s">
        <v>598</v>
      </c>
      <c r="I61" s="10">
        <f>COUNTIF(Orders!$B$2:$B$401,A61)</f>
        <v>9</v>
      </c>
      <c r="J61" s="19">
        <f>SUMIF(Orders!$B$2:$B$401,A61,Orders!$H$2:$H$401)</f>
        <v>28706.986999999994</v>
      </c>
      <c r="K61" s="19">
        <f t="shared" si="1"/>
        <v>3189.6652222222215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H13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x14ac:dyDescent="0.25"/>
  <cols>
    <col min="1" max="1" width="13.140625" style="10" customWidth="1"/>
    <col min="2" max="2" width="22" style="10" customWidth="1"/>
    <col min="3" max="3" width="12" style="10" customWidth="1"/>
    <col min="4" max="4" width="19.85546875" style="10" bestFit="1" customWidth="1"/>
    <col min="5" max="5" width="10.85546875" style="10" bestFit="1" customWidth="1"/>
    <col min="6" max="6" width="22.42578125" style="10" bestFit="1" customWidth="1"/>
    <col min="7" max="7" width="21.42578125" style="10" bestFit="1" customWidth="1"/>
    <col min="8" max="8" width="23.28515625" style="10" bestFit="1" customWidth="1"/>
  </cols>
  <sheetData>
    <row r="1" spans="1:8" ht="23.25" customHeight="1" x14ac:dyDescent="0.25">
      <c r="A1" s="39" t="s">
        <v>1497</v>
      </c>
      <c r="B1" s="39" t="s">
        <v>1499</v>
      </c>
      <c r="C1" s="39" t="s">
        <v>326</v>
      </c>
      <c r="D1" s="39" t="s">
        <v>1498</v>
      </c>
      <c r="E1" s="39" t="s">
        <v>599</v>
      </c>
      <c r="F1" s="39" t="s">
        <v>167</v>
      </c>
      <c r="G1" s="39" t="s">
        <v>168</v>
      </c>
      <c r="H1" s="39" t="s">
        <v>600</v>
      </c>
    </row>
    <row r="2" spans="1:8" ht="15" customHeight="1" x14ac:dyDescent="0.25">
      <c r="A2" s="10">
        <v>1</v>
      </c>
      <c r="B2" s="10" t="s">
        <v>601</v>
      </c>
      <c r="C2" s="10" t="s">
        <v>602</v>
      </c>
      <c r="D2" s="10">
        <v>20</v>
      </c>
      <c r="E2" s="10">
        <v>3.4</v>
      </c>
      <c r="F2" s="10">
        <f>COUNTIF(Products!$D$2:$D$101,A2)</f>
        <v>9</v>
      </c>
      <c r="G2" s="10">
        <f>SUMIFS(InventoryTransactions!$E$2:$E$351,InventoryTransactions!$H$2:$H$351,A2,InventoryTransactions!$D$2:$D$351,"Restock")</f>
        <v>2613</v>
      </c>
      <c r="H2" s="10">
        <f>-SUMIFS(InventoryTransactions!$E$2:$E$351,InventoryTransactions!$H$2:$H$351,A2,InventoryTransactions!$D$2:$D$351,"Damaged")</f>
        <v>83</v>
      </c>
    </row>
    <row r="3" spans="1:8" ht="15" customHeight="1" x14ac:dyDescent="0.25">
      <c r="A3" s="10">
        <v>2</v>
      </c>
      <c r="B3" s="10" t="s">
        <v>603</v>
      </c>
      <c r="C3" s="10" t="s">
        <v>346</v>
      </c>
      <c r="D3" s="10">
        <v>25</v>
      </c>
      <c r="E3" s="10">
        <v>4.76</v>
      </c>
      <c r="F3" s="10">
        <f>COUNTIF(Products!$D$2:$D$101,A3)</f>
        <v>11</v>
      </c>
      <c r="G3" s="10">
        <f>SUMIFS(InventoryTransactions!$E$2:$E$351,InventoryTransactions!$H$2:$H$351,A3,InventoryTransactions!$D$2:$D$351,"Restock")</f>
        <v>3607</v>
      </c>
      <c r="H3" s="10">
        <f>-SUMIFS(InventoryTransactions!$E$2:$E$351,InventoryTransactions!$H$2:$H$351,A3,InventoryTransactions!$D$2:$D$351,"Damaged")</f>
        <v>255</v>
      </c>
    </row>
    <row r="4" spans="1:8" ht="15" customHeight="1" x14ac:dyDescent="0.25">
      <c r="A4" s="10">
        <v>3</v>
      </c>
      <c r="B4" s="10" t="s">
        <v>604</v>
      </c>
      <c r="C4" s="10" t="s">
        <v>446</v>
      </c>
      <c r="D4" s="10">
        <v>10</v>
      </c>
      <c r="E4" s="10">
        <v>3.1</v>
      </c>
      <c r="F4" s="10">
        <f>COUNTIF(Products!$D$2:$D$101,A4)</f>
        <v>3</v>
      </c>
      <c r="G4" s="10">
        <f>SUMIFS(InventoryTransactions!$E$2:$E$351,InventoryTransactions!$H$2:$H$351,A4,InventoryTransactions!$D$2:$D$351,"Restock")</f>
        <v>334</v>
      </c>
      <c r="H4" s="10">
        <f>-SUMIFS(InventoryTransactions!$E$2:$E$351,InventoryTransactions!$H$2:$H$351,A4,InventoryTransactions!$D$2:$D$351,"Damaged")</f>
        <v>45</v>
      </c>
    </row>
    <row r="5" spans="1:8" ht="15" customHeight="1" x14ac:dyDescent="0.25">
      <c r="A5" s="10">
        <v>4</v>
      </c>
      <c r="B5" s="10" t="s">
        <v>605</v>
      </c>
      <c r="C5" s="10" t="s">
        <v>606</v>
      </c>
      <c r="D5" s="10">
        <v>19</v>
      </c>
      <c r="E5" s="10">
        <v>3.64</v>
      </c>
      <c r="F5" s="10">
        <f>COUNTIF(Products!$D$2:$D$101,A5)</f>
        <v>7</v>
      </c>
      <c r="G5" s="10">
        <f>SUMIFS(InventoryTransactions!$E$2:$E$351,InventoryTransactions!$H$2:$H$351,A5,InventoryTransactions!$D$2:$D$351,"Restock")</f>
        <v>3645</v>
      </c>
      <c r="H5" s="10">
        <f>-SUMIFS(InventoryTransactions!$E$2:$E$351,InventoryTransactions!$H$2:$H$351,A5,InventoryTransactions!$D$2:$D$351,"Damaged")</f>
        <v>19</v>
      </c>
    </row>
    <row r="6" spans="1:8" ht="15" customHeight="1" x14ac:dyDescent="0.25">
      <c r="A6" s="10">
        <v>5</v>
      </c>
      <c r="B6" s="10" t="s">
        <v>607</v>
      </c>
      <c r="C6" s="10" t="s">
        <v>569</v>
      </c>
      <c r="D6" s="10">
        <v>14</v>
      </c>
      <c r="E6" s="10">
        <v>4.3499999999999996</v>
      </c>
      <c r="F6" s="10">
        <f>COUNTIF(Products!$D$2:$D$101,A6)</f>
        <v>12</v>
      </c>
      <c r="G6" s="10">
        <f>SUMIFS(InventoryTransactions!$E$2:$E$351,InventoryTransactions!$H$2:$H$351,A6,InventoryTransactions!$D$2:$D$351,"Restock")</f>
        <v>3359</v>
      </c>
      <c r="H6" s="10">
        <f>-SUMIFS(InventoryTransactions!$E$2:$E$351,InventoryTransactions!$H$2:$H$351,A6,InventoryTransactions!$D$2:$D$351,"Damaged")</f>
        <v>67</v>
      </c>
    </row>
    <row r="7" spans="1:8" ht="15" customHeight="1" x14ac:dyDescent="0.25">
      <c r="A7" s="10">
        <v>6</v>
      </c>
      <c r="B7" s="10" t="s">
        <v>608</v>
      </c>
      <c r="C7" s="10" t="s">
        <v>452</v>
      </c>
      <c r="D7" s="10">
        <v>9</v>
      </c>
      <c r="E7" s="10">
        <v>3.71</v>
      </c>
      <c r="F7" s="10">
        <f>COUNTIF(Products!$D$2:$D$101,A7)</f>
        <v>3</v>
      </c>
      <c r="G7" s="10">
        <f>SUMIFS(InventoryTransactions!$E$2:$E$351,InventoryTransactions!$H$2:$H$351,A7,InventoryTransactions!$D$2:$D$351,"Restock")</f>
        <v>872</v>
      </c>
      <c r="H7" s="10">
        <f>-SUMIFS(InventoryTransactions!$E$2:$E$351,InventoryTransactions!$H$2:$H$351,A7,InventoryTransactions!$D$2:$D$351,"Damaged")</f>
        <v>79</v>
      </c>
    </row>
    <row r="8" spans="1:8" ht="15" customHeight="1" x14ac:dyDescent="0.25">
      <c r="A8" s="10">
        <v>7</v>
      </c>
      <c r="B8" s="10" t="s">
        <v>609</v>
      </c>
      <c r="C8" s="10" t="s">
        <v>610</v>
      </c>
      <c r="D8" s="10">
        <v>26</v>
      </c>
      <c r="E8" s="10">
        <v>3.99</v>
      </c>
      <c r="F8" s="10">
        <f>COUNTIF(Products!$D$2:$D$101,A8)</f>
        <v>12</v>
      </c>
      <c r="G8" s="10">
        <f>SUMIFS(InventoryTransactions!$E$2:$E$351,InventoryTransactions!$H$2:$H$351,A8,InventoryTransactions!$D$2:$D$351,"Restock")</f>
        <v>3282</v>
      </c>
      <c r="H8" s="10">
        <f>-SUMIFS(InventoryTransactions!$E$2:$E$351,InventoryTransactions!$H$2:$H$351,A8,InventoryTransactions!$D$2:$D$351,"Damaged")</f>
        <v>163</v>
      </c>
    </row>
    <row r="9" spans="1:8" ht="15" customHeight="1" x14ac:dyDescent="0.25">
      <c r="A9" s="10">
        <v>8</v>
      </c>
      <c r="B9" s="10" t="s">
        <v>611</v>
      </c>
      <c r="C9" s="10" t="s">
        <v>334</v>
      </c>
      <c r="D9" s="10">
        <v>31</v>
      </c>
      <c r="E9" s="10">
        <v>2.94</v>
      </c>
      <c r="F9" s="10">
        <f>COUNTIF(Products!$D$2:$D$101,A9)</f>
        <v>12</v>
      </c>
      <c r="G9" s="10">
        <f>SUMIFS(InventoryTransactions!$E$2:$E$351,InventoryTransactions!$H$2:$H$351,A9,InventoryTransactions!$D$2:$D$351,"Restock")</f>
        <v>2943</v>
      </c>
      <c r="H9" s="10">
        <f>-SUMIFS(InventoryTransactions!$E$2:$E$351,InventoryTransactions!$H$2:$H$351,A9,InventoryTransactions!$D$2:$D$351,"Damaged")</f>
        <v>149</v>
      </c>
    </row>
    <row r="10" spans="1:8" ht="15" customHeight="1" x14ac:dyDescent="0.25">
      <c r="A10" s="10">
        <v>9</v>
      </c>
      <c r="B10" s="10" t="s">
        <v>612</v>
      </c>
      <c r="C10" s="10" t="s">
        <v>613</v>
      </c>
      <c r="D10" s="10">
        <v>31</v>
      </c>
      <c r="E10" s="10">
        <v>3.66</v>
      </c>
      <c r="F10" s="10">
        <f>COUNTIF(Products!$D$2:$D$101,A10)</f>
        <v>4</v>
      </c>
      <c r="G10" s="10">
        <f>SUMIFS(InventoryTransactions!$E$2:$E$351,InventoryTransactions!$H$2:$H$351,A10,InventoryTransactions!$D$2:$D$351,"Restock")</f>
        <v>805</v>
      </c>
      <c r="H10" s="10">
        <f>-SUMIFS(InventoryTransactions!$E$2:$E$351,InventoryTransactions!$H$2:$H$351,A10,InventoryTransactions!$D$2:$D$351,"Damaged")</f>
        <v>174</v>
      </c>
    </row>
    <row r="11" spans="1:8" ht="15" customHeight="1" x14ac:dyDescent="0.25">
      <c r="A11" s="10">
        <v>10</v>
      </c>
      <c r="B11" s="10" t="s">
        <v>614</v>
      </c>
      <c r="C11" s="10" t="s">
        <v>615</v>
      </c>
      <c r="D11" s="10">
        <v>42</v>
      </c>
      <c r="E11" s="10">
        <v>4.88</v>
      </c>
      <c r="F11" s="10">
        <f>COUNTIF(Products!$D$2:$D$101,A11)</f>
        <v>8</v>
      </c>
      <c r="G11" s="10">
        <f>SUMIFS(InventoryTransactions!$E$2:$E$351,InventoryTransactions!$H$2:$H$351,A11,InventoryTransactions!$D$2:$D$351,"Restock")</f>
        <v>3021</v>
      </c>
      <c r="H11" s="10">
        <f>-SUMIFS(InventoryTransactions!$E$2:$E$351,InventoryTransactions!$H$2:$H$351,A11,InventoryTransactions!$D$2:$D$351,"Damaged")</f>
        <v>117</v>
      </c>
    </row>
    <row r="12" spans="1:8" ht="15" customHeight="1" x14ac:dyDescent="0.25">
      <c r="A12" s="10">
        <v>11</v>
      </c>
      <c r="B12" s="10" t="s">
        <v>616</v>
      </c>
      <c r="C12" s="10" t="s">
        <v>617</v>
      </c>
      <c r="D12" s="10">
        <v>6</v>
      </c>
      <c r="E12" s="10">
        <v>4.68</v>
      </c>
      <c r="F12" s="10">
        <f>COUNTIF(Products!$D$2:$D$101,A12)</f>
        <v>8</v>
      </c>
      <c r="G12" s="10">
        <f>SUMIFS(InventoryTransactions!$E$2:$E$351,InventoryTransactions!$H$2:$H$351,A12,InventoryTransactions!$D$2:$D$351,"Restock")</f>
        <v>2411</v>
      </c>
      <c r="H12" s="10">
        <f>-SUMIFS(InventoryTransactions!$E$2:$E$351,InventoryTransactions!$H$2:$H$351,A12,InventoryTransactions!$D$2:$D$351,"Damaged")</f>
        <v>77</v>
      </c>
    </row>
    <row r="13" spans="1:8" ht="15" customHeight="1" x14ac:dyDescent="0.25">
      <c r="A13" s="10">
        <v>12</v>
      </c>
      <c r="B13" s="10" t="s">
        <v>618</v>
      </c>
      <c r="C13" s="10" t="s">
        <v>387</v>
      </c>
      <c r="D13" s="10">
        <v>41</v>
      </c>
      <c r="E13" s="10">
        <v>3.64</v>
      </c>
      <c r="F13" s="10">
        <f>COUNTIF(Products!$D$2:$D$101,A13)</f>
        <v>11</v>
      </c>
      <c r="G13" s="10">
        <f>SUMIFS(InventoryTransactions!$E$2:$E$351,InventoryTransactions!$H$2:$H$351,A13,InventoryTransactions!$D$2:$D$351,"Restock")</f>
        <v>2662</v>
      </c>
      <c r="H13" s="10">
        <f>-SUMIFS(InventoryTransactions!$E$2:$E$351,InventoryTransactions!$H$2:$H$351,A13,InventoryTransactions!$D$2:$D$351,"Damaged")</f>
        <v>89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F1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13.28515625" style="10" customWidth="1"/>
    <col min="2" max="2" width="20" style="10" customWidth="1"/>
    <col min="3" max="3" width="18.5703125" style="10" bestFit="1" customWidth="1"/>
    <col min="4" max="4" width="17.42578125" style="10" customWidth="1"/>
    <col min="5" max="5" width="16.28515625" style="10" customWidth="1"/>
    <col min="6" max="6" width="17.42578125" style="10" customWidth="1"/>
  </cols>
  <sheetData>
    <row r="1" spans="1:6" ht="23.25" customHeight="1" x14ac:dyDescent="0.25">
      <c r="A1" s="39" t="s">
        <v>1500</v>
      </c>
      <c r="B1" s="39" t="s">
        <v>1501</v>
      </c>
      <c r="C1" s="39" t="s">
        <v>33</v>
      </c>
      <c r="D1" s="39" t="s">
        <v>619</v>
      </c>
      <c r="E1" s="39" t="s">
        <v>330</v>
      </c>
      <c r="F1" s="39" t="s">
        <v>120</v>
      </c>
    </row>
    <row r="2" spans="1:6" ht="15" customHeight="1" x14ac:dyDescent="0.25">
      <c r="A2" s="10">
        <v>1</v>
      </c>
      <c r="B2" s="10" t="s">
        <v>620</v>
      </c>
      <c r="C2" s="10">
        <f>COUNTIF(Products!$C$2:$C$101,A2)</f>
        <v>10</v>
      </c>
      <c r="D2" s="10">
        <f>SUMIF(OrderItems!$H$2:$H$1254,A2,OrderItems!$D$2:$D$1254)</f>
        <v>711</v>
      </c>
      <c r="E2" s="19">
        <f>SUMIF(OrderItems!$H$2:$H$1254,A2,OrderItems!$G$2:$G$1254)</f>
        <v>185455.91750000004</v>
      </c>
      <c r="F2" s="17">
        <f>SUMIF(Products!$C$2:$C$101,A2,Products!$L$2:$L$101)</f>
        <v>474429.85</v>
      </c>
    </row>
    <row r="3" spans="1:6" ht="15" customHeight="1" x14ac:dyDescent="0.25">
      <c r="A3" s="10">
        <v>2</v>
      </c>
      <c r="B3" s="10" t="s">
        <v>621</v>
      </c>
      <c r="C3" s="10">
        <f>COUNTIF(Products!$C$2:$C$101,A3)</f>
        <v>10</v>
      </c>
      <c r="D3" s="10">
        <f>SUMIF(OrderItems!$H$2:$H$1254,A3,OrderItems!$D$2:$D$1254)</f>
        <v>666</v>
      </c>
      <c r="E3" s="19">
        <f>SUMIF(OrderItems!$H$2:$H$1254,A3,OrderItems!$G$2:$G$1254)</f>
        <v>188788.63850000003</v>
      </c>
      <c r="F3" s="17">
        <f>SUMIF(Products!$C$2:$C$101,A3,Products!$L$2:$L$101)</f>
        <v>494090.54999999993</v>
      </c>
    </row>
    <row r="4" spans="1:6" ht="15" customHeight="1" x14ac:dyDescent="0.25">
      <c r="A4" s="10">
        <v>3</v>
      </c>
      <c r="B4" s="10" t="s">
        <v>622</v>
      </c>
      <c r="C4" s="10">
        <f>COUNTIF(Products!$C$2:$C$101,A4)</f>
        <v>10</v>
      </c>
      <c r="D4" s="10">
        <f>SUMIF(OrderItems!$H$2:$H$1254,A4,OrderItems!$D$2:$D$1254)</f>
        <v>621</v>
      </c>
      <c r="E4" s="19">
        <f>SUMIF(OrderItems!$H$2:$H$1254,A4,OrderItems!$G$2:$G$1254)</f>
        <v>144037.6985</v>
      </c>
      <c r="F4" s="17">
        <f>SUMIF(Products!$C$2:$C$101,A4,Products!$L$2:$L$101)</f>
        <v>374937.3</v>
      </c>
    </row>
    <row r="5" spans="1:6" ht="15" customHeight="1" x14ac:dyDescent="0.25">
      <c r="A5" s="10">
        <v>4</v>
      </c>
      <c r="B5" s="10" t="s">
        <v>623</v>
      </c>
      <c r="C5" s="10">
        <f>COUNTIF(Products!$C$2:$C$101,A5)</f>
        <v>10</v>
      </c>
      <c r="D5" s="10">
        <f>SUMIF(OrderItems!$H$2:$H$1254,A5,OrderItems!$D$2:$D$1254)</f>
        <v>794</v>
      </c>
      <c r="E5" s="19">
        <f>SUMIF(OrderItems!$H$2:$H$1254,A5,OrderItems!$G$2:$G$1254)</f>
        <v>206243.00250000015</v>
      </c>
      <c r="F5" s="17">
        <f>SUMIF(Products!$C$2:$C$101,A5,Products!$L$2:$L$101)</f>
        <v>342078.08999999997</v>
      </c>
    </row>
    <row r="6" spans="1:6" ht="15" customHeight="1" x14ac:dyDescent="0.25">
      <c r="A6" s="10">
        <v>5</v>
      </c>
      <c r="B6" s="10" t="s">
        <v>624</v>
      </c>
      <c r="C6" s="10">
        <f>COUNTIF(Products!$C$2:$C$101,A6)</f>
        <v>10</v>
      </c>
      <c r="D6" s="10">
        <f>SUMIF(OrderItems!$H$2:$H$1254,A6,OrderItems!$D$2:$D$1254)</f>
        <v>710</v>
      </c>
      <c r="E6" s="19">
        <f>SUMIF(OrderItems!$H$2:$H$1254,A6,OrderItems!$G$2:$G$1254)</f>
        <v>135507.77950000003</v>
      </c>
      <c r="F6" s="17">
        <f>SUMIF(Products!$C$2:$C$101,A6,Products!$L$2:$L$101)</f>
        <v>246239.51</v>
      </c>
    </row>
    <row r="7" spans="1:6" ht="15" customHeight="1" x14ac:dyDescent="0.25">
      <c r="A7" s="10">
        <v>6</v>
      </c>
      <c r="B7" s="10" t="s">
        <v>625</v>
      </c>
      <c r="C7" s="10">
        <f>COUNTIF(Products!$C$2:$C$101,A7)</f>
        <v>10</v>
      </c>
      <c r="D7" s="10">
        <f>SUMIF(OrderItems!$H$2:$H$1254,A7,OrderItems!$D$2:$D$1254)</f>
        <v>757</v>
      </c>
      <c r="E7" s="19">
        <f>SUMIF(OrderItems!$H$2:$H$1254,A7,OrderItems!$G$2:$G$1254)</f>
        <v>269240.83549999993</v>
      </c>
      <c r="F7" s="17">
        <f>SUMIF(Products!$C$2:$C$101,A7,Products!$L$2:$L$101)</f>
        <v>517487.33000000007</v>
      </c>
    </row>
    <row r="8" spans="1:6" ht="15" customHeight="1" x14ac:dyDescent="0.25">
      <c r="A8" s="10">
        <v>7</v>
      </c>
      <c r="B8" s="10" t="s">
        <v>626</v>
      </c>
      <c r="C8" s="10">
        <f>COUNTIF(Products!$C$2:$C$101,A8)</f>
        <v>10</v>
      </c>
      <c r="D8" s="10">
        <f>SUMIF(OrderItems!$H$2:$H$1254,A8,OrderItems!$D$2:$D$1254)</f>
        <v>641</v>
      </c>
      <c r="E8" s="19">
        <f>SUMIF(OrderItems!$H$2:$H$1254,A8,OrderItems!$G$2:$G$1254)</f>
        <v>109793.86750000004</v>
      </c>
      <c r="F8" s="17">
        <f>SUMIF(Products!$C$2:$C$101,A8,Products!$L$2:$L$101)</f>
        <v>199556.26</v>
      </c>
    </row>
    <row r="9" spans="1:6" ht="15" customHeight="1" x14ac:dyDescent="0.25">
      <c r="A9" s="10">
        <v>8</v>
      </c>
      <c r="B9" s="10" t="s">
        <v>627</v>
      </c>
      <c r="C9" s="10">
        <f>COUNTIF(Products!$C$2:$C$101,A9)</f>
        <v>10</v>
      </c>
      <c r="D9" s="10">
        <f>SUMIF(OrderItems!$H$2:$H$1254,A9,OrderItems!$D$2:$D$1254)</f>
        <v>638</v>
      </c>
      <c r="E9" s="19">
        <f>SUMIF(OrderItems!$H$2:$H$1254,A9,OrderItems!$G$2:$G$1254)</f>
        <v>177044.39250000005</v>
      </c>
      <c r="F9" s="17">
        <f>SUMIF(Products!$C$2:$C$101,A9,Products!$L$2:$L$101)</f>
        <v>466264.94</v>
      </c>
    </row>
    <row r="10" spans="1:6" ht="15" customHeight="1" x14ac:dyDescent="0.25">
      <c r="A10" s="10">
        <v>9</v>
      </c>
      <c r="B10" s="10" t="s">
        <v>628</v>
      </c>
      <c r="C10" s="10">
        <f>COUNTIF(Products!$C$2:$C$101,A10)</f>
        <v>10</v>
      </c>
      <c r="D10" s="10">
        <f>SUMIF(OrderItems!$H$2:$H$1254,A10,OrderItems!$D$2:$D$1254)</f>
        <v>654</v>
      </c>
      <c r="E10" s="19">
        <f>SUMIF(OrderItems!$H$2:$H$1254,A10,OrderItems!$G$2:$G$1254)</f>
        <v>155430.55749999997</v>
      </c>
      <c r="F10" s="17">
        <f>SUMIF(Products!$C$2:$C$101,A10,Products!$L$2:$L$101)</f>
        <v>359871.16</v>
      </c>
    </row>
    <row r="11" spans="1:6" ht="15" customHeight="1" x14ac:dyDescent="0.25">
      <c r="A11" s="10">
        <v>10</v>
      </c>
      <c r="B11" s="10" t="s">
        <v>629</v>
      </c>
      <c r="C11" s="10">
        <f>COUNTIF(Products!$C$2:$C$101,A11)</f>
        <v>10</v>
      </c>
      <c r="D11" s="10">
        <f>SUMIF(OrderItems!$H$2:$H$1254,A11,OrderItems!$D$2:$D$1254)</f>
        <v>710</v>
      </c>
      <c r="E11" s="19">
        <f>SUMIF(OrderItems!$H$2:$H$1254,A11,OrderItems!$G$2:$G$1254)</f>
        <v>184134.40049999993</v>
      </c>
      <c r="F11" s="17">
        <f>SUMIF(Products!$C$2:$C$101,A11,Products!$L$2:$L$101)</f>
        <v>343753.31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P101"/>
  <sheetViews>
    <sheetView zoomScaleNormal="100" workbookViewId="0">
      <pane ySplit="1" topLeftCell="A2" activePane="bottomLeft" state="frozen"/>
      <selection pane="bottomLeft" activeCell="H1" sqref="H1"/>
    </sheetView>
  </sheetViews>
  <sheetFormatPr defaultColWidth="8.7109375" defaultRowHeight="15" x14ac:dyDescent="0.25"/>
  <cols>
    <col min="1" max="1" width="12.7109375" style="10" customWidth="1"/>
    <col min="2" max="2" width="22" style="10" customWidth="1"/>
    <col min="3" max="3" width="13.7109375" style="10" customWidth="1"/>
    <col min="4" max="4" width="13.140625" style="10" customWidth="1"/>
    <col min="5" max="5" width="11.140625" style="10" customWidth="1"/>
    <col min="6" max="6" width="12.140625" style="10" customWidth="1"/>
    <col min="7" max="7" width="16" style="10" customWidth="1"/>
    <col min="8" max="8" width="15.28515625" style="10" customWidth="1"/>
    <col min="9" max="9" width="14.7109375" style="10" customWidth="1"/>
    <col min="10" max="11" width="18" style="10" customWidth="1"/>
    <col min="12" max="12" width="17.42578125" style="10" customWidth="1"/>
    <col min="13" max="13" width="15" style="10" customWidth="1"/>
    <col min="14" max="14" width="12.28515625" style="10" customWidth="1"/>
    <col min="15" max="15" width="21.28515625" style="10" customWidth="1"/>
    <col min="16" max="16" width="17" style="10" customWidth="1"/>
  </cols>
  <sheetData>
    <row r="1" spans="1:16" ht="23.25" customHeight="1" x14ac:dyDescent="0.25">
      <c r="A1" s="39" t="s">
        <v>1503</v>
      </c>
      <c r="B1" s="39" t="s">
        <v>1513</v>
      </c>
      <c r="C1" s="39" t="s">
        <v>1500</v>
      </c>
      <c r="D1" s="39" t="s">
        <v>1497</v>
      </c>
      <c r="E1" s="39" t="s">
        <v>1514</v>
      </c>
      <c r="F1" s="39" t="s">
        <v>1508</v>
      </c>
      <c r="G1" s="39" t="s">
        <v>1515</v>
      </c>
      <c r="H1" s="39" t="s">
        <v>1516</v>
      </c>
      <c r="I1" s="39" t="s">
        <v>630</v>
      </c>
      <c r="J1" s="39" t="s">
        <v>631</v>
      </c>
      <c r="K1" s="39" t="s">
        <v>632</v>
      </c>
      <c r="L1" s="39" t="s">
        <v>120</v>
      </c>
      <c r="M1" s="39" t="s">
        <v>633</v>
      </c>
      <c r="N1" s="39" t="s">
        <v>32</v>
      </c>
      <c r="O1" s="39" t="s">
        <v>56</v>
      </c>
      <c r="P1" s="39" t="s">
        <v>634</v>
      </c>
    </row>
    <row r="2" spans="1:16" ht="15" customHeight="1" x14ac:dyDescent="0.25">
      <c r="A2" s="10">
        <v>1</v>
      </c>
      <c r="B2" s="10" t="s">
        <v>635</v>
      </c>
      <c r="C2" s="10">
        <v>1</v>
      </c>
      <c r="D2" s="10">
        <v>1</v>
      </c>
      <c r="E2" s="19">
        <v>235.86</v>
      </c>
      <c r="F2" s="19">
        <v>384.09</v>
      </c>
      <c r="G2" s="10">
        <v>199</v>
      </c>
      <c r="H2" s="10">
        <v>74</v>
      </c>
      <c r="I2" s="10">
        <v>0</v>
      </c>
      <c r="J2" s="10" t="str">
        <f>INDEX(Categories!$B$2:$B$11,MATCH(C2,Categories!$A$2:$A$11,0))</f>
        <v>Electronics</v>
      </c>
      <c r="K2" s="10" t="str">
        <f>INDEX(Suppliers!$B$2:$B$13,MATCH(D2,Suppliers!$A$2:$A$13,0))</f>
        <v>Acme Manufacturing</v>
      </c>
      <c r="L2" s="17">
        <f t="shared" ref="L2:L33" si="0">G2*E2</f>
        <v>46936.14</v>
      </c>
      <c r="M2" s="10" t="str">
        <f t="shared" ref="M2:M33" si="1">IF(G2&lt;=H2,"REORDER","OK")</f>
        <v>OK</v>
      </c>
      <c r="N2" s="10">
        <f>SUMIF(OrderItems!$C$2:$C$1254,A2,OrderItems!$D$2:$D$1254)</f>
        <v>55</v>
      </c>
      <c r="O2" s="19">
        <f>SUMIF(OrderItems!$C$2:$C$1254,A2,OrderItems!$G$2:$G$1254)</f>
        <v>19358.136000000002</v>
      </c>
      <c r="P2" s="18">
        <f t="shared" ref="P2:P33" si="2">IFERROR((F2-E2)/F2,0)</f>
        <v>0.38592517378739349</v>
      </c>
    </row>
    <row r="3" spans="1:16" ht="15" customHeight="1" x14ac:dyDescent="0.25">
      <c r="A3" s="10">
        <v>2</v>
      </c>
      <c r="B3" s="10" t="s">
        <v>636</v>
      </c>
      <c r="C3" s="10">
        <v>1</v>
      </c>
      <c r="D3" s="10">
        <v>7</v>
      </c>
      <c r="E3" s="19">
        <v>135.94</v>
      </c>
      <c r="F3" s="19">
        <v>286.57</v>
      </c>
      <c r="G3" s="10">
        <v>409</v>
      </c>
      <c r="H3" s="10">
        <v>58</v>
      </c>
      <c r="I3" s="10">
        <v>0</v>
      </c>
      <c r="J3" s="10" t="str">
        <f>INDEX(Categories!$B$2:$B$11,MATCH(C3,Categories!$A$2:$A$11,0))</f>
        <v>Electronics</v>
      </c>
      <c r="K3" s="10" t="str">
        <f>INDEX(Suppliers!$B$2:$B$13,MATCH(D3,Suppliers!$A$2:$A$13,0))</f>
        <v>BrightPath Goods</v>
      </c>
      <c r="L3" s="17">
        <f t="shared" si="0"/>
        <v>55599.46</v>
      </c>
      <c r="M3" s="10" t="str">
        <f t="shared" si="1"/>
        <v>OK</v>
      </c>
      <c r="N3" s="10">
        <f>SUMIF(OrderItems!$C$2:$C$1254,A3,OrderItems!$D$2:$D$1254)</f>
        <v>81</v>
      </c>
      <c r="O3" s="19">
        <f>SUMIF(OrderItems!$C$2:$C$1254,A3,OrderItems!$G$2:$G$1254)</f>
        <v>21679.020500000002</v>
      </c>
      <c r="P3" s="18">
        <f t="shared" si="2"/>
        <v>0.5256307359458422</v>
      </c>
    </row>
    <row r="4" spans="1:16" ht="15" customHeight="1" x14ac:dyDescent="0.25">
      <c r="A4" s="10">
        <v>3</v>
      </c>
      <c r="B4" s="10" t="s">
        <v>637</v>
      </c>
      <c r="C4" s="10">
        <v>1</v>
      </c>
      <c r="D4" s="10">
        <v>8</v>
      </c>
      <c r="E4" s="19">
        <v>57.2</v>
      </c>
      <c r="F4" s="19">
        <v>101.78</v>
      </c>
      <c r="G4" s="10">
        <v>14</v>
      </c>
      <c r="H4" s="10">
        <v>44</v>
      </c>
      <c r="I4" s="10">
        <v>0</v>
      </c>
      <c r="J4" s="10" t="str">
        <f>INDEX(Categories!$B$2:$B$11,MATCH(C4,Categories!$A$2:$A$11,0))</f>
        <v>Electronics</v>
      </c>
      <c r="K4" s="10" t="str">
        <f>INDEX(Suppliers!$B$2:$B$13,MATCH(D4,Suppliers!$A$2:$A$13,0))</f>
        <v>Zenith Materials</v>
      </c>
      <c r="L4" s="17">
        <f t="shared" si="0"/>
        <v>800.80000000000007</v>
      </c>
      <c r="M4" s="10" t="str">
        <f t="shared" si="1"/>
        <v>REORDER</v>
      </c>
      <c r="N4" s="10">
        <f>SUMIF(OrderItems!$C$2:$C$1254,A4,OrderItems!$D$2:$D$1254)</f>
        <v>59</v>
      </c>
      <c r="O4" s="19">
        <f>SUMIF(OrderItems!$C$2:$C$1254,A4,OrderItems!$G$2:$G$1254)</f>
        <v>5373.9840000000004</v>
      </c>
      <c r="P4" s="18">
        <f t="shared" si="2"/>
        <v>0.43800353704067596</v>
      </c>
    </row>
    <row r="5" spans="1:16" ht="15" customHeight="1" x14ac:dyDescent="0.25">
      <c r="A5" s="10">
        <v>4</v>
      </c>
      <c r="B5" s="10" t="s">
        <v>638</v>
      </c>
      <c r="C5" s="10">
        <v>1</v>
      </c>
      <c r="D5" s="10">
        <v>11</v>
      </c>
      <c r="E5" s="19">
        <v>200.14</v>
      </c>
      <c r="F5" s="19">
        <v>419.61</v>
      </c>
      <c r="G5" s="10">
        <v>430</v>
      </c>
      <c r="H5" s="10">
        <v>49</v>
      </c>
      <c r="I5" s="10">
        <v>0</v>
      </c>
      <c r="J5" s="10" t="str">
        <f>INDEX(Categories!$B$2:$B$11,MATCH(C5,Categories!$A$2:$A$11,0))</f>
        <v>Electronics</v>
      </c>
      <c r="K5" s="10" t="str">
        <f>INDEX(Suppliers!$B$2:$B$13,MATCH(D5,Suppliers!$A$2:$A$13,0))</f>
        <v>Redwood Electronics</v>
      </c>
      <c r="L5" s="17">
        <f t="shared" si="0"/>
        <v>86060.2</v>
      </c>
      <c r="M5" s="10" t="str">
        <f t="shared" si="1"/>
        <v>OK</v>
      </c>
      <c r="N5" s="10">
        <f>SUMIF(OrderItems!$C$2:$C$1254,A5,OrderItems!$D$2:$D$1254)</f>
        <v>43</v>
      </c>
      <c r="O5" s="19">
        <f>SUMIF(OrderItems!$C$2:$C$1254,A5,OrderItems!$G$2:$G$1254)</f>
        <v>16700.478000000003</v>
      </c>
      <c r="P5" s="18">
        <f t="shared" si="2"/>
        <v>0.52303329281952293</v>
      </c>
    </row>
    <row r="6" spans="1:16" ht="15" customHeight="1" x14ac:dyDescent="0.25">
      <c r="A6" s="10">
        <v>5</v>
      </c>
      <c r="B6" s="10" t="s">
        <v>639</v>
      </c>
      <c r="C6" s="10">
        <v>1</v>
      </c>
      <c r="D6" s="10">
        <v>10</v>
      </c>
      <c r="E6" s="19">
        <v>134.93</v>
      </c>
      <c r="F6" s="19">
        <v>310.02</v>
      </c>
      <c r="G6" s="10">
        <v>303</v>
      </c>
      <c r="H6" s="10">
        <v>56</v>
      </c>
      <c r="I6" s="10">
        <v>0</v>
      </c>
      <c r="J6" s="10" t="str">
        <f>INDEX(Categories!$B$2:$B$11,MATCH(C6,Categories!$A$2:$A$11,0))</f>
        <v>Electronics</v>
      </c>
      <c r="K6" s="10" t="str">
        <f>INDEX(Suppliers!$B$2:$B$13,MATCH(D6,Suppliers!$A$2:$A$13,0))</f>
        <v>Summit Hardware</v>
      </c>
      <c r="L6" s="17">
        <f t="shared" si="0"/>
        <v>40883.79</v>
      </c>
      <c r="M6" s="10" t="str">
        <f t="shared" si="1"/>
        <v>OK</v>
      </c>
      <c r="N6" s="10">
        <f>SUMIF(OrderItems!$C$2:$C$1254,A6,OrderItems!$D$2:$D$1254)</f>
        <v>80</v>
      </c>
      <c r="O6" s="19">
        <f>SUMIF(OrderItems!$C$2:$C$1254,A6,OrderItems!$G$2:$G$1254)</f>
        <v>23794.035</v>
      </c>
      <c r="P6" s="18">
        <f t="shared" si="2"/>
        <v>0.56477001483775235</v>
      </c>
    </row>
    <row r="7" spans="1:16" ht="15" customHeight="1" x14ac:dyDescent="0.25">
      <c r="A7" s="10">
        <v>6</v>
      </c>
      <c r="B7" s="10" t="s">
        <v>640</v>
      </c>
      <c r="C7" s="10">
        <v>1</v>
      </c>
      <c r="D7" s="10">
        <v>2</v>
      </c>
      <c r="E7" s="19">
        <v>161.76</v>
      </c>
      <c r="F7" s="19">
        <v>234.43</v>
      </c>
      <c r="G7" s="10">
        <v>236</v>
      </c>
      <c r="H7" s="10">
        <v>31</v>
      </c>
      <c r="I7" s="10">
        <v>0</v>
      </c>
      <c r="J7" s="10" t="str">
        <f>INDEX(Categories!$B$2:$B$11,MATCH(C7,Categories!$A$2:$A$11,0))</f>
        <v>Electronics</v>
      </c>
      <c r="K7" s="10" t="str">
        <f>INDEX(Suppliers!$B$2:$B$13,MATCH(D7,Suppliers!$A$2:$A$13,0))</f>
        <v>Global Parts Ltd</v>
      </c>
      <c r="L7" s="17">
        <f t="shared" si="0"/>
        <v>38175.360000000001</v>
      </c>
      <c r="M7" s="10" t="str">
        <f t="shared" si="1"/>
        <v>OK</v>
      </c>
      <c r="N7" s="10">
        <f>SUMIF(OrderItems!$C$2:$C$1254,A7,OrderItems!$D$2:$D$1254)</f>
        <v>91</v>
      </c>
      <c r="O7" s="19">
        <f>SUMIF(OrderItems!$C$2:$C$1254,A7,OrderItems!$G$2:$G$1254)</f>
        <v>18965.386999999999</v>
      </c>
      <c r="P7" s="18">
        <f t="shared" si="2"/>
        <v>0.30998592330333152</v>
      </c>
    </row>
    <row r="8" spans="1:16" ht="15" customHeight="1" x14ac:dyDescent="0.25">
      <c r="A8" s="10">
        <v>7</v>
      </c>
      <c r="B8" s="10" t="s">
        <v>641</v>
      </c>
      <c r="C8" s="10">
        <v>1</v>
      </c>
      <c r="D8" s="10">
        <v>7</v>
      </c>
      <c r="E8" s="19">
        <v>83.86</v>
      </c>
      <c r="F8" s="19">
        <v>150.96</v>
      </c>
      <c r="G8" s="10">
        <v>172</v>
      </c>
      <c r="H8" s="10">
        <v>68</v>
      </c>
      <c r="I8" s="10">
        <v>0</v>
      </c>
      <c r="J8" s="10" t="str">
        <f>INDEX(Categories!$B$2:$B$11,MATCH(C8,Categories!$A$2:$A$11,0))</f>
        <v>Electronics</v>
      </c>
      <c r="K8" s="10" t="str">
        <f>INDEX(Suppliers!$B$2:$B$13,MATCH(D8,Suppliers!$A$2:$A$13,0))</f>
        <v>BrightPath Goods</v>
      </c>
      <c r="L8" s="17">
        <f t="shared" si="0"/>
        <v>14423.92</v>
      </c>
      <c r="M8" s="10" t="str">
        <f t="shared" si="1"/>
        <v>OK</v>
      </c>
      <c r="N8" s="10">
        <f>SUMIF(OrderItems!$C$2:$C$1254,A8,OrderItems!$D$2:$D$1254)</f>
        <v>108</v>
      </c>
      <c r="O8" s="19">
        <f>SUMIF(OrderItems!$C$2:$C$1254,A8,OrderItems!$G$2:$G$1254)</f>
        <v>15262.056</v>
      </c>
      <c r="P8" s="18">
        <f t="shared" si="2"/>
        <v>0.44448860625331216</v>
      </c>
    </row>
    <row r="9" spans="1:16" ht="15" customHeight="1" x14ac:dyDescent="0.25">
      <c r="A9" s="10">
        <v>8</v>
      </c>
      <c r="B9" s="10" t="s">
        <v>642</v>
      </c>
      <c r="C9" s="10">
        <v>1</v>
      </c>
      <c r="D9" s="10">
        <v>5</v>
      </c>
      <c r="E9" s="19">
        <v>188.75</v>
      </c>
      <c r="F9" s="19">
        <v>418.1</v>
      </c>
      <c r="G9" s="10">
        <v>129</v>
      </c>
      <c r="H9" s="10">
        <v>73</v>
      </c>
      <c r="I9" s="10">
        <v>0</v>
      </c>
      <c r="J9" s="10" t="str">
        <f>INDEX(Categories!$B$2:$B$11,MATCH(C9,Categories!$A$2:$A$11,0))</f>
        <v>Electronics</v>
      </c>
      <c r="K9" s="10" t="str">
        <f>INDEX(Suppliers!$B$2:$B$13,MATCH(D9,Suppliers!$A$2:$A$13,0))</f>
        <v>Pacific Rim Supply</v>
      </c>
      <c r="L9" s="17">
        <f t="shared" si="0"/>
        <v>24348.75</v>
      </c>
      <c r="M9" s="10" t="str">
        <f t="shared" si="1"/>
        <v>OK</v>
      </c>
      <c r="N9" s="10">
        <f>SUMIF(OrderItems!$C$2:$C$1254,A9,OrderItems!$D$2:$D$1254)</f>
        <v>65</v>
      </c>
      <c r="O9" s="19">
        <f>SUMIF(OrderItems!$C$2:$C$1254,A9,OrderItems!$G$2:$G$1254)</f>
        <v>24333.420000000002</v>
      </c>
      <c r="P9" s="18">
        <f t="shared" si="2"/>
        <v>0.54855297775651757</v>
      </c>
    </row>
    <row r="10" spans="1:16" ht="15" customHeight="1" x14ac:dyDescent="0.25">
      <c r="A10" s="10">
        <v>9</v>
      </c>
      <c r="B10" s="10" t="s">
        <v>643</v>
      </c>
      <c r="C10" s="10">
        <v>1</v>
      </c>
      <c r="D10" s="10">
        <v>1</v>
      </c>
      <c r="E10" s="19">
        <v>188.01</v>
      </c>
      <c r="F10" s="19">
        <v>255.18</v>
      </c>
      <c r="G10" s="10">
        <v>487</v>
      </c>
      <c r="H10" s="10">
        <v>42</v>
      </c>
      <c r="I10" s="10">
        <v>0</v>
      </c>
      <c r="J10" s="10" t="str">
        <f>INDEX(Categories!$B$2:$B$11,MATCH(C10,Categories!$A$2:$A$11,0))</f>
        <v>Electronics</v>
      </c>
      <c r="K10" s="10" t="str">
        <f>INDEX(Suppliers!$B$2:$B$13,MATCH(D10,Suppliers!$A$2:$A$13,0))</f>
        <v>Acme Manufacturing</v>
      </c>
      <c r="L10" s="17">
        <f t="shared" si="0"/>
        <v>91560.87</v>
      </c>
      <c r="M10" s="10" t="str">
        <f t="shared" si="1"/>
        <v>OK</v>
      </c>
      <c r="N10" s="10">
        <f>SUMIF(OrderItems!$C$2:$C$1254,A10,OrderItems!$D$2:$D$1254)</f>
        <v>49</v>
      </c>
      <c r="O10" s="19">
        <f>SUMIF(OrderItems!$C$2:$C$1254,A10,OrderItems!$G$2:$G$1254)</f>
        <v>11393.787</v>
      </c>
      <c r="P10" s="18">
        <f t="shared" si="2"/>
        <v>0.2632259581471903</v>
      </c>
    </row>
    <row r="11" spans="1:16" ht="15" customHeight="1" x14ac:dyDescent="0.25">
      <c r="A11" s="10">
        <v>10</v>
      </c>
      <c r="B11" s="10" t="s">
        <v>644</v>
      </c>
      <c r="C11" s="10">
        <v>1</v>
      </c>
      <c r="D11" s="10">
        <v>2</v>
      </c>
      <c r="E11" s="19">
        <v>195.96</v>
      </c>
      <c r="F11" s="19">
        <v>395.24</v>
      </c>
      <c r="G11" s="10">
        <v>386</v>
      </c>
      <c r="H11" s="10">
        <v>21</v>
      </c>
      <c r="I11" s="10">
        <v>0</v>
      </c>
      <c r="J11" s="10" t="str">
        <f>INDEX(Categories!$B$2:$B$11,MATCH(C11,Categories!$A$2:$A$11,0))</f>
        <v>Electronics</v>
      </c>
      <c r="K11" s="10" t="str">
        <f>INDEX(Suppliers!$B$2:$B$13,MATCH(D11,Suppliers!$A$2:$A$13,0))</f>
        <v>Global Parts Ltd</v>
      </c>
      <c r="L11" s="17">
        <f t="shared" si="0"/>
        <v>75640.56</v>
      </c>
      <c r="M11" s="10" t="str">
        <f t="shared" si="1"/>
        <v>OK</v>
      </c>
      <c r="N11" s="10">
        <f>SUMIF(OrderItems!$C$2:$C$1254,A11,OrderItems!$D$2:$D$1254)</f>
        <v>80</v>
      </c>
      <c r="O11" s="19">
        <f>SUMIF(OrderItems!$C$2:$C$1254,A11,OrderItems!$G$2:$G$1254)</f>
        <v>28595.614000000001</v>
      </c>
      <c r="P11" s="18">
        <f t="shared" si="2"/>
        <v>0.50419997975913367</v>
      </c>
    </row>
    <row r="12" spans="1:16" ht="15" customHeight="1" x14ac:dyDescent="0.25">
      <c r="A12" s="10">
        <v>11</v>
      </c>
      <c r="B12" s="10" t="s">
        <v>645</v>
      </c>
      <c r="C12" s="10">
        <v>2</v>
      </c>
      <c r="D12" s="10">
        <v>4</v>
      </c>
      <c r="E12" s="19">
        <v>210.29</v>
      </c>
      <c r="F12" s="19">
        <v>417.1</v>
      </c>
      <c r="G12" s="10">
        <v>122</v>
      </c>
      <c r="H12" s="10">
        <v>28</v>
      </c>
      <c r="I12" s="10">
        <v>0</v>
      </c>
      <c r="J12" s="10" t="str">
        <f>INDEX(Categories!$B$2:$B$11,MATCH(C12,Categories!$A$2:$A$11,0))</f>
        <v>Office Supplies</v>
      </c>
      <c r="K12" s="10" t="str">
        <f>INDEX(Suppliers!$B$2:$B$13,MATCH(D12,Suppliers!$A$2:$A$13,0))</f>
        <v>Nordic Components</v>
      </c>
      <c r="L12" s="17">
        <f t="shared" si="0"/>
        <v>25655.379999999997</v>
      </c>
      <c r="M12" s="10" t="str">
        <f t="shared" si="1"/>
        <v>OK</v>
      </c>
      <c r="N12" s="10">
        <f>SUMIF(OrderItems!$C$2:$C$1254,A12,OrderItems!$D$2:$D$1254)</f>
        <v>87</v>
      </c>
      <c r="O12" s="19">
        <f>SUMIF(OrderItems!$C$2:$C$1254,A12,OrderItems!$G$2:$G$1254)</f>
        <v>34118.78</v>
      </c>
      <c r="P12" s="18">
        <f t="shared" si="2"/>
        <v>0.49582833852793101</v>
      </c>
    </row>
    <row r="13" spans="1:16" ht="15" customHeight="1" x14ac:dyDescent="0.25">
      <c r="A13" s="10">
        <v>12</v>
      </c>
      <c r="B13" s="10" t="s">
        <v>646</v>
      </c>
      <c r="C13" s="10">
        <v>2</v>
      </c>
      <c r="D13" s="10">
        <v>2</v>
      </c>
      <c r="E13" s="19">
        <v>142.30000000000001</v>
      </c>
      <c r="F13" s="19">
        <v>219.11</v>
      </c>
      <c r="G13" s="10">
        <v>358</v>
      </c>
      <c r="H13" s="10">
        <v>36</v>
      </c>
      <c r="I13" s="10">
        <v>0</v>
      </c>
      <c r="J13" s="10" t="str">
        <f>INDEX(Categories!$B$2:$B$11,MATCH(C13,Categories!$A$2:$A$11,0))</f>
        <v>Office Supplies</v>
      </c>
      <c r="K13" s="10" t="str">
        <f>INDEX(Suppliers!$B$2:$B$13,MATCH(D13,Suppliers!$A$2:$A$13,0))</f>
        <v>Global Parts Ltd</v>
      </c>
      <c r="L13" s="17">
        <f t="shared" si="0"/>
        <v>50943.4</v>
      </c>
      <c r="M13" s="10" t="str">
        <f t="shared" si="1"/>
        <v>OK</v>
      </c>
      <c r="N13" s="10">
        <f>SUMIF(OrderItems!$C$2:$C$1254,A13,OrderItems!$D$2:$D$1254)</f>
        <v>61</v>
      </c>
      <c r="O13" s="19">
        <f>SUMIF(OrderItems!$C$2:$C$1254,A13,OrderItems!$G$2:$G$1254)</f>
        <v>12587.869500000001</v>
      </c>
      <c r="P13" s="18">
        <f t="shared" si="2"/>
        <v>0.35055451599653142</v>
      </c>
    </row>
    <row r="14" spans="1:16" ht="15" customHeight="1" x14ac:dyDescent="0.25">
      <c r="A14" s="10">
        <v>13</v>
      </c>
      <c r="B14" s="10" t="s">
        <v>647</v>
      </c>
      <c r="C14" s="10">
        <v>2</v>
      </c>
      <c r="D14" s="10">
        <v>3</v>
      </c>
      <c r="E14" s="19">
        <v>152.66</v>
      </c>
      <c r="F14" s="19">
        <v>360.29</v>
      </c>
      <c r="G14" s="10">
        <v>367</v>
      </c>
      <c r="H14" s="10">
        <v>27</v>
      </c>
      <c r="I14" s="10">
        <v>0</v>
      </c>
      <c r="J14" s="10" t="str">
        <f>INDEX(Categories!$B$2:$B$11,MATCH(C14,Categories!$A$2:$A$11,0))</f>
        <v>Office Supplies</v>
      </c>
      <c r="K14" s="10" t="str">
        <f>INDEX(Suppliers!$B$2:$B$13,MATCH(D14,Suppliers!$A$2:$A$13,0))</f>
        <v>EastPoint Textiles</v>
      </c>
      <c r="L14" s="17">
        <f t="shared" si="0"/>
        <v>56026.22</v>
      </c>
      <c r="M14" s="10" t="str">
        <f t="shared" si="1"/>
        <v>OK</v>
      </c>
      <c r="N14" s="10">
        <f>SUMIF(OrderItems!$C$2:$C$1254,A14,OrderItems!$D$2:$D$1254)</f>
        <v>56</v>
      </c>
      <c r="O14" s="19">
        <f>SUMIF(OrderItems!$C$2:$C$1254,A14,OrderItems!$G$2:$G$1254)</f>
        <v>19077.355500000001</v>
      </c>
      <c r="P14" s="18">
        <f t="shared" si="2"/>
        <v>0.57628576979655277</v>
      </c>
    </row>
    <row r="15" spans="1:16" ht="15" customHeight="1" x14ac:dyDescent="0.25">
      <c r="A15" s="10">
        <v>14</v>
      </c>
      <c r="B15" s="10" t="s">
        <v>648</v>
      </c>
      <c r="C15" s="10">
        <v>2</v>
      </c>
      <c r="D15" s="10">
        <v>3</v>
      </c>
      <c r="E15" s="19">
        <v>241.29</v>
      </c>
      <c r="F15" s="19">
        <v>342.37</v>
      </c>
      <c r="G15" s="10">
        <v>13</v>
      </c>
      <c r="H15" s="10">
        <v>79</v>
      </c>
      <c r="I15" s="10">
        <v>0</v>
      </c>
      <c r="J15" s="10" t="str">
        <f>INDEX(Categories!$B$2:$B$11,MATCH(C15,Categories!$A$2:$A$11,0))</f>
        <v>Office Supplies</v>
      </c>
      <c r="K15" s="10" t="str">
        <f>INDEX(Suppliers!$B$2:$B$13,MATCH(D15,Suppliers!$A$2:$A$13,0))</f>
        <v>EastPoint Textiles</v>
      </c>
      <c r="L15" s="17">
        <f t="shared" si="0"/>
        <v>3136.77</v>
      </c>
      <c r="M15" s="10" t="str">
        <f t="shared" si="1"/>
        <v>REORDER</v>
      </c>
      <c r="N15" s="10">
        <f>SUMIF(OrderItems!$C$2:$C$1254,A15,OrderItems!$D$2:$D$1254)</f>
        <v>87</v>
      </c>
      <c r="O15" s="19">
        <f>SUMIF(OrderItems!$C$2:$C$1254,A15,OrderItems!$G$2:$G$1254)</f>
        <v>28040.102999999999</v>
      </c>
      <c r="P15" s="18">
        <f t="shared" si="2"/>
        <v>0.29523614802698839</v>
      </c>
    </row>
    <row r="16" spans="1:16" ht="15" customHeight="1" x14ac:dyDescent="0.25">
      <c r="A16" s="10">
        <v>15</v>
      </c>
      <c r="B16" s="10" t="s">
        <v>649</v>
      </c>
      <c r="C16" s="10">
        <v>2</v>
      </c>
      <c r="D16" s="10">
        <v>11</v>
      </c>
      <c r="E16" s="19">
        <v>227.28</v>
      </c>
      <c r="F16" s="19">
        <v>389.29</v>
      </c>
      <c r="G16" s="10">
        <v>482</v>
      </c>
      <c r="H16" s="10">
        <v>65</v>
      </c>
      <c r="I16" s="10">
        <v>0</v>
      </c>
      <c r="J16" s="10" t="str">
        <f>INDEX(Categories!$B$2:$B$11,MATCH(C16,Categories!$A$2:$A$11,0))</f>
        <v>Office Supplies</v>
      </c>
      <c r="K16" s="10" t="str">
        <f>INDEX(Suppliers!$B$2:$B$13,MATCH(D16,Suppliers!$A$2:$A$13,0))</f>
        <v>Redwood Electronics</v>
      </c>
      <c r="L16" s="17">
        <f t="shared" si="0"/>
        <v>109548.96</v>
      </c>
      <c r="M16" s="10" t="str">
        <f t="shared" si="1"/>
        <v>OK</v>
      </c>
      <c r="N16" s="10">
        <f>SUMIF(OrderItems!$C$2:$C$1254,A16,OrderItems!$D$2:$D$1254)</f>
        <v>21</v>
      </c>
      <c r="O16" s="19">
        <f>SUMIF(OrderItems!$C$2:$C$1254,A16,OrderItems!$G$2:$G$1254)</f>
        <v>7532.7615000000005</v>
      </c>
      <c r="P16" s="18">
        <f t="shared" si="2"/>
        <v>0.41616789539931676</v>
      </c>
    </row>
    <row r="17" spans="1:16" ht="15" customHeight="1" x14ac:dyDescent="0.25">
      <c r="A17" s="10">
        <v>16</v>
      </c>
      <c r="B17" s="10" t="s">
        <v>650</v>
      </c>
      <c r="C17" s="10">
        <v>2</v>
      </c>
      <c r="D17" s="10">
        <v>10</v>
      </c>
      <c r="E17" s="19">
        <v>173.58</v>
      </c>
      <c r="F17" s="19">
        <v>345.42</v>
      </c>
      <c r="G17" s="10">
        <v>52</v>
      </c>
      <c r="H17" s="10">
        <v>64</v>
      </c>
      <c r="I17" s="10">
        <v>0</v>
      </c>
      <c r="J17" s="10" t="str">
        <f>INDEX(Categories!$B$2:$B$11,MATCH(C17,Categories!$A$2:$A$11,0))</f>
        <v>Office Supplies</v>
      </c>
      <c r="K17" s="10" t="str">
        <f>INDEX(Suppliers!$B$2:$B$13,MATCH(D17,Suppliers!$A$2:$A$13,0))</f>
        <v>Summit Hardware</v>
      </c>
      <c r="L17" s="17">
        <f t="shared" si="0"/>
        <v>9026.16</v>
      </c>
      <c r="M17" s="10" t="str">
        <f t="shared" si="1"/>
        <v>REORDER</v>
      </c>
      <c r="N17" s="10">
        <f>SUMIF(OrderItems!$C$2:$C$1254,A17,OrderItems!$D$2:$D$1254)</f>
        <v>75</v>
      </c>
      <c r="O17" s="19">
        <f>SUMIF(OrderItems!$C$2:$C$1254,A17,OrderItems!$G$2:$G$1254)</f>
        <v>24714.800999999999</v>
      </c>
      <c r="P17" s="18">
        <f t="shared" si="2"/>
        <v>0.49748132708007642</v>
      </c>
    </row>
    <row r="18" spans="1:16" ht="15" customHeight="1" x14ac:dyDescent="0.25">
      <c r="A18" s="10">
        <v>17</v>
      </c>
      <c r="B18" s="10" t="s">
        <v>651</v>
      </c>
      <c r="C18" s="10">
        <v>2</v>
      </c>
      <c r="D18" s="10">
        <v>11</v>
      </c>
      <c r="E18" s="19">
        <v>151.30000000000001</v>
      </c>
      <c r="F18" s="19">
        <v>216.84</v>
      </c>
      <c r="G18" s="10">
        <v>289</v>
      </c>
      <c r="H18" s="10">
        <v>70</v>
      </c>
      <c r="I18" s="10">
        <v>1</v>
      </c>
      <c r="J18" s="10" t="str">
        <f>INDEX(Categories!$B$2:$B$11,MATCH(C18,Categories!$A$2:$A$11,0))</f>
        <v>Office Supplies</v>
      </c>
      <c r="K18" s="10" t="str">
        <f>INDEX(Suppliers!$B$2:$B$13,MATCH(D18,Suppliers!$A$2:$A$13,0))</f>
        <v>Redwood Electronics</v>
      </c>
      <c r="L18" s="17">
        <f t="shared" si="0"/>
        <v>43725.700000000004</v>
      </c>
      <c r="M18" s="10" t="str">
        <f t="shared" si="1"/>
        <v>OK</v>
      </c>
      <c r="N18" s="10">
        <f>SUMIF(OrderItems!$C$2:$C$1254,A18,OrderItems!$D$2:$D$1254)</f>
        <v>49</v>
      </c>
      <c r="O18" s="19">
        <f>SUMIF(OrderItems!$C$2:$C$1254,A18,OrderItems!$G$2:$G$1254)</f>
        <v>9681.9060000000009</v>
      </c>
      <c r="P18" s="18">
        <f t="shared" si="2"/>
        <v>0.30225050728647845</v>
      </c>
    </row>
    <row r="19" spans="1:16" ht="15" customHeight="1" x14ac:dyDescent="0.25">
      <c r="A19" s="10">
        <v>18</v>
      </c>
      <c r="B19" s="10" t="s">
        <v>652</v>
      </c>
      <c r="C19" s="10">
        <v>2</v>
      </c>
      <c r="D19" s="10">
        <v>9</v>
      </c>
      <c r="E19" s="19">
        <v>108.81</v>
      </c>
      <c r="F19" s="19">
        <v>185.81</v>
      </c>
      <c r="G19" s="10">
        <v>259</v>
      </c>
      <c r="H19" s="10">
        <v>61</v>
      </c>
      <c r="I19" s="10">
        <v>0</v>
      </c>
      <c r="J19" s="10" t="str">
        <f>INDEX(Categories!$B$2:$B$11,MATCH(C19,Categories!$A$2:$A$11,0))</f>
        <v>Office Supplies</v>
      </c>
      <c r="K19" s="10" t="str">
        <f>INDEX(Suppliers!$B$2:$B$13,MATCH(D19,Suppliers!$A$2:$A$13,0))</f>
        <v>Continental Fabrics</v>
      </c>
      <c r="L19" s="17">
        <f t="shared" si="0"/>
        <v>28181.79</v>
      </c>
      <c r="M19" s="10" t="str">
        <f t="shared" si="1"/>
        <v>OK</v>
      </c>
      <c r="N19" s="10">
        <f>SUMIF(OrderItems!$C$2:$C$1254,A19,OrderItems!$D$2:$D$1254)</f>
        <v>101</v>
      </c>
      <c r="O19" s="19">
        <f>SUMIF(OrderItems!$C$2:$C$1254,A19,OrderItems!$G$2:$G$1254)</f>
        <v>16639.285500000002</v>
      </c>
      <c r="P19" s="18">
        <f t="shared" si="2"/>
        <v>0.41440180829879986</v>
      </c>
    </row>
    <row r="20" spans="1:16" ht="15" customHeight="1" x14ac:dyDescent="0.25">
      <c r="A20" s="10">
        <v>19</v>
      </c>
      <c r="B20" s="10" t="s">
        <v>653</v>
      </c>
      <c r="C20" s="10">
        <v>2</v>
      </c>
      <c r="D20" s="10">
        <v>7</v>
      </c>
      <c r="E20" s="19">
        <v>206.12</v>
      </c>
      <c r="F20" s="19">
        <v>291.89</v>
      </c>
      <c r="G20" s="10">
        <v>491</v>
      </c>
      <c r="H20" s="10">
        <v>43</v>
      </c>
      <c r="I20" s="10">
        <v>0</v>
      </c>
      <c r="J20" s="10" t="str">
        <f>INDEX(Categories!$B$2:$B$11,MATCH(C20,Categories!$A$2:$A$11,0))</f>
        <v>Office Supplies</v>
      </c>
      <c r="K20" s="10" t="str">
        <f>INDEX(Suppliers!$B$2:$B$13,MATCH(D20,Suppliers!$A$2:$A$13,0))</f>
        <v>BrightPath Goods</v>
      </c>
      <c r="L20" s="17">
        <f t="shared" si="0"/>
        <v>101204.92</v>
      </c>
      <c r="M20" s="10" t="str">
        <f t="shared" si="1"/>
        <v>OK</v>
      </c>
      <c r="N20" s="10">
        <f>SUMIF(OrderItems!$C$2:$C$1254,A20,OrderItems!$D$2:$D$1254)</f>
        <v>58</v>
      </c>
      <c r="O20" s="19">
        <f>SUMIF(OrderItems!$C$2:$C$1254,A20,OrderItems!$G$2:$G$1254)</f>
        <v>16083.138999999999</v>
      </c>
      <c r="P20" s="18">
        <f t="shared" si="2"/>
        <v>0.29384357120833188</v>
      </c>
    </row>
    <row r="21" spans="1:16" ht="15" customHeight="1" x14ac:dyDescent="0.25">
      <c r="A21" s="10">
        <v>20</v>
      </c>
      <c r="B21" s="10" t="s">
        <v>654</v>
      </c>
      <c r="C21" s="10">
        <v>2</v>
      </c>
      <c r="D21" s="10">
        <v>8</v>
      </c>
      <c r="E21" s="19">
        <v>177.71</v>
      </c>
      <c r="F21" s="19">
        <v>316.14999999999998</v>
      </c>
      <c r="G21" s="10">
        <v>375</v>
      </c>
      <c r="H21" s="10">
        <v>53</v>
      </c>
      <c r="I21" s="10">
        <v>0</v>
      </c>
      <c r="J21" s="10" t="str">
        <f>INDEX(Categories!$B$2:$B$11,MATCH(C21,Categories!$A$2:$A$11,0))</f>
        <v>Office Supplies</v>
      </c>
      <c r="K21" s="10" t="str">
        <f>INDEX(Suppliers!$B$2:$B$13,MATCH(D21,Suppliers!$A$2:$A$13,0))</f>
        <v>Zenith Materials</v>
      </c>
      <c r="L21" s="17">
        <f t="shared" si="0"/>
        <v>66641.25</v>
      </c>
      <c r="M21" s="10" t="str">
        <f t="shared" si="1"/>
        <v>OK</v>
      </c>
      <c r="N21" s="10">
        <f>SUMIF(OrderItems!$C$2:$C$1254,A21,OrderItems!$D$2:$D$1254)</f>
        <v>71</v>
      </c>
      <c r="O21" s="19">
        <f>SUMIF(OrderItems!$C$2:$C$1254,A21,OrderItems!$G$2:$G$1254)</f>
        <v>20312.637500000001</v>
      </c>
      <c r="P21" s="18">
        <f t="shared" si="2"/>
        <v>0.43789340502925822</v>
      </c>
    </row>
    <row r="22" spans="1:16" ht="15" customHeight="1" x14ac:dyDescent="0.25">
      <c r="A22" s="10">
        <v>21</v>
      </c>
      <c r="B22" s="10" t="s">
        <v>655</v>
      </c>
      <c r="C22" s="10">
        <v>3</v>
      </c>
      <c r="D22" s="10">
        <v>5</v>
      </c>
      <c r="E22" s="19">
        <v>155.13</v>
      </c>
      <c r="F22" s="19">
        <v>358.6</v>
      </c>
      <c r="G22" s="10">
        <v>396</v>
      </c>
      <c r="H22" s="10">
        <v>50</v>
      </c>
      <c r="I22" s="10">
        <v>0</v>
      </c>
      <c r="J22" s="10" t="str">
        <f>INDEX(Categories!$B$2:$B$11,MATCH(C22,Categories!$A$2:$A$11,0))</f>
        <v>Furniture</v>
      </c>
      <c r="K22" s="10" t="str">
        <f>INDEX(Suppliers!$B$2:$B$13,MATCH(D22,Suppliers!$A$2:$A$13,0))</f>
        <v>Pacific Rim Supply</v>
      </c>
      <c r="L22" s="17">
        <f t="shared" si="0"/>
        <v>61431.479999999996</v>
      </c>
      <c r="M22" s="10" t="str">
        <f t="shared" si="1"/>
        <v>OK</v>
      </c>
      <c r="N22" s="10">
        <f>SUMIF(OrderItems!$C$2:$C$1254,A22,OrderItems!$D$2:$D$1254)</f>
        <v>64</v>
      </c>
      <c r="O22" s="19">
        <f>SUMIF(OrderItems!$C$2:$C$1254,A22,OrderItems!$G$2:$G$1254)</f>
        <v>20368.480000000003</v>
      </c>
      <c r="P22" s="18">
        <f t="shared" si="2"/>
        <v>0.56740100390407144</v>
      </c>
    </row>
    <row r="23" spans="1:16" ht="15" customHeight="1" x14ac:dyDescent="0.25">
      <c r="A23" s="10">
        <v>22</v>
      </c>
      <c r="B23" s="10" t="s">
        <v>656</v>
      </c>
      <c r="C23" s="10">
        <v>3</v>
      </c>
      <c r="D23" s="10">
        <v>12</v>
      </c>
      <c r="E23" s="19">
        <v>149.34</v>
      </c>
      <c r="F23" s="19">
        <v>247.09</v>
      </c>
      <c r="G23" s="10">
        <v>125</v>
      </c>
      <c r="H23" s="10">
        <v>73</v>
      </c>
      <c r="I23" s="10">
        <v>0</v>
      </c>
      <c r="J23" s="10" t="str">
        <f>INDEX(Categories!$B$2:$B$11,MATCH(C23,Categories!$A$2:$A$11,0))</f>
        <v>Furniture</v>
      </c>
      <c r="K23" s="10" t="str">
        <f>INDEX(Suppliers!$B$2:$B$13,MATCH(D23,Suppliers!$A$2:$A$13,0))</f>
        <v>Falcon Packaging</v>
      </c>
      <c r="L23" s="17">
        <f t="shared" si="0"/>
        <v>18667.5</v>
      </c>
      <c r="M23" s="10" t="str">
        <f t="shared" si="1"/>
        <v>OK</v>
      </c>
      <c r="N23" s="10">
        <f>SUMIF(OrderItems!$C$2:$C$1254,A23,OrderItems!$D$2:$D$1254)</f>
        <v>39</v>
      </c>
      <c r="O23" s="19">
        <f>SUMIF(OrderItems!$C$2:$C$1254,A23,OrderItems!$G$2:$G$1254)</f>
        <v>9154.6845000000012</v>
      </c>
      <c r="P23" s="18">
        <f t="shared" si="2"/>
        <v>0.39560484034157595</v>
      </c>
    </row>
    <row r="24" spans="1:16" ht="15" customHeight="1" x14ac:dyDescent="0.25">
      <c r="A24" s="10">
        <v>23</v>
      </c>
      <c r="B24" s="10" t="s">
        <v>657</v>
      </c>
      <c r="C24" s="10">
        <v>3</v>
      </c>
      <c r="D24" s="10">
        <v>5</v>
      </c>
      <c r="E24" s="19">
        <v>220.76</v>
      </c>
      <c r="F24" s="19">
        <v>346.21</v>
      </c>
      <c r="G24" s="10">
        <v>237</v>
      </c>
      <c r="H24" s="10">
        <v>56</v>
      </c>
      <c r="I24" s="10">
        <v>0</v>
      </c>
      <c r="J24" s="10" t="str">
        <f>INDEX(Categories!$B$2:$B$11,MATCH(C24,Categories!$A$2:$A$11,0))</f>
        <v>Furniture</v>
      </c>
      <c r="K24" s="10" t="str">
        <f>INDEX(Suppliers!$B$2:$B$13,MATCH(D24,Suppliers!$A$2:$A$13,0))</f>
        <v>Pacific Rim Supply</v>
      </c>
      <c r="L24" s="17">
        <f t="shared" si="0"/>
        <v>52320.119999999995</v>
      </c>
      <c r="M24" s="10" t="str">
        <f t="shared" si="1"/>
        <v>OK</v>
      </c>
      <c r="N24" s="10">
        <f>SUMIF(OrderItems!$C$2:$C$1254,A24,OrderItems!$D$2:$D$1254)</f>
        <v>36</v>
      </c>
      <c r="O24" s="19">
        <f>SUMIF(OrderItems!$C$2:$C$1254,A24,OrderItems!$G$2:$G$1254)</f>
        <v>11199.8935</v>
      </c>
      <c r="P24" s="18">
        <f t="shared" si="2"/>
        <v>0.36235232951099045</v>
      </c>
    </row>
    <row r="25" spans="1:16" ht="15" customHeight="1" x14ac:dyDescent="0.25">
      <c r="A25" s="10">
        <v>24</v>
      </c>
      <c r="B25" s="10" t="s">
        <v>658</v>
      </c>
      <c r="C25" s="10">
        <v>3</v>
      </c>
      <c r="D25" s="10">
        <v>7</v>
      </c>
      <c r="E25" s="19">
        <v>86.09</v>
      </c>
      <c r="F25" s="19">
        <v>158.72999999999999</v>
      </c>
      <c r="G25" s="10">
        <v>166</v>
      </c>
      <c r="H25" s="10">
        <v>31</v>
      </c>
      <c r="I25" s="10">
        <v>0</v>
      </c>
      <c r="J25" s="10" t="str">
        <f>INDEX(Categories!$B$2:$B$11,MATCH(C25,Categories!$A$2:$A$11,0))</f>
        <v>Furniture</v>
      </c>
      <c r="K25" s="10" t="str">
        <f>INDEX(Suppliers!$B$2:$B$13,MATCH(D25,Suppliers!$A$2:$A$13,0))</f>
        <v>BrightPath Goods</v>
      </c>
      <c r="L25" s="17">
        <f t="shared" si="0"/>
        <v>14290.94</v>
      </c>
      <c r="M25" s="10" t="str">
        <f t="shared" si="1"/>
        <v>OK</v>
      </c>
      <c r="N25" s="10">
        <f>SUMIF(OrderItems!$C$2:$C$1254,A25,OrderItems!$D$2:$D$1254)</f>
        <v>76</v>
      </c>
      <c r="O25" s="19">
        <f>SUMIF(OrderItems!$C$2:$C$1254,A25,OrderItems!$G$2:$G$1254)</f>
        <v>11428.56</v>
      </c>
      <c r="P25" s="18">
        <f t="shared" si="2"/>
        <v>0.45763245763245758</v>
      </c>
    </row>
    <row r="26" spans="1:16" ht="15" customHeight="1" x14ac:dyDescent="0.25">
      <c r="A26" s="10">
        <v>25</v>
      </c>
      <c r="B26" s="10" t="s">
        <v>659</v>
      </c>
      <c r="C26" s="10">
        <v>3</v>
      </c>
      <c r="D26" s="10">
        <v>6</v>
      </c>
      <c r="E26" s="19">
        <v>200.06</v>
      </c>
      <c r="F26" s="19">
        <v>334.98</v>
      </c>
      <c r="G26" s="10">
        <v>450</v>
      </c>
      <c r="H26" s="10">
        <v>58</v>
      </c>
      <c r="I26" s="10">
        <v>0</v>
      </c>
      <c r="J26" s="10" t="str">
        <f>INDEX(Categories!$B$2:$B$11,MATCH(C26,Categories!$A$2:$A$11,0))</f>
        <v>Furniture</v>
      </c>
      <c r="K26" s="10" t="str">
        <f>INDEX(Suppliers!$B$2:$B$13,MATCH(D26,Suppliers!$A$2:$A$13,0))</f>
        <v>Ironwood Industries</v>
      </c>
      <c r="L26" s="17">
        <f t="shared" si="0"/>
        <v>90027</v>
      </c>
      <c r="M26" s="10" t="str">
        <f t="shared" si="1"/>
        <v>OK</v>
      </c>
      <c r="N26" s="10">
        <f>SUMIF(OrderItems!$C$2:$C$1254,A26,OrderItems!$D$2:$D$1254)</f>
        <v>36</v>
      </c>
      <c r="O26" s="19">
        <f>SUMIF(OrderItems!$C$2:$C$1254,A26,OrderItems!$G$2:$G$1254)</f>
        <v>11104.587</v>
      </c>
      <c r="P26" s="18">
        <f t="shared" si="2"/>
        <v>0.4027703146456505</v>
      </c>
    </row>
    <row r="27" spans="1:16" ht="15" customHeight="1" x14ac:dyDescent="0.25">
      <c r="A27" s="10">
        <v>26</v>
      </c>
      <c r="B27" s="10" t="s">
        <v>660</v>
      </c>
      <c r="C27" s="10">
        <v>3</v>
      </c>
      <c r="D27" s="10">
        <v>5</v>
      </c>
      <c r="E27" s="19">
        <v>140.28</v>
      </c>
      <c r="F27" s="19">
        <v>262.08</v>
      </c>
      <c r="G27" s="10">
        <v>97</v>
      </c>
      <c r="H27" s="10">
        <v>25</v>
      </c>
      <c r="I27" s="10">
        <v>0</v>
      </c>
      <c r="J27" s="10" t="str">
        <f>INDEX(Categories!$B$2:$B$11,MATCH(C27,Categories!$A$2:$A$11,0))</f>
        <v>Furniture</v>
      </c>
      <c r="K27" s="10" t="str">
        <f>INDEX(Suppliers!$B$2:$B$13,MATCH(D27,Suppliers!$A$2:$A$13,0))</f>
        <v>Pacific Rim Supply</v>
      </c>
      <c r="L27" s="17">
        <f t="shared" si="0"/>
        <v>13607.16</v>
      </c>
      <c r="M27" s="10" t="str">
        <f t="shared" si="1"/>
        <v>OK</v>
      </c>
      <c r="N27" s="10">
        <f>SUMIF(OrderItems!$C$2:$C$1254,A27,OrderItems!$D$2:$D$1254)</f>
        <v>66</v>
      </c>
      <c r="O27" s="19">
        <f>SUMIF(OrderItems!$C$2:$C$1254,A27,OrderItems!$G$2:$G$1254)</f>
        <v>15934.463999999996</v>
      </c>
      <c r="P27" s="18">
        <f t="shared" si="2"/>
        <v>0.4647435897435897</v>
      </c>
    </row>
    <row r="28" spans="1:16" ht="15" customHeight="1" x14ac:dyDescent="0.25">
      <c r="A28" s="10">
        <v>27</v>
      </c>
      <c r="B28" s="10" t="s">
        <v>661</v>
      </c>
      <c r="C28" s="10">
        <v>3</v>
      </c>
      <c r="D28" s="10">
        <v>7</v>
      </c>
      <c r="E28" s="19">
        <v>123.68</v>
      </c>
      <c r="F28" s="19">
        <v>263.93</v>
      </c>
      <c r="G28" s="10">
        <v>353</v>
      </c>
      <c r="H28" s="10">
        <v>50</v>
      </c>
      <c r="I28" s="10">
        <v>0</v>
      </c>
      <c r="J28" s="10" t="str">
        <f>INDEX(Categories!$B$2:$B$11,MATCH(C28,Categories!$A$2:$A$11,0))</f>
        <v>Furniture</v>
      </c>
      <c r="K28" s="10" t="str">
        <f>INDEX(Suppliers!$B$2:$B$13,MATCH(D28,Suppliers!$A$2:$A$13,0))</f>
        <v>BrightPath Goods</v>
      </c>
      <c r="L28" s="17">
        <f t="shared" si="0"/>
        <v>43659.040000000001</v>
      </c>
      <c r="M28" s="10" t="str">
        <f t="shared" si="1"/>
        <v>OK</v>
      </c>
      <c r="N28" s="10">
        <f>SUMIF(OrderItems!$C$2:$C$1254,A28,OrderItems!$D$2:$D$1254)</f>
        <v>66</v>
      </c>
      <c r="O28" s="19">
        <f>SUMIF(OrderItems!$C$2:$C$1254,A28,OrderItems!$G$2:$G$1254)</f>
        <v>15914.979000000003</v>
      </c>
      <c r="P28" s="18">
        <f t="shared" si="2"/>
        <v>0.53139089910203463</v>
      </c>
    </row>
    <row r="29" spans="1:16" ht="15" customHeight="1" x14ac:dyDescent="0.25">
      <c r="A29" s="10">
        <v>28</v>
      </c>
      <c r="B29" s="10" t="s">
        <v>662</v>
      </c>
      <c r="C29" s="10">
        <v>3</v>
      </c>
      <c r="D29" s="10">
        <v>8</v>
      </c>
      <c r="E29" s="19">
        <v>113.7</v>
      </c>
      <c r="F29" s="19">
        <v>149.97</v>
      </c>
      <c r="G29" s="10">
        <v>150</v>
      </c>
      <c r="H29" s="10">
        <v>34</v>
      </c>
      <c r="I29" s="10">
        <v>0</v>
      </c>
      <c r="J29" s="10" t="str">
        <f>INDEX(Categories!$B$2:$B$11,MATCH(C29,Categories!$A$2:$A$11,0))</f>
        <v>Furniture</v>
      </c>
      <c r="K29" s="10" t="str">
        <f>INDEX(Suppliers!$B$2:$B$13,MATCH(D29,Suppliers!$A$2:$A$13,0))</f>
        <v>Zenith Materials</v>
      </c>
      <c r="L29" s="17">
        <f t="shared" si="0"/>
        <v>17055</v>
      </c>
      <c r="M29" s="10" t="str">
        <f t="shared" si="1"/>
        <v>OK</v>
      </c>
      <c r="N29" s="10">
        <f>SUMIF(OrderItems!$C$2:$C$1254,A29,OrderItems!$D$2:$D$1254)</f>
        <v>110</v>
      </c>
      <c r="O29" s="19">
        <f>SUMIF(OrderItems!$C$2:$C$1254,A29,OrderItems!$G$2:$G$1254)</f>
        <v>15259.447500000002</v>
      </c>
      <c r="P29" s="18">
        <f t="shared" si="2"/>
        <v>0.24184836967393475</v>
      </c>
    </row>
    <row r="30" spans="1:16" ht="15" customHeight="1" x14ac:dyDescent="0.25">
      <c r="A30" s="10">
        <v>29</v>
      </c>
      <c r="B30" s="10" t="s">
        <v>663</v>
      </c>
      <c r="C30" s="10">
        <v>3</v>
      </c>
      <c r="D30" s="10">
        <v>4</v>
      </c>
      <c r="E30" s="19">
        <v>78.63</v>
      </c>
      <c r="F30" s="19">
        <v>152.52000000000001</v>
      </c>
      <c r="G30" s="10">
        <v>242</v>
      </c>
      <c r="H30" s="10">
        <v>55</v>
      </c>
      <c r="I30" s="10">
        <v>0</v>
      </c>
      <c r="J30" s="10" t="str">
        <f>INDEX(Categories!$B$2:$B$11,MATCH(C30,Categories!$A$2:$A$11,0))</f>
        <v>Furniture</v>
      </c>
      <c r="K30" s="10" t="str">
        <f>INDEX(Suppliers!$B$2:$B$13,MATCH(D30,Suppliers!$A$2:$A$13,0))</f>
        <v>Nordic Components</v>
      </c>
      <c r="L30" s="17">
        <f t="shared" si="0"/>
        <v>19028.46</v>
      </c>
      <c r="M30" s="10" t="str">
        <f t="shared" si="1"/>
        <v>OK</v>
      </c>
      <c r="N30" s="10">
        <f>SUMIF(OrderItems!$C$2:$C$1254,A30,OrderItems!$D$2:$D$1254)</f>
        <v>77</v>
      </c>
      <c r="O30" s="19">
        <f>SUMIF(OrderItems!$C$2:$C$1254,A30,OrderItems!$G$2:$G$1254)</f>
        <v>10859.424000000001</v>
      </c>
      <c r="P30" s="18">
        <f t="shared" si="2"/>
        <v>0.48446105428796232</v>
      </c>
    </row>
    <row r="31" spans="1:16" ht="15" customHeight="1" x14ac:dyDescent="0.25">
      <c r="A31" s="10">
        <v>30</v>
      </c>
      <c r="B31" s="10" t="s">
        <v>664</v>
      </c>
      <c r="C31" s="10">
        <v>3</v>
      </c>
      <c r="D31" s="10">
        <v>7</v>
      </c>
      <c r="E31" s="19">
        <v>249.17</v>
      </c>
      <c r="F31" s="19">
        <v>474.78</v>
      </c>
      <c r="G31" s="10">
        <v>180</v>
      </c>
      <c r="H31" s="10">
        <v>64</v>
      </c>
      <c r="I31" s="10">
        <v>0</v>
      </c>
      <c r="J31" s="10" t="str">
        <f>INDEX(Categories!$B$2:$B$11,MATCH(C31,Categories!$A$2:$A$11,0))</f>
        <v>Furniture</v>
      </c>
      <c r="K31" s="10" t="str">
        <f>INDEX(Suppliers!$B$2:$B$13,MATCH(D31,Suppliers!$A$2:$A$13,0))</f>
        <v>BrightPath Goods</v>
      </c>
      <c r="L31" s="17">
        <f t="shared" si="0"/>
        <v>44850.6</v>
      </c>
      <c r="M31" s="10" t="str">
        <f t="shared" si="1"/>
        <v>OK</v>
      </c>
      <c r="N31" s="10">
        <f>SUMIF(OrderItems!$C$2:$C$1254,A31,OrderItems!$D$2:$D$1254)</f>
        <v>51</v>
      </c>
      <c r="O31" s="19">
        <f>SUMIF(OrderItems!$C$2:$C$1254,A31,OrderItems!$G$2:$G$1254)</f>
        <v>22813.179</v>
      </c>
      <c r="P31" s="18">
        <f t="shared" si="2"/>
        <v>0.47518850836176757</v>
      </c>
    </row>
    <row r="32" spans="1:16" ht="15" customHeight="1" x14ac:dyDescent="0.25">
      <c r="A32" s="10">
        <v>31</v>
      </c>
      <c r="B32" s="10" t="s">
        <v>665</v>
      </c>
      <c r="C32" s="10">
        <v>4</v>
      </c>
      <c r="D32" s="10">
        <v>5</v>
      </c>
      <c r="E32" s="19">
        <v>65.099999999999994</v>
      </c>
      <c r="F32" s="19">
        <v>93.27</v>
      </c>
      <c r="G32" s="10">
        <v>98</v>
      </c>
      <c r="H32" s="10">
        <v>40</v>
      </c>
      <c r="I32" s="10">
        <v>0</v>
      </c>
      <c r="J32" s="10" t="str">
        <f>INDEX(Categories!$B$2:$B$11,MATCH(C32,Categories!$A$2:$A$11,0))</f>
        <v>Apparel</v>
      </c>
      <c r="K32" s="10" t="str">
        <f>INDEX(Suppliers!$B$2:$B$13,MATCH(D32,Suppliers!$A$2:$A$13,0))</f>
        <v>Pacific Rim Supply</v>
      </c>
      <c r="L32" s="17">
        <f t="shared" si="0"/>
        <v>6379.7999999999993</v>
      </c>
      <c r="M32" s="10" t="str">
        <f t="shared" si="1"/>
        <v>OK</v>
      </c>
      <c r="N32" s="10">
        <f>SUMIF(OrderItems!$C$2:$C$1254,A32,OrderItems!$D$2:$D$1254)</f>
        <v>76</v>
      </c>
      <c r="O32" s="19">
        <f>SUMIF(OrderItems!$C$2:$C$1254,A32,OrderItems!$G$2:$G$1254)</f>
        <v>6603.5159999999996</v>
      </c>
      <c r="P32" s="18">
        <f t="shared" si="2"/>
        <v>0.30202637504020591</v>
      </c>
    </row>
    <row r="33" spans="1:16" ht="15" customHeight="1" x14ac:dyDescent="0.25">
      <c r="A33" s="10">
        <v>32</v>
      </c>
      <c r="B33" s="10" t="s">
        <v>666</v>
      </c>
      <c r="C33" s="10">
        <v>4</v>
      </c>
      <c r="D33" s="10">
        <v>9</v>
      </c>
      <c r="E33" s="19">
        <v>237.87</v>
      </c>
      <c r="F33" s="19">
        <v>489.82</v>
      </c>
      <c r="G33" s="10">
        <v>98</v>
      </c>
      <c r="H33" s="10">
        <v>33</v>
      </c>
      <c r="I33" s="10">
        <v>0</v>
      </c>
      <c r="J33" s="10" t="str">
        <f>INDEX(Categories!$B$2:$B$11,MATCH(C33,Categories!$A$2:$A$11,0))</f>
        <v>Apparel</v>
      </c>
      <c r="K33" s="10" t="str">
        <f>INDEX(Suppliers!$B$2:$B$13,MATCH(D33,Suppliers!$A$2:$A$13,0))</f>
        <v>Continental Fabrics</v>
      </c>
      <c r="L33" s="17">
        <f t="shared" si="0"/>
        <v>23311.260000000002</v>
      </c>
      <c r="M33" s="10" t="str">
        <f t="shared" si="1"/>
        <v>OK</v>
      </c>
      <c r="N33" s="10">
        <f>SUMIF(OrderItems!$C$2:$C$1254,A33,OrderItems!$D$2:$D$1254)</f>
        <v>51</v>
      </c>
      <c r="O33" s="19">
        <f>SUMIF(OrderItems!$C$2:$C$1254,A33,OrderItems!$G$2:$G$1254)</f>
        <v>23682.796999999999</v>
      </c>
      <c r="P33" s="18">
        <f t="shared" si="2"/>
        <v>0.51437262667918826</v>
      </c>
    </row>
    <row r="34" spans="1:16" ht="15" customHeight="1" x14ac:dyDescent="0.25">
      <c r="A34" s="10">
        <v>33</v>
      </c>
      <c r="B34" s="10" t="s">
        <v>667</v>
      </c>
      <c r="C34" s="10">
        <v>4</v>
      </c>
      <c r="D34" s="10">
        <v>5</v>
      </c>
      <c r="E34" s="19">
        <v>181.97</v>
      </c>
      <c r="F34" s="19">
        <v>432.05</v>
      </c>
      <c r="G34" s="10">
        <v>268</v>
      </c>
      <c r="H34" s="10">
        <v>58</v>
      </c>
      <c r="I34" s="10">
        <v>0</v>
      </c>
      <c r="J34" s="10" t="str">
        <f>INDEX(Categories!$B$2:$B$11,MATCH(C34,Categories!$A$2:$A$11,0))</f>
        <v>Apparel</v>
      </c>
      <c r="K34" s="10" t="str">
        <f>INDEX(Suppliers!$B$2:$B$13,MATCH(D34,Suppliers!$A$2:$A$13,0))</f>
        <v>Pacific Rim Supply</v>
      </c>
      <c r="L34" s="17">
        <f t="shared" ref="L34:L65" si="3">G34*E34</f>
        <v>48767.96</v>
      </c>
      <c r="M34" s="10" t="str">
        <f t="shared" ref="M34:M65" si="4">IF(G34&lt;=H34,"REORDER","OK")</f>
        <v>OK</v>
      </c>
      <c r="N34" s="10">
        <f>SUMIF(OrderItems!$C$2:$C$1254,A34,OrderItems!$D$2:$D$1254)</f>
        <v>81</v>
      </c>
      <c r="O34" s="19">
        <f>SUMIF(OrderItems!$C$2:$C$1254,A34,OrderItems!$G$2:$G$1254)</f>
        <v>32684.5825</v>
      </c>
      <c r="P34" s="18">
        <f t="shared" ref="P34:P65" si="5">IFERROR((F34-E34)/F34,0)</f>
        <v>0.5788218956139336</v>
      </c>
    </row>
    <row r="35" spans="1:16" ht="15" customHeight="1" x14ac:dyDescent="0.25">
      <c r="A35" s="10">
        <v>34</v>
      </c>
      <c r="B35" s="10" t="s">
        <v>668</v>
      </c>
      <c r="C35" s="10">
        <v>4</v>
      </c>
      <c r="D35" s="10">
        <v>2</v>
      </c>
      <c r="E35" s="19">
        <v>208.66</v>
      </c>
      <c r="F35" s="19">
        <v>339.25</v>
      </c>
      <c r="G35" s="10">
        <v>184</v>
      </c>
      <c r="H35" s="10">
        <v>31</v>
      </c>
      <c r="I35" s="10">
        <v>0</v>
      </c>
      <c r="J35" s="10" t="str">
        <f>INDEX(Categories!$B$2:$B$11,MATCH(C35,Categories!$A$2:$A$11,0))</f>
        <v>Apparel</v>
      </c>
      <c r="K35" s="10" t="str">
        <f>INDEX(Suppliers!$B$2:$B$13,MATCH(D35,Suppliers!$A$2:$A$13,0))</f>
        <v>Global Parts Ltd</v>
      </c>
      <c r="L35" s="17">
        <f t="shared" si="3"/>
        <v>38393.440000000002</v>
      </c>
      <c r="M35" s="10" t="str">
        <f t="shared" si="4"/>
        <v>OK</v>
      </c>
      <c r="N35" s="10">
        <f>SUMIF(OrderItems!$C$2:$C$1254,A35,OrderItems!$D$2:$D$1254)</f>
        <v>113</v>
      </c>
      <c r="O35" s="19">
        <f>SUMIF(OrderItems!$C$2:$C$1254,A35,OrderItems!$G$2:$G$1254)</f>
        <v>35994.424999999996</v>
      </c>
      <c r="P35" s="18">
        <f t="shared" si="5"/>
        <v>0.38493736182756083</v>
      </c>
    </row>
    <row r="36" spans="1:16" ht="15" customHeight="1" x14ac:dyDescent="0.25">
      <c r="A36" s="10">
        <v>35</v>
      </c>
      <c r="B36" s="10" t="s">
        <v>669</v>
      </c>
      <c r="C36" s="10">
        <v>4</v>
      </c>
      <c r="D36" s="10">
        <v>12</v>
      </c>
      <c r="E36" s="19">
        <v>134.93</v>
      </c>
      <c r="F36" s="19">
        <v>216.12</v>
      </c>
      <c r="G36" s="10">
        <v>498</v>
      </c>
      <c r="H36" s="10">
        <v>23</v>
      </c>
      <c r="I36" s="10">
        <v>0</v>
      </c>
      <c r="J36" s="10" t="str">
        <f>INDEX(Categories!$B$2:$B$11,MATCH(C36,Categories!$A$2:$A$11,0))</f>
        <v>Apparel</v>
      </c>
      <c r="K36" s="10" t="str">
        <f>INDEX(Suppliers!$B$2:$B$13,MATCH(D36,Suppliers!$A$2:$A$13,0))</f>
        <v>Falcon Packaging</v>
      </c>
      <c r="L36" s="17">
        <f t="shared" si="3"/>
        <v>67195.14</v>
      </c>
      <c r="M36" s="10" t="str">
        <f t="shared" si="4"/>
        <v>OK</v>
      </c>
      <c r="N36" s="10">
        <f>SUMIF(OrderItems!$C$2:$C$1254,A36,OrderItems!$D$2:$D$1254)</f>
        <v>81</v>
      </c>
      <c r="O36" s="19">
        <f>SUMIF(OrderItems!$C$2:$C$1254,A36,OrderItems!$G$2:$G$1254)</f>
        <v>15863.207999999999</v>
      </c>
      <c r="P36" s="18">
        <f t="shared" si="5"/>
        <v>0.37567092356098464</v>
      </c>
    </row>
    <row r="37" spans="1:16" ht="15" customHeight="1" x14ac:dyDescent="0.25">
      <c r="A37" s="10">
        <v>36</v>
      </c>
      <c r="B37" s="10" t="s">
        <v>670</v>
      </c>
      <c r="C37" s="10">
        <v>4</v>
      </c>
      <c r="D37" s="10">
        <v>12</v>
      </c>
      <c r="E37" s="19">
        <v>236.19</v>
      </c>
      <c r="F37" s="19">
        <v>472.77</v>
      </c>
      <c r="G37" s="10">
        <v>385</v>
      </c>
      <c r="H37" s="10">
        <v>51</v>
      </c>
      <c r="I37" s="10">
        <v>0</v>
      </c>
      <c r="J37" s="10" t="str">
        <f>INDEX(Categories!$B$2:$B$11,MATCH(C37,Categories!$A$2:$A$11,0))</f>
        <v>Apparel</v>
      </c>
      <c r="K37" s="10" t="str">
        <f>INDEX(Suppliers!$B$2:$B$13,MATCH(D37,Suppliers!$A$2:$A$13,0))</f>
        <v>Falcon Packaging</v>
      </c>
      <c r="L37" s="17">
        <f t="shared" si="3"/>
        <v>90933.15</v>
      </c>
      <c r="M37" s="10" t="str">
        <f t="shared" si="4"/>
        <v>OK</v>
      </c>
      <c r="N37" s="10">
        <f>SUMIF(OrderItems!$C$2:$C$1254,A37,OrderItems!$D$2:$D$1254)</f>
        <v>95</v>
      </c>
      <c r="O37" s="19">
        <f>SUMIF(OrderItems!$C$2:$C$1254,A37,OrderItems!$G$2:$G$1254)</f>
        <v>41485.567499999997</v>
      </c>
      <c r="P37" s="18">
        <f t="shared" si="5"/>
        <v>0.50041246271971573</v>
      </c>
    </row>
    <row r="38" spans="1:16" ht="15" customHeight="1" x14ac:dyDescent="0.25">
      <c r="A38" s="10">
        <v>37</v>
      </c>
      <c r="B38" s="10" t="s">
        <v>671</v>
      </c>
      <c r="C38" s="10">
        <v>4</v>
      </c>
      <c r="D38" s="10">
        <v>1</v>
      </c>
      <c r="E38" s="19">
        <v>144.79</v>
      </c>
      <c r="F38" s="19">
        <v>262.99</v>
      </c>
      <c r="G38" s="10">
        <v>225</v>
      </c>
      <c r="H38" s="10">
        <v>41</v>
      </c>
      <c r="I38" s="10">
        <v>0</v>
      </c>
      <c r="J38" s="10" t="str">
        <f>INDEX(Categories!$B$2:$B$11,MATCH(C38,Categories!$A$2:$A$11,0))</f>
        <v>Apparel</v>
      </c>
      <c r="K38" s="10" t="str">
        <f>INDEX(Suppliers!$B$2:$B$13,MATCH(D38,Suppliers!$A$2:$A$13,0))</f>
        <v>Acme Manufacturing</v>
      </c>
      <c r="L38" s="17">
        <f t="shared" si="3"/>
        <v>32577.75</v>
      </c>
      <c r="M38" s="10" t="str">
        <f t="shared" si="4"/>
        <v>OK</v>
      </c>
      <c r="N38" s="10">
        <f>SUMIF(OrderItems!$C$2:$C$1254,A38,OrderItems!$D$2:$D$1254)</f>
        <v>51</v>
      </c>
      <c r="O38" s="19">
        <f>SUMIF(OrderItems!$C$2:$C$1254,A38,OrderItems!$G$2:$G$1254)</f>
        <v>11992.343999999997</v>
      </c>
      <c r="P38" s="18">
        <f t="shared" si="5"/>
        <v>0.44944674702460174</v>
      </c>
    </row>
    <row r="39" spans="1:16" ht="15" customHeight="1" x14ac:dyDescent="0.25">
      <c r="A39" s="10">
        <v>38</v>
      </c>
      <c r="B39" s="10" t="s">
        <v>672</v>
      </c>
      <c r="C39" s="10">
        <v>4</v>
      </c>
      <c r="D39" s="10">
        <v>1</v>
      </c>
      <c r="E39" s="19">
        <v>65.36</v>
      </c>
      <c r="F39" s="19">
        <v>146.91999999999999</v>
      </c>
      <c r="G39" s="10">
        <v>58</v>
      </c>
      <c r="H39" s="10">
        <v>72</v>
      </c>
      <c r="I39" s="10">
        <v>0</v>
      </c>
      <c r="J39" s="10" t="str">
        <f>INDEX(Categories!$B$2:$B$11,MATCH(C39,Categories!$A$2:$A$11,0))</f>
        <v>Apparel</v>
      </c>
      <c r="K39" s="10" t="str">
        <f>INDEX(Suppliers!$B$2:$B$13,MATCH(D39,Suppliers!$A$2:$A$13,0))</f>
        <v>Acme Manufacturing</v>
      </c>
      <c r="L39" s="17">
        <f t="shared" si="3"/>
        <v>3790.88</v>
      </c>
      <c r="M39" s="10" t="str">
        <f t="shared" si="4"/>
        <v>REORDER</v>
      </c>
      <c r="N39" s="10">
        <f>SUMIF(OrderItems!$C$2:$C$1254,A39,OrderItems!$D$2:$D$1254)</f>
        <v>84</v>
      </c>
      <c r="O39" s="19">
        <f>SUMIF(OrderItems!$C$2:$C$1254,A39,OrderItems!$G$2:$G$1254)</f>
        <v>11378.953999999998</v>
      </c>
      <c r="P39" s="18">
        <f t="shared" si="5"/>
        <v>0.55513204465014976</v>
      </c>
    </row>
    <row r="40" spans="1:16" ht="15" customHeight="1" x14ac:dyDescent="0.25">
      <c r="A40" s="10">
        <v>39</v>
      </c>
      <c r="B40" s="10" t="s">
        <v>673</v>
      </c>
      <c r="C40" s="10">
        <v>4</v>
      </c>
      <c r="D40" s="10">
        <v>8</v>
      </c>
      <c r="E40" s="19">
        <v>21.3</v>
      </c>
      <c r="F40" s="19">
        <v>42.44</v>
      </c>
      <c r="G40" s="10">
        <v>27</v>
      </c>
      <c r="H40" s="10">
        <v>29</v>
      </c>
      <c r="I40" s="10">
        <v>0</v>
      </c>
      <c r="J40" s="10" t="str">
        <f>INDEX(Categories!$B$2:$B$11,MATCH(C40,Categories!$A$2:$A$11,0))</f>
        <v>Apparel</v>
      </c>
      <c r="K40" s="10" t="str">
        <f>INDEX(Suppliers!$B$2:$B$13,MATCH(D40,Suppliers!$A$2:$A$13,0))</f>
        <v>Zenith Materials</v>
      </c>
      <c r="L40" s="17">
        <f t="shared" si="3"/>
        <v>575.1</v>
      </c>
      <c r="M40" s="10" t="str">
        <f t="shared" si="4"/>
        <v>REORDER</v>
      </c>
      <c r="N40" s="10">
        <f>SUMIF(OrderItems!$C$2:$C$1254,A40,OrderItems!$D$2:$D$1254)</f>
        <v>86</v>
      </c>
      <c r="O40" s="19">
        <f>SUMIF(OrderItems!$C$2:$C$1254,A40,OrderItems!$G$2:$G$1254)</f>
        <v>3344.2719999999999</v>
      </c>
      <c r="P40" s="18">
        <f t="shared" si="5"/>
        <v>0.49811498586239394</v>
      </c>
    </row>
    <row r="41" spans="1:16" ht="15" customHeight="1" x14ac:dyDescent="0.25">
      <c r="A41" s="10">
        <v>40</v>
      </c>
      <c r="B41" s="10" t="s">
        <v>674</v>
      </c>
      <c r="C41" s="10">
        <v>4</v>
      </c>
      <c r="D41" s="10">
        <v>10</v>
      </c>
      <c r="E41" s="19">
        <v>237.43</v>
      </c>
      <c r="F41" s="19">
        <v>330.91</v>
      </c>
      <c r="G41" s="10">
        <v>127</v>
      </c>
      <c r="H41" s="10">
        <v>27</v>
      </c>
      <c r="I41" s="10">
        <v>0</v>
      </c>
      <c r="J41" s="10" t="str">
        <f>INDEX(Categories!$B$2:$B$11,MATCH(C41,Categories!$A$2:$A$11,0))</f>
        <v>Apparel</v>
      </c>
      <c r="K41" s="10" t="str">
        <f>INDEX(Suppliers!$B$2:$B$13,MATCH(D41,Suppliers!$A$2:$A$13,0))</f>
        <v>Summit Hardware</v>
      </c>
      <c r="L41" s="17">
        <f t="shared" si="3"/>
        <v>30153.61</v>
      </c>
      <c r="M41" s="10" t="str">
        <f t="shared" si="4"/>
        <v>OK</v>
      </c>
      <c r="N41" s="10">
        <f>SUMIF(OrderItems!$C$2:$C$1254,A41,OrderItems!$D$2:$D$1254)</f>
        <v>76</v>
      </c>
      <c r="O41" s="19">
        <f>SUMIF(OrderItems!$C$2:$C$1254,A41,OrderItems!$G$2:$G$1254)</f>
        <v>23213.336500000001</v>
      </c>
      <c r="P41" s="18">
        <f t="shared" si="5"/>
        <v>0.2824937294128313</v>
      </c>
    </row>
    <row r="42" spans="1:16" ht="15" customHeight="1" x14ac:dyDescent="0.25">
      <c r="A42" s="10">
        <v>41</v>
      </c>
      <c r="B42" s="10" t="s">
        <v>675</v>
      </c>
      <c r="C42" s="10">
        <v>5</v>
      </c>
      <c r="D42" s="10">
        <v>7</v>
      </c>
      <c r="E42" s="19">
        <v>152.76</v>
      </c>
      <c r="F42" s="19">
        <v>331.46</v>
      </c>
      <c r="G42" s="10">
        <v>115</v>
      </c>
      <c r="H42" s="10">
        <v>69</v>
      </c>
      <c r="I42" s="10">
        <v>0</v>
      </c>
      <c r="J42" s="10" t="str">
        <f>INDEX(Categories!$B$2:$B$11,MATCH(C42,Categories!$A$2:$A$11,0))</f>
        <v>Home &amp; Kitchen</v>
      </c>
      <c r="K42" s="10" t="str">
        <f>INDEX(Suppliers!$B$2:$B$13,MATCH(D42,Suppliers!$A$2:$A$13,0))</f>
        <v>BrightPath Goods</v>
      </c>
      <c r="L42" s="17">
        <f t="shared" si="3"/>
        <v>17567.399999999998</v>
      </c>
      <c r="M42" s="10" t="str">
        <f t="shared" si="4"/>
        <v>OK</v>
      </c>
      <c r="N42" s="10">
        <f>SUMIF(OrderItems!$C$2:$C$1254,A42,OrderItems!$D$2:$D$1254)</f>
        <v>86</v>
      </c>
      <c r="O42" s="19">
        <f>SUMIF(OrderItems!$C$2:$C$1254,A42,OrderItems!$G$2:$G$1254)</f>
        <v>26500.226999999999</v>
      </c>
      <c r="P42" s="18">
        <f t="shared" si="5"/>
        <v>0.53912991009473243</v>
      </c>
    </row>
    <row r="43" spans="1:16" ht="15" customHeight="1" x14ac:dyDescent="0.25">
      <c r="A43" s="10">
        <v>42</v>
      </c>
      <c r="B43" s="10" t="s">
        <v>676</v>
      </c>
      <c r="C43" s="10">
        <v>5</v>
      </c>
      <c r="D43" s="10">
        <v>8</v>
      </c>
      <c r="E43" s="19">
        <v>227.4</v>
      </c>
      <c r="F43" s="19">
        <v>370</v>
      </c>
      <c r="G43" s="10">
        <v>301</v>
      </c>
      <c r="H43" s="10">
        <v>47</v>
      </c>
      <c r="I43" s="10">
        <v>0</v>
      </c>
      <c r="J43" s="10" t="str">
        <f>INDEX(Categories!$B$2:$B$11,MATCH(C43,Categories!$A$2:$A$11,0))</f>
        <v>Home &amp; Kitchen</v>
      </c>
      <c r="K43" s="10" t="str">
        <f>INDEX(Suppliers!$B$2:$B$13,MATCH(D43,Suppliers!$A$2:$A$13,0))</f>
        <v>Zenith Materials</v>
      </c>
      <c r="L43" s="17">
        <f t="shared" si="3"/>
        <v>68447.400000000009</v>
      </c>
      <c r="M43" s="10" t="str">
        <f t="shared" si="4"/>
        <v>OK</v>
      </c>
      <c r="N43" s="10">
        <f>SUMIF(OrderItems!$C$2:$C$1254,A43,OrderItems!$D$2:$D$1254)</f>
        <v>81</v>
      </c>
      <c r="O43" s="19">
        <f>SUMIF(OrderItems!$C$2:$C$1254,A43,OrderItems!$G$2:$G$1254)</f>
        <v>28009</v>
      </c>
      <c r="P43" s="18">
        <f t="shared" si="5"/>
        <v>0.38540540540540541</v>
      </c>
    </row>
    <row r="44" spans="1:16" ht="15" customHeight="1" x14ac:dyDescent="0.25">
      <c r="A44" s="10">
        <v>43</v>
      </c>
      <c r="B44" s="10" t="s">
        <v>677</v>
      </c>
      <c r="C44" s="10">
        <v>5</v>
      </c>
      <c r="D44" s="10">
        <v>10</v>
      </c>
      <c r="E44" s="19">
        <v>17.88</v>
      </c>
      <c r="F44" s="19">
        <v>42.13</v>
      </c>
      <c r="G44" s="10">
        <v>50</v>
      </c>
      <c r="H44" s="10">
        <v>80</v>
      </c>
      <c r="I44" s="10">
        <v>0</v>
      </c>
      <c r="J44" s="10" t="str">
        <f>INDEX(Categories!$B$2:$B$11,MATCH(C44,Categories!$A$2:$A$11,0))</f>
        <v>Home &amp; Kitchen</v>
      </c>
      <c r="K44" s="10" t="str">
        <f>INDEX(Suppliers!$B$2:$B$13,MATCH(D44,Suppliers!$A$2:$A$13,0))</f>
        <v>Summit Hardware</v>
      </c>
      <c r="L44" s="17">
        <f t="shared" si="3"/>
        <v>894</v>
      </c>
      <c r="M44" s="10" t="str">
        <f t="shared" si="4"/>
        <v>REORDER</v>
      </c>
      <c r="N44" s="10">
        <f>SUMIF(OrderItems!$C$2:$C$1254,A44,OrderItems!$D$2:$D$1254)</f>
        <v>61</v>
      </c>
      <c r="O44" s="19">
        <f>SUMIF(OrderItems!$C$2:$C$1254,A44,OrderItems!$G$2:$G$1254)</f>
        <v>2411.9425000000006</v>
      </c>
      <c r="P44" s="18">
        <f t="shared" si="5"/>
        <v>0.57559933539045816</v>
      </c>
    </row>
    <row r="45" spans="1:16" ht="15" customHeight="1" x14ac:dyDescent="0.25">
      <c r="A45" s="10">
        <v>44</v>
      </c>
      <c r="B45" s="10" t="s">
        <v>678</v>
      </c>
      <c r="C45" s="10">
        <v>5</v>
      </c>
      <c r="D45" s="10">
        <v>11</v>
      </c>
      <c r="E45" s="19">
        <v>55.12</v>
      </c>
      <c r="F45" s="19">
        <v>111.7</v>
      </c>
      <c r="G45" s="10">
        <v>80</v>
      </c>
      <c r="H45" s="10">
        <v>35</v>
      </c>
      <c r="I45" s="10">
        <v>0</v>
      </c>
      <c r="J45" s="10" t="str">
        <f>INDEX(Categories!$B$2:$B$11,MATCH(C45,Categories!$A$2:$A$11,0))</f>
        <v>Home &amp; Kitchen</v>
      </c>
      <c r="K45" s="10" t="str">
        <f>INDEX(Suppliers!$B$2:$B$13,MATCH(D45,Suppliers!$A$2:$A$13,0))</f>
        <v>Redwood Electronics</v>
      </c>
      <c r="L45" s="17">
        <f t="shared" si="3"/>
        <v>4409.5999999999995</v>
      </c>
      <c r="M45" s="10" t="str">
        <f t="shared" si="4"/>
        <v>OK</v>
      </c>
      <c r="N45" s="10">
        <f>SUMIF(OrderItems!$C$2:$C$1254,A45,OrderItems!$D$2:$D$1254)</f>
        <v>39</v>
      </c>
      <c r="O45" s="19">
        <f>SUMIF(OrderItems!$C$2:$C$1254,A45,OrderItems!$G$2:$G$1254)</f>
        <v>3920.67</v>
      </c>
      <c r="P45" s="18">
        <f t="shared" si="5"/>
        <v>0.50653536257833487</v>
      </c>
    </row>
    <row r="46" spans="1:16" ht="15" customHeight="1" x14ac:dyDescent="0.25">
      <c r="A46" s="10">
        <v>45</v>
      </c>
      <c r="B46" s="10" t="s">
        <v>679</v>
      </c>
      <c r="C46" s="10">
        <v>5</v>
      </c>
      <c r="D46" s="10">
        <v>2</v>
      </c>
      <c r="E46" s="19">
        <v>41.66</v>
      </c>
      <c r="F46" s="19">
        <v>72.88</v>
      </c>
      <c r="G46" s="10">
        <v>352</v>
      </c>
      <c r="H46" s="10">
        <v>58</v>
      </c>
      <c r="I46" s="10">
        <v>0</v>
      </c>
      <c r="J46" s="10" t="str">
        <f>INDEX(Categories!$B$2:$B$11,MATCH(C46,Categories!$A$2:$A$11,0))</f>
        <v>Home &amp; Kitchen</v>
      </c>
      <c r="K46" s="10" t="str">
        <f>INDEX(Suppliers!$B$2:$B$13,MATCH(D46,Suppliers!$A$2:$A$13,0))</f>
        <v>Global Parts Ltd</v>
      </c>
      <c r="L46" s="17">
        <f t="shared" si="3"/>
        <v>14664.32</v>
      </c>
      <c r="M46" s="10" t="str">
        <f t="shared" si="4"/>
        <v>OK</v>
      </c>
      <c r="N46" s="10">
        <f>SUMIF(OrderItems!$C$2:$C$1254,A46,OrderItems!$D$2:$D$1254)</f>
        <v>52</v>
      </c>
      <c r="O46" s="19">
        <f>SUMIF(OrderItems!$C$2:$C$1254,A46,OrderItems!$G$2:$G$1254)</f>
        <v>3676.7959999999998</v>
      </c>
      <c r="P46" s="18">
        <f t="shared" si="5"/>
        <v>0.42837541163556531</v>
      </c>
    </row>
    <row r="47" spans="1:16" ht="15" customHeight="1" x14ac:dyDescent="0.25">
      <c r="A47" s="10">
        <v>46</v>
      </c>
      <c r="B47" s="10" t="s">
        <v>680</v>
      </c>
      <c r="C47" s="10">
        <v>5</v>
      </c>
      <c r="D47" s="10">
        <v>1</v>
      </c>
      <c r="E47" s="19">
        <v>60.17</v>
      </c>
      <c r="F47" s="19">
        <v>125.01</v>
      </c>
      <c r="G47" s="10">
        <v>359</v>
      </c>
      <c r="H47" s="10">
        <v>75</v>
      </c>
      <c r="I47" s="10">
        <v>0</v>
      </c>
      <c r="J47" s="10" t="str">
        <f>INDEX(Categories!$B$2:$B$11,MATCH(C47,Categories!$A$2:$A$11,0))</f>
        <v>Home &amp; Kitchen</v>
      </c>
      <c r="K47" s="10" t="str">
        <f>INDEX(Suppliers!$B$2:$B$13,MATCH(D47,Suppliers!$A$2:$A$13,0))</f>
        <v>Acme Manufacturing</v>
      </c>
      <c r="L47" s="17">
        <f t="shared" si="3"/>
        <v>21601.03</v>
      </c>
      <c r="M47" s="10" t="str">
        <f t="shared" si="4"/>
        <v>OK</v>
      </c>
      <c r="N47" s="10">
        <f>SUMIF(OrderItems!$C$2:$C$1254,A47,OrderItems!$D$2:$D$1254)</f>
        <v>59</v>
      </c>
      <c r="O47" s="19">
        <f>SUMIF(OrderItems!$C$2:$C$1254,A47,OrderItems!$G$2:$G$1254)</f>
        <v>6956.8065000000006</v>
      </c>
      <c r="P47" s="18">
        <f t="shared" si="5"/>
        <v>0.51867850571954244</v>
      </c>
    </row>
    <row r="48" spans="1:16" ht="15" customHeight="1" x14ac:dyDescent="0.25">
      <c r="A48" s="10">
        <v>47</v>
      </c>
      <c r="B48" s="10" t="s">
        <v>681</v>
      </c>
      <c r="C48" s="10">
        <v>5</v>
      </c>
      <c r="D48" s="10">
        <v>11</v>
      </c>
      <c r="E48" s="19">
        <v>60.66</v>
      </c>
      <c r="F48" s="19">
        <v>96.51</v>
      </c>
      <c r="G48" s="10">
        <v>405</v>
      </c>
      <c r="H48" s="10">
        <v>60</v>
      </c>
      <c r="I48" s="10">
        <v>0</v>
      </c>
      <c r="J48" s="10" t="str">
        <f>INDEX(Categories!$B$2:$B$11,MATCH(C48,Categories!$A$2:$A$11,0))</f>
        <v>Home &amp; Kitchen</v>
      </c>
      <c r="K48" s="10" t="str">
        <f>INDEX(Suppliers!$B$2:$B$13,MATCH(D48,Suppliers!$A$2:$A$13,0))</f>
        <v>Redwood Electronics</v>
      </c>
      <c r="L48" s="17">
        <f t="shared" si="3"/>
        <v>24567.3</v>
      </c>
      <c r="M48" s="10" t="str">
        <f t="shared" si="4"/>
        <v>OK</v>
      </c>
      <c r="N48" s="10">
        <f>SUMIF(OrderItems!$C$2:$C$1254,A48,OrderItems!$D$2:$D$1254)</f>
        <v>105</v>
      </c>
      <c r="O48" s="19">
        <f>SUMIF(OrderItems!$C$2:$C$1254,A48,OrderItems!$G$2:$G$1254)</f>
        <v>9231.1815000000006</v>
      </c>
      <c r="P48" s="18">
        <f t="shared" si="5"/>
        <v>0.37146409698476851</v>
      </c>
    </row>
    <row r="49" spans="1:16" ht="15" customHeight="1" x14ac:dyDescent="0.25">
      <c r="A49" s="10">
        <v>48</v>
      </c>
      <c r="B49" s="10" t="s">
        <v>682</v>
      </c>
      <c r="C49" s="10">
        <v>5</v>
      </c>
      <c r="D49" s="10">
        <v>4</v>
      </c>
      <c r="E49" s="19">
        <v>108.01</v>
      </c>
      <c r="F49" s="19">
        <v>205.11</v>
      </c>
      <c r="G49" s="10">
        <v>331</v>
      </c>
      <c r="H49" s="10">
        <v>29</v>
      </c>
      <c r="I49" s="10">
        <v>0</v>
      </c>
      <c r="J49" s="10" t="str">
        <f>INDEX(Categories!$B$2:$B$11,MATCH(C49,Categories!$A$2:$A$11,0))</f>
        <v>Home &amp; Kitchen</v>
      </c>
      <c r="K49" s="10" t="str">
        <f>INDEX(Suppliers!$B$2:$B$13,MATCH(D49,Suppliers!$A$2:$A$13,0))</f>
        <v>Nordic Components</v>
      </c>
      <c r="L49" s="17">
        <f t="shared" si="3"/>
        <v>35751.310000000005</v>
      </c>
      <c r="M49" s="10" t="str">
        <f t="shared" si="4"/>
        <v>OK</v>
      </c>
      <c r="N49" s="10">
        <f>SUMIF(OrderItems!$C$2:$C$1254,A49,OrderItems!$D$2:$D$1254)</f>
        <v>72</v>
      </c>
      <c r="O49" s="19">
        <f>SUMIF(OrderItems!$C$2:$C$1254,A49,OrderItems!$G$2:$G$1254)</f>
        <v>13865.436000000002</v>
      </c>
      <c r="P49" s="18">
        <f t="shared" si="5"/>
        <v>0.47340451465067523</v>
      </c>
    </row>
    <row r="50" spans="1:16" ht="15" customHeight="1" x14ac:dyDescent="0.25">
      <c r="A50" s="10">
        <v>49</v>
      </c>
      <c r="B50" s="10" t="s">
        <v>683</v>
      </c>
      <c r="C50" s="10">
        <v>5</v>
      </c>
      <c r="D50" s="10">
        <v>3</v>
      </c>
      <c r="E50" s="19">
        <v>20.64</v>
      </c>
      <c r="F50" s="19">
        <v>30.6</v>
      </c>
      <c r="G50" s="10">
        <v>157</v>
      </c>
      <c r="H50" s="10">
        <v>58</v>
      </c>
      <c r="I50" s="10">
        <v>0</v>
      </c>
      <c r="J50" s="10" t="str">
        <f>INDEX(Categories!$B$2:$B$11,MATCH(C50,Categories!$A$2:$A$11,0))</f>
        <v>Home &amp; Kitchen</v>
      </c>
      <c r="K50" s="10" t="str">
        <f>INDEX(Suppliers!$B$2:$B$13,MATCH(D50,Suppliers!$A$2:$A$13,0))</f>
        <v>EastPoint Textiles</v>
      </c>
      <c r="L50" s="17">
        <f t="shared" si="3"/>
        <v>3240.48</v>
      </c>
      <c r="M50" s="10" t="str">
        <f t="shared" si="4"/>
        <v>OK</v>
      </c>
      <c r="N50" s="10">
        <f>SUMIF(OrderItems!$C$2:$C$1254,A50,OrderItems!$D$2:$D$1254)</f>
        <v>50</v>
      </c>
      <c r="O50" s="19">
        <f>SUMIF(OrderItems!$C$2:$C$1254,A50,OrderItems!$G$2:$G$1254)</f>
        <v>1474.9199999999998</v>
      </c>
      <c r="P50" s="18">
        <f t="shared" si="5"/>
        <v>0.32549019607843138</v>
      </c>
    </row>
    <row r="51" spans="1:16" ht="15" customHeight="1" x14ac:dyDescent="0.25">
      <c r="A51" s="10">
        <v>50</v>
      </c>
      <c r="B51" s="10" t="s">
        <v>684</v>
      </c>
      <c r="C51" s="10">
        <v>5</v>
      </c>
      <c r="D51" s="10">
        <v>10</v>
      </c>
      <c r="E51" s="19">
        <v>230.53</v>
      </c>
      <c r="F51" s="19">
        <v>411.05</v>
      </c>
      <c r="G51" s="10">
        <v>239</v>
      </c>
      <c r="H51" s="10">
        <v>64</v>
      </c>
      <c r="I51" s="10">
        <v>0</v>
      </c>
      <c r="J51" s="10" t="str">
        <f>INDEX(Categories!$B$2:$B$11,MATCH(C51,Categories!$A$2:$A$11,0))</f>
        <v>Home &amp; Kitchen</v>
      </c>
      <c r="K51" s="10" t="str">
        <f>INDEX(Suppliers!$B$2:$B$13,MATCH(D51,Suppliers!$A$2:$A$13,0))</f>
        <v>Summit Hardware</v>
      </c>
      <c r="L51" s="17">
        <f t="shared" si="3"/>
        <v>55096.67</v>
      </c>
      <c r="M51" s="10" t="str">
        <f t="shared" si="4"/>
        <v>OK</v>
      </c>
      <c r="N51" s="10">
        <f>SUMIF(OrderItems!$C$2:$C$1254,A51,OrderItems!$D$2:$D$1254)</f>
        <v>105</v>
      </c>
      <c r="O51" s="19">
        <f>SUMIF(OrderItems!$C$2:$C$1254,A51,OrderItems!$G$2:$G$1254)</f>
        <v>39460.800000000003</v>
      </c>
      <c r="P51" s="18">
        <f t="shared" si="5"/>
        <v>0.43916798443011801</v>
      </c>
    </row>
    <row r="52" spans="1:16" ht="15" customHeight="1" x14ac:dyDescent="0.25">
      <c r="A52" s="10">
        <v>51</v>
      </c>
      <c r="B52" s="10" t="s">
        <v>685</v>
      </c>
      <c r="C52" s="10">
        <v>6</v>
      </c>
      <c r="D52" s="10">
        <v>7</v>
      </c>
      <c r="E52" s="19">
        <v>235.84</v>
      </c>
      <c r="F52" s="19">
        <v>436.43</v>
      </c>
      <c r="G52" s="10">
        <v>252</v>
      </c>
      <c r="H52" s="10">
        <v>48</v>
      </c>
      <c r="I52" s="10">
        <v>0</v>
      </c>
      <c r="J52" s="10" t="str">
        <f>INDEX(Categories!$B$2:$B$11,MATCH(C52,Categories!$A$2:$A$11,0))</f>
        <v>Sporting Goods</v>
      </c>
      <c r="K52" s="10" t="str">
        <f>INDEX(Suppliers!$B$2:$B$13,MATCH(D52,Suppliers!$A$2:$A$13,0))</f>
        <v>BrightPath Goods</v>
      </c>
      <c r="L52" s="17">
        <f t="shared" si="3"/>
        <v>59431.68</v>
      </c>
      <c r="M52" s="10" t="str">
        <f t="shared" si="4"/>
        <v>OK</v>
      </c>
      <c r="N52" s="10">
        <f>SUMIF(OrderItems!$C$2:$C$1254,A52,OrderItems!$D$2:$D$1254)</f>
        <v>104</v>
      </c>
      <c r="O52" s="19">
        <f>SUMIF(OrderItems!$C$2:$C$1254,A52,OrderItems!$G$2:$G$1254)</f>
        <v>41242.635000000002</v>
      </c>
      <c r="P52" s="18">
        <f t="shared" si="5"/>
        <v>0.45961551680681895</v>
      </c>
    </row>
    <row r="53" spans="1:16" ht="15" customHeight="1" x14ac:dyDescent="0.25">
      <c r="A53" s="10">
        <v>52</v>
      </c>
      <c r="B53" s="10" t="s">
        <v>686</v>
      </c>
      <c r="C53" s="10">
        <v>6</v>
      </c>
      <c r="D53" s="10">
        <v>1</v>
      </c>
      <c r="E53" s="19">
        <v>222.69</v>
      </c>
      <c r="F53" s="19">
        <v>469.43</v>
      </c>
      <c r="G53" s="10">
        <v>309</v>
      </c>
      <c r="H53" s="10">
        <v>36</v>
      </c>
      <c r="I53" s="10">
        <v>1</v>
      </c>
      <c r="J53" s="10" t="str">
        <f>INDEX(Categories!$B$2:$B$11,MATCH(C53,Categories!$A$2:$A$11,0))</f>
        <v>Sporting Goods</v>
      </c>
      <c r="K53" s="10" t="str">
        <f>INDEX(Suppliers!$B$2:$B$13,MATCH(D53,Suppliers!$A$2:$A$13,0))</f>
        <v>Acme Manufacturing</v>
      </c>
      <c r="L53" s="17">
        <f t="shared" si="3"/>
        <v>68811.210000000006</v>
      </c>
      <c r="M53" s="10" t="str">
        <f t="shared" si="4"/>
        <v>OK</v>
      </c>
      <c r="N53" s="10">
        <f>SUMIF(OrderItems!$C$2:$C$1254,A53,OrderItems!$D$2:$D$1254)</f>
        <v>54</v>
      </c>
      <c r="O53" s="19">
        <f>SUMIF(OrderItems!$C$2:$C$1254,A53,OrderItems!$G$2:$G$1254)</f>
        <v>23002.07</v>
      </c>
      <c r="P53" s="18">
        <f t="shared" si="5"/>
        <v>0.52561617280531714</v>
      </c>
    </row>
    <row r="54" spans="1:16" ht="15" customHeight="1" x14ac:dyDescent="0.25">
      <c r="A54" s="10">
        <v>53</v>
      </c>
      <c r="B54" s="10" t="s">
        <v>687</v>
      </c>
      <c r="C54" s="10">
        <v>6</v>
      </c>
      <c r="D54" s="10">
        <v>4</v>
      </c>
      <c r="E54" s="19">
        <v>240.59</v>
      </c>
      <c r="F54" s="19">
        <v>534</v>
      </c>
      <c r="G54" s="10">
        <v>294</v>
      </c>
      <c r="H54" s="10">
        <v>57</v>
      </c>
      <c r="I54" s="10">
        <v>0</v>
      </c>
      <c r="J54" s="10" t="str">
        <f>INDEX(Categories!$B$2:$B$11,MATCH(C54,Categories!$A$2:$A$11,0))</f>
        <v>Sporting Goods</v>
      </c>
      <c r="K54" s="10" t="str">
        <f>INDEX(Suppliers!$B$2:$B$13,MATCH(D54,Suppliers!$A$2:$A$13,0))</f>
        <v>Nordic Components</v>
      </c>
      <c r="L54" s="17">
        <f t="shared" si="3"/>
        <v>70733.460000000006</v>
      </c>
      <c r="M54" s="10" t="str">
        <f t="shared" si="4"/>
        <v>OK</v>
      </c>
      <c r="N54" s="10">
        <f>SUMIF(OrderItems!$C$2:$C$1254,A54,OrderItems!$D$2:$D$1254)</f>
        <v>74</v>
      </c>
      <c r="O54" s="19">
        <f>SUMIF(OrderItems!$C$2:$C$1254,A54,OrderItems!$G$2:$G$1254)</f>
        <v>36659.099999999991</v>
      </c>
      <c r="P54" s="18">
        <f t="shared" si="5"/>
        <v>0.54945692883895125</v>
      </c>
    </row>
    <row r="55" spans="1:16" ht="15" customHeight="1" x14ac:dyDescent="0.25">
      <c r="A55" s="10">
        <v>54</v>
      </c>
      <c r="B55" s="10" t="s">
        <v>688</v>
      </c>
      <c r="C55" s="10">
        <v>6</v>
      </c>
      <c r="D55" s="10">
        <v>11</v>
      </c>
      <c r="E55" s="19">
        <v>205.89</v>
      </c>
      <c r="F55" s="19">
        <v>398.16</v>
      </c>
      <c r="G55" s="10">
        <v>390</v>
      </c>
      <c r="H55" s="10">
        <v>68</v>
      </c>
      <c r="I55" s="10">
        <v>0</v>
      </c>
      <c r="J55" s="10" t="str">
        <f>INDEX(Categories!$B$2:$B$11,MATCH(C55,Categories!$A$2:$A$11,0))</f>
        <v>Sporting Goods</v>
      </c>
      <c r="K55" s="10" t="str">
        <f>INDEX(Suppliers!$B$2:$B$13,MATCH(D55,Suppliers!$A$2:$A$13,0))</f>
        <v>Redwood Electronics</v>
      </c>
      <c r="L55" s="17">
        <f t="shared" si="3"/>
        <v>80297.099999999991</v>
      </c>
      <c r="M55" s="10" t="str">
        <f t="shared" si="4"/>
        <v>OK</v>
      </c>
      <c r="N55" s="10">
        <f>SUMIF(OrderItems!$C$2:$C$1254,A55,OrderItems!$D$2:$D$1254)</f>
        <v>86</v>
      </c>
      <c r="O55" s="19">
        <f>SUMIF(OrderItems!$C$2:$C$1254,A55,OrderItems!$G$2:$G$1254)</f>
        <v>30956.940000000002</v>
      </c>
      <c r="P55" s="18">
        <f t="shared" si="5"/>
        <v>0.48289632308619657</v>
      </c>
    </row>
    <row r="56" spans="1:16" ht="15" customHeight="1" x14ac:dyDescent="0.25">
      <c r="A56" s="10">
        <v>55</v>
      </c>
      <c r="B56" s="10" t="s">
        <v>689</v>
      </c>
      <c r="C56" s="10">
        <v>6</v>
      </c>
      <c r="D56" s="10">
        <v>9</v>
      </c>
      <c r="E56" s="19">
        <v>163.92</v>
      </c>
      <c r="F56" s="19">
        <v>378.27</v>
      </c>
      <c r="G56" s="10">
        <v>92</v>
      </c>
      <c r="H56" s="10">
        <v>57</v>
      </c>
      <c r="I56" s="10">
        <v>0</v>
      </c>
      <c r="J56" s="10" t="str">
        <f>INDEX(Categories!$B$2:$B$11,MATCH(C56,Categories!$A$2:$A$11,0))</f>
        <v>Sporting Goods</v>
      </c>
      <c r="K56" s="10" t="str">
        <f>INDEX(Suppliers!$B$2:$B$13,MATCH(D56,Suppliers!$A$2:$A$13,0))</f>
        <v>Continental Fabrics</v>
      </c>
      <c r="L56" s="17">
        <f t="shared" si="3"/>
        <v>15080.64</v>
      </c>
      <c r="M56" s="10" t="str">
        <f t="shared" si="4"/>
        <v>OK</v>
      </c>
      <c r="N56" s="10">
        <f>SUMIF(OrderItems!$C$2:$C$1254,A56,OrderItems!$D$2:$D$1254)</f>
        <v>106</v>
      </c>
      <c r="O56" s="19">
        <f>SUMIF(OrderItems!$C$2:$C$1254,A56,OrderItems!$G$2:$G$1254)</f>
        <v>37089.373500000002</v>
      </c>
      <c r="P56" s="18">
        <f t="shared" si="5"/>
        <v>0.56665873582361803</v>
      </c>
    </row>
    <row r="57" spans="1:16" ht="15" customHeight="1" x14ac:dyDescent="0.25">
      <c r="A57" s="10">
        <v>56</v>
      </c>
      <c r="B57" s="10" t="s">
        <v>690</v>
      </c>
      <c r="C57" s="10">
        <v>6</v>
      </c>
      <c r="D57" s="10">
        <v>8</v>
      </c>
      <c r="E57" s="19">
        <v>242.36</v>
      </c>
      <c r="F57" s="19">
        <v>440.37</v>
      </c>
      <c r="G57" s="10">
        <v>209</v>
      </c>
      <c r="H57" s="10">
        <v>41</v>
      </c>
      <c r="I57" s="10">
        <v>0</v>
      </c>
      <c r="J57" s="10" t="str">
        <f>INDEX(Categories!$B$2:$B$11,MATCH(C57,Categories!$A$2:$A$11,0))</f>
        <v>Sporting Goods</v>
      </c>
      <c r="K57" s="10" t="str">
        <f>INDEX(Suppliers!$B$2:$B$13,MATCH(D57,Suppliers!$A$2:$A$13,0))</f>
        <v>Zenith Materials</v>
      </c>
      <c r="L57" s="17">
        <f t="shared" si="3"/>
        <v>50653.240000000005</v>
      </c>
      <c r="M57" s="10" t="str">
        <f t="shared" si="4"/>
        <v>OK</v>
      </c>
      <c r="N57" s="10">
        <f>SUMIF(OrderItems!$C$2:$C$1254,A57,OrderItems!$D$2:$D$1254)</f>
        <v>66</v>
      </c>
      <c r="O57" s="19">
        <f>SUMIF(OrderItems!$C$2:$C$1254,A57,OrderItems!$G$2:$G$1254)</f>
        <v>27457.069500000001</v>
      </c>
      <c r="P57" s="18">
        <f t="shared" si="5"/>
        <v>0.44964461702659125</v>
      </c>
    </row>
    <row r="58" spans="1:16" ht="15" customHeight="1" x14ac:dyDescent="0.25">
      <c r="A58" s="10">
        <v>57</v>
      </c>
      <c r="B58" s="10" t="s">
        <v>691</v>
      </c>
      <c r="C58" s="10">
        <v>6</v>
      </c>
      <c r="D58" s="10">
        <v>2</v>
      </c>
      <c r="E58" s="19">
        <v>214.86</v>
      </c>
      <c r="F58" s="19">
        <v>357.27</v>
      </c>
      <c r="G58" s="10">
        <v>355</v>
      </c>
      <c r="H58" s="10">
        <v>51</v>
      </c>
      <c r="I58" s="10">
        <v>0</v>
      </c>
      <c r="J58" s="10" t="str">
        <f>INDEX(Categories!$B$2:$B$11,MATCH(C58,Categories!$A$2:$A$11,0))</f>
        <v>Sporting Goods</v>
      </c>
      <c r="K58" s="10" t="str">
        <f>INDEX(Suppliers!$B$2:$B$13,MATCH(D58,Suppliers!$A$2:$A$13,0))</f>
        <v>Global Parts Ltd</v>
      </c>
      <c r="L58" s="17">
        <f t="shared" si="3"/>
        <v>76275.3</v>
      </c>
      <c r="M58" s="10" t="str">
        <f t="shared" si="4"/>
        <v>OK</v>
      </c>
      <c r="N58" s="10">
        <f>SUMIF(OrderItems!$C$2:$C$1254,A58,OrderItems!$D$2:$D$1254)</f>
        <v>97</v>
      </c>
      <c r="O58" s="19">
        <f>SUMIF(OrderItems!$C$2:$C$1254,A58,OrderItems!$G$2:$G$1254)</f>
        <v>29992.816500000001</v>
      </c>
      <c r="P58" s="18">
        <f t="shared" si="5"/>
        <v>0.39860609622974214</v>
      </c>
    </row>
    <row r="59" spans="1:16" ht="15" customHeight="1" x14ac:dyDescent="0.25">
      <c r="A59" s="10">
        <v>58</v>
      </c>
      <c r="B59" s="10" t="s">
        <v>692</v>
      </c>
      <c r="C59" s="10">
        <v>6</v>
      </c>
      <c r="D59" s="10">
        <v>7</v>
      </c>
      <c r="E59" s="19">
        <v>203.95</v>
      </c>
      <c r="F59" s="19">
        <v>388.55</v>
      </c>
      <c r="G59" s="10">
        <v>232</v>
      </c>
      <c r="H59" s="10">
        <v>25</v>
      </c>
      <c r="I59" s="10">
        <v>0</v>
      </c>
      <c r="J59" s="10" t="str">
        <f>INDEX(Categories!$B$2:$B$11,MATCH(C59,Categories!$A$2:$A$11,0))</f>
        <v>Sporting Goods</v>
      </c>
      <c r="K59" s="10" t="str">
        <f>INDEX(Suppliers!$B$2:$B$13,MATCH(D59,Suppliers!$A$2:$A$13,0))</f>
        <v>BrightPath Goods</v>
      </c>
      <c r="L59" s="17">
        <f t="shared" si="3"/>
        <v>47316.399999999994</v>
      </c>
      <c r="M59" s="10" t="str">
        <f t="shared" si="4"/>
        <v>OK</v>
      </c>
      <c r="N59" s="10">
        <f>SUMIF(OrderItems!$C$2:$C$1254,A59,OrderItems!$D$2:$D$1254)</f>
        <v>85</v>
      </c>
      <c r="O59" s="19">
        <f>SUMIF(OrderItems!$C$2:$C$1254,A59,OrderItems!$G$2:$G$1254)</f>
        <v>31433.695000000007</v>
      </c>
      <c r="P59" s="18">
        <f t="shared" si="5"/>
        <v>0.47509972976450909</v>
      </c>
    </row>
    <row r="60" spans="1:16" ht="15" customHeight="1" x14ac:dyDescent="0.25">
      <c r="A60" s="10">
        <v>59</v>
      </c>
      <c r="B60" s="10" t="s">
        <v>693</v>
      </c>
      <c r="C60" s="10">
        <v>6</v>
      </c>
      <c r="D60" s="10">
        <v>6</v>
      </c>
      <c r="E60" s="19">
        <v>31.63</v>
      </c>
      <c r="F60" s="19">
        <v>68</v>
      </c>
      <c r="G60" s="10">
        <v>442</v>
      </c>
      <c r="H60" s="10">
        <v>52</v>
      </c>
      <c r="I60" s="10">
        <v>0</v>
      </c>
      <c r="J60" s="10" t="str">
        <f>INDEX(Categories!$B$2:$B$11,MATCH(C60,Categories!$A$2:$A$11,0))</f>
        <v>Sporting Goods</v>
      </c>
      <c r="K60" s="10" t="str">
        <f>INDEX(Suppliers!$B$2:$B$13,MATCH(D60,Suppliers!$A$2:$A$13,0))</f>
        <v>Ironwood Industries</v>
      </c>
      <c r="L60" s="17">
        <f t="shared" si="3"/>
        <v>13980.46</v>
      </c>
      <c r="M60" s="10" t="str">
        <f t="shared" si="4"/>
        <v>OK</v>
      </c>
      <c r="N60" s="10">
        <f>SUMIF(OrderItems!$C$2:$C$1254,A60,OrderItems!$D$2:$D$1254)</f>
        <v>59</v>
      </c>
      <c r="O60" s="19">
        <f>SUMIF(OrderItems!$C$2:$C$1254,A60,OrderItems!$G$2:$G$1254)</f>
        <v>3624.4000000000005</v>
      </c>
      <c r="P60" s="18">
        <f t="shared" si="5"/>
        <v>0.53485294117647064</v>
      </c>
    </row>
    <row r="61" spans="1:16" ht="15" customHeight="1" x14ac:dyDescent="0.25">
      <c r="A61" s="10">
        <v>60</v>
      </c>
      <c r="B61" s="10" t="s">
        <v>694</v>
      </c>
      <c r="C61" s="10">
        <v>6</v>
      </c>
      <c r="D61" s="10">
        <v>1</v>
      </c>
      <c r="E61" s="19">
        <v>165.44</v>
      </c>
      <c r="F61" s="19">
        <v>313.82</v>
      </c>
      <c r="G61" s="10">
        <v>211</v>
      </c>
      <c r="H61" s="10">
        <v>23</v>
      </c>
      <c r="I61" s="10">
        <v>0</v>
      </c>
      <c r="J61" s="10" t="str">
        <f>INDEX(Categories!$B$2:$B$11,MATCH(C61,Categories!$A$2:$A$11,0))</f>
        <v>Sporting Goods</v>
      </c>
      <c r="K61" s="10" t="str">
        <f>INDEX(Suppliers!$B$2:$B$13,MATCH(D61,Suppliers!$A$2:$A$13,0))</f>
        <v>Acme Manufacturing</v>
      </c>
      <c r="L61" s="17">
        <f t="shared" si="3"/>
        <v>34907.839999999997</v>
      </c>
      <c r="M61" s="10" t="str">
        <f t="shared" si="4"/>
        <v>OK</v>
      </c>
      <c r="N61" s="10">
        <f>SUMIF(OrderItems!$C$2:$C$1254,A61,OrderItems!$D$2:$D$1254)</f>
        <v>26</v>
      </c>
      <c r="O61" s="19">
        <f>SUMIF(OrderItems!$C$2:$C$1254,A61,OrderItems!$G$2:$G$1254)</f>
        <v>7782.735999999999</v>
      </c>
      <c r="P61" s="18">
        <f t="shared" si="5"/>
        <v>0.4728188133324836</v>
      </c>
    </row>
    <row r="62" spans="1:16" ht="15" customHeight="1" x14ac:dyDescent="0.25">
      <c r="A62" s="10">
        <v>61</v>
      </c>
      <c r="B62" s="10" t="s">
        <v>695</v>
      </c>
      <c r="C62" s="10">
        <v>7</v>
      </c>
      <c r="D62" s="10">
        <v>6</v>
      </c>
      <c r="E62" s="19">
        <v>156.79</v>
      </c>
      <c r="F62" s="19">
        <v>289.8</v>
      </c>
      <c r="G62" s="10">
        <v>226</v>
      </c>
      <c r="H62" s="10">
        <v>68</v>
      </c>
      <c r="I62" s="10">
        <v>0</v>
      </c>
      <c r="J62" s="10" t="str">
        <f>INDEX(Categories!$B$2:$B$11,MATCH(C62,Categories!$A$2:$A$11,0))</f>
        <v>Toys &amp; Games</v>
      </c>
      <c r="K62" s="10" t="str">
        <f>INDEX(Suppliers!$B$2:$B$13,MATCH(D62,Suppliers!$A$2:$A$13,0))</f>
        <v>Ironwood Industries</v>
      </c>
      <c r="L62" s="17">
        <f t="shared" si="3"/>
        <v>35434.54</v>
      </c>
      <c r="M62" s="10" t="str">
        <f t="shared" si="4"/>
        <v>OK</v>
      </c>
      <c r="N62" s="10">
        <f>SUMIF(OrderItems!$C$2:$C$1254,A62,OrderItems!$D$2:$D$1254)</f>
        <v>52</v>
      </c>
      <c r="O62" s="19">
        <f>SUMIF(OrderItems!$C$2:$C$1254,A62,OrderItems!$G$2:$G$1254)</f>
        <v>13953.87</v>
      </c>
      <c r="P62" s="18">
        <f t="shared" si="5"/>
        <v>0.4589717046238786</v>
      </c>
    </row>
    <row r="63" spans="1:16" ht="15" customHeight="1" x14ac:dyDescent="0.25">
      <c r="A63" s="10">
        <v>62</v>
      </c>
      <c r="B63" s="10" t="s">
        <v>696</v>
      </c>
      <c r="C63" s="10">
        <v>7</v>
      </c>
      <c r="D63" s="10">
        <v>5</v>
      </c>
      <c r="E63" s="19">
        <v>138.66</v>
      </c>
      <c r="F63" s="19">
        <v>321.75</v>
      </c>
      <c r="G63" s="10">
        <v>224</v>
      </c>
      <c r="H63" s="10">
        <v>76</v>
      </c>
      <c r="I63" s="10">
        <v>0</v>
      </c>
      <c r="J63" s="10" t="str">
        <f>INDEX(Categories!$B$2:$B$11,MATCH(C63,Categories!$A$2:$A$11,0))</f>
        <v>Toys &amp; Games</v>
      </c>
      <c r="K63" s="10" t="str">
        <f>INDEX(Suppliers!$B$2:$B$13,MATCH(D63,Suppliers!$A$2:$A$13,0))</f>
        <v>Pacific Rim Supply</v>
      </c>
      <c r="L63" s="17">
        <f t="shared" si="3"/>
        <v>31059.84</v>
      </c>
      <c r="M63" s="10" t="str">
        <f t="shared" si="4"/>
        <v>OK</v>
      </c>
      <c r="N63" s="10">
        <f>SUMIF(OrderItems!$C$2:$C$1254,A63,OrderItems!$D$2:$D$1254)</f>
        <v>55</v>
      </c>
      <c r="O63" s="19">
        <f>SUMIF(OrderItems!$C$2:$C$1254,A63,OrderItems!$G$2:$G$1254)</f>
        <v>15862.275</v>
      </c>
      <c r="P63" s="18">
        <f t="shared" si="5"/>
        <v>0.56904428904428905</v>
      </c>
    </row>
    <row r="64" spans="1:16" ht="15" customHeight="1" x14ac:dyDescent="0.25">
      <c r="A64" s="10">
        <v>63</v>
      </c>
      <c r="B64" s="10" t="s">
        <v>697</v>
      </c>
      <c r="C64" s="10">
        <v>7</v>
      </c>
      <c r="D64" s="10">
        <v>2</v>
      </c>
      <c r="E64" s="19">
        <v>10.130000000000001</v>
      </c>
      <c r="F64" s="19">
        <v>20.190000000000001</v>
      </c>
      <c r="G64" s="10">
        <v>409</v>
      </c>
      <c r="H64" s="10">
        <v>35</v>
      </c>
      <c r="I64" s="10">
        <v>0</v>
      </c>
      <c r="J64" s="10" t="str">
        <f>INDEX(Categories!$B$2:$B$11,MATCH(C64,Categories!$A$2:$A$11,0))</f>
        <v>Toys &amp; Games</v>
      </c>
      <c r="K64" s="10" t="str">
        <f>INDEX(Suppliers!$B$2:$B$13,MATCH(D64,Suppliers!$A$2:$A$13,0))</f>
        <v>Global Parts Ltd</v>
      </c>
      <c r="L64" s="17">
        <f t="shared" si="3"/>
        <v>4143.17</v>
      </c>
      <c r="M64" s="10" t="str">
        <f t="shared" si="4"/>
        <v>OK</v>
      </c>
      <c r="N64" s="10">
        <f>SUMIF(OrderItems!$C$2:$C$1254,A64,OrderItems!$D$2:$D$1254)</f>
        <v>77</v>
      </c>
      <c r="O64" s="19">
        <f>SUMIF(OrderItems!$C$2:$C$1254,A64,OrderItems!$G$2:$G$1254)</f>
        <v>1436.5185000000004</v>
      </c>
      <c r="P64" s="18">
        <f t="shared" si="5"/>
        <v>0.49826646854878653</v>
      </c>
    </row>
    <row r="65" spans="1:16" ht="15" customHeight="1" x14ac:dyDescent="0.25">
      <c r="A65" s="10">
        <v>64</v>
      </c>
      <c r="B65" s="10" t="s">
        <v>698</v>
      </c>
      <c r="C65" s="10">
        <v>7</v>
      </c>
      <c r="D65" s="10">
        <v>5</v>
      </c>
      <c r="E65" s="19">
        <v>139.06</v>
      </c>
      <c r="F65" s="19">
        <v>265.25</v>
      </c>
      <c r="G65" s="10">
        <v>47</v>
      </c>
      <c r="H65" s="10">
        <v>34</v>
      </c>
      <c r="I65" s="10">
        <v>0</v>
      </c>
      <c r="J65" s="10" t="str">
        <f>INDEX(Categories!$B$2:$B$11,MATCH(C65,Categories!$A$2:$A$11,0))</f>
        <v>Toys &amp; Games</v>
      </c>
      <c r="K65" s="10" t="str">
        <f>INDEX(Suppliers!$B$2:$B$13,MATCH(D65,Suppliers!$A$2:$A$13,0))</f>
        <v>Pacific Rim Supply</v>
      </c>
      <c r="L65" s="17">
        <f t="shared" si="3"/>
        <v>6535.82</v>
      </c>
      <c r="M65" s="10" t="str">
        <f t="shared" si="4"/>
        <v>OK</v>
      </c>
      <c r="N65" s="10">
        <f>SUMIF(OrderItems!$C$2:$C$1254,A65,OrderItems!$D$2:$D$1254)</f>
        <v>73</v>
      </c>
      <c r="O65" s="19">
        <f>SUMIF(OrderItems!$C$2:$C$1254,A65,OrderItems!$G$2:$G$1254)</f>
        <v>18209.412499999999</v>
      </c>
      <c r="P65" s="18">
        <f t="shared" si="5"/>
        <v>0.47573986804901036</v>
      </c>
    </row>
    <row r="66" spans="1:16" ht="15" customHeight="1" x14ac:dyDescent="0.25">
      <c r="A66" s="10">
        <v>65</v>
      </c>
      <c r="B66" s="10" t="s">
        <v>699</v>
      </c>
      <c r="C66" s="10">
        <v>7</v>
      </c>
      <c r="D66" s="10">
        <v>2</v>
      </c>
      <c r="E66" s="19">
        <v>116.98</v>
      </c>
      <c r="F66" s="19">
        <v>167.19</v>
      </c>
      <c r="G66" s="10">
        <v>426</v>
      </c>
      <c r="H66" s="10">
        <v>29</v>
      </c>
      <c r="I66" s="10">
        <v>0</v>
      </c>
      <c r="J66" s="10" t="str">
        <f>INDEX(Categories!$B$2:$B$11,MATCH(C66,Categories!$A$2:$A$11,0))</f>
        <v>Toys &amp; Games</v>
      </c>
      <c r="K66" s="10" t="str">
        <f>INDEX(Suppliers!$B$2:$B$13,MATCH(D66,Suppliers!$A$2:$A$13,0))</f>
        <v>Global Parts Ltd</v>
      </c>
      <c r="L66" s="17">
        <f t="shared" ref="L66:L101" si="6">G66*E66</f>
        <v>49833.48</v>
      </c>
      <c r="M66" s="10" t="str">
        <f t="shared" ref="M66:M101" si="7">IF(G66&lt;=H66,"REORDER","OK")</f>
        <v>OK</v>
      </c>
      <c r="N66" s="10">
        <f>SUMIF(OrderItems!$C$2:$C$1254,A66,OrderItems!$D$2:$D$1254)</f>
        <v>50</v>
      </c>
      <c r="O66" s="19">
        <f>SUMIF(OrderItems!$C$2:$C$1254,A66,OrderItems!$G$2:$G$1254)</f>
        <v>7774.3350000000009</v>
      </c>
      <c r="P66" s="18">
        <f t="shared" ref="P66:P101" si="8">IFERROR((F66-E66)/F66,0)</f>
        <v>0.30031700460553856</v>
      </c>
    </row>
    <row r="67" spans="1:16" ht="15" customHeight="1" x14ac:dyDescent="0.25">
      <c r="A67" s="10">
        <v>66</v>
      </c>
      <c r="B67" s="10" t="s">
        <v>700</v>
      </c>
      <c r="C67" s="10">
        <v>7</v>
      </c>
      <c r="D67" s="10">
        <v>12</v>
      </c>
      <c r="E67" s="19">
        <v>75.09</v>
      </c>
      <c r="F67" s="19">
        <v>155.88</v>
      </c>
      <c r="G67" s="10">
        <v>212</v>
      </c>
      <c r="H67" s="10">
        <v>73</v>
      </c>
      <c r="I67" s="10">
        <v>0</v>
      </c>
      <c r="J67" s="10" t="str">
        <f>INDEX(Categories!$B$2:$B$11,MATCH(C67,Categories!$A$2:$A$11,0))</f>
        <v>Toys &amp; Games</v>
      </c>
      <c r="K67" s="10" t="str">
        <f>INDEX(Suppliers!$B$2:$B$13,MATCH(D67,Suppliers!$A$2:$A$13,0))</f>
        <v>Falcon Packaging</v>
      </c>
      <c r="L67" s="17">
        <f t="shared" si="6"/>
        <v>15919.08</v>
      </c>
      <c r="M67" s="10" t="str">
        <f t="shared" si="7"/>
        <v>OK</v>
      </c>
      <c r="N67" s="10">
        <f>SUMIF(OrderItems!$C$2:$C$1254,A67,OrderItems!$D$2:$D$1254)</f>
        <v>68</v>
      </c>
      <c r="O67" s="19">
        <f>SUMIF(OrderItems!$C$2:$C$1254,A67,OrderItems!$G$2:$G$1254)</f>
        <v>9882.7919999999976</v>
      </c>
      <c r="P67" s="18">
        <f t="shared" si="8"/>
        <v>0.51828329484218627</v>
      </c>
    </row>
    <row r="68" spans="1:16" ht="15" customHeight="1" x14ac:dyDescent="0.25">
      <c r="A68" s="10">
        <v>67</v>
      </c>
      <c r="B68" s="10" t="s">
        <v>701</v>
      </c>
      <c r="C68" s="10">
        <v>7</v>
      </c>
      <c r="D68" s="10">
        <v>8</v>
      </c>
      <c r="E68" s="19">
        <v>63.2</v>
      </c>
      <c r="F68" s="19">
        <v>120.48</v>
      </c>
      <c r="G68" s="10">
        <v>196</v>
      </c>
      <c r="H68" s="10">
        <v>32</v>
      </c>
      <c r="I68" s="10">
        <v>0</v>
      </c>
      <c r="J68" s="10" t="str">
        <f>INDEX(Categories!$B$2:$B$11,MATCH(C68,Categories!$A$2:$A$11,0))</f>
        <v>Toys &amp; Games</v>
      </c>
      <c r="K68" s="10" t="str">
        <f>INDEX(Suppliers!$B$2:$B$13,MATCH(D68,Suppliers!$A$2:$A$13,0))</f>
        <v>Zenith Materials</v>
      </c>
      <c r="L68" s="17">
        <f t="shared" si="6"/>
        <v>12387.2</v>
      </c>
      <c r="M68" s="10" t="str">
        <f t="shared" si="7"/>
        <v>OK</v>
      </c>
      <c r="N68" s="10">
        <f>SUMIF(OrderItems!$C$2:$C$1254,A68,OrderItems!$D$2:$D$1254)</f>
        <v>68</v>
      </c>
      <c r="O68" s="19">
        <f>SUMIF(OrderItems!$C$2:$C$1254,A68,OrderItems!$G$2:$G$1254)</f>
        <v>7698.6719999999987</v>
      </c>
      <c r="P68" s="18">
        <f t="shared" si="8"/>
        <v>0.47543160690571046</v>
      </c>
    </row>
    <row r="69" spans="1:16" ht="15" customHeight="1" x14ac:dyDescent="0.25">
      <c r="A69" s="10">
        <v>68</v>
      </c>
      <c r="B69" s="10" t="s">
        <v>702</v>
      </c>
      <c r="C69" s="10">
        <v>7</v>
      </c>
      <c r="D69" s="10">
        <v>9</v>
      </c>
      <c r="E69" s="19">
        <v>187.33</v>
      </c>
      <c r="F69" s="19">
        <v>271.66000000000003</v>
      </c>
      <c r="G69" s="10">
        <v>35</v>
      </c>
      <c r="H69" s="10">
        <v>37</v>
      </c>
      <c r="I69" s="10">
        <v>0</v>
      </c>
      <c r="J69" s="10" t="str">
        <f>INDEX(Categories!$B$2:$B$11,MATCH(C69,Categories!$A$2:$A$11,0))</f>
        <v>Toys &amp; Games</v>
      </c>
      <c r="K69" s="10" t="str">
        <f>INDEX(Suppliers!$B$2:$B$13,MATCH(D69,Suppliers!$A$2:$A$13,0))</f>
        <v>Continental Fabrics</v>
      </c>
      <c r="L69" s="17">
        <f t="shared" si="6"/>
        <v>6556.55</v>
      </c>
      <c r="M69" s="10" t="str">
        <f t="shared" si="7"/>
        <v>REORDER</v>
      </c>
      <c r="N69" s="10">
        <f>SUMIF(OrderItems!$C$2:$C$1254,A69,OrderItems!$D$2:$D$1254)</f>
        <v>46</v>
      </c>
      <c r="O69" s="19">
        <f>SUMIF(OrderItems!$C$2:$C$1254,A69,OrderItems!$G$2:$G$1254)</f>
        <v>11083.728000000001</v>
      </c>
      <c r="P69" s="18">
        <f t="shared" si="8"/>
        <v>0.31042479570050802</v>
      </c>
    </row>
    <row r="70" spans="1:16" ht="15" customHeight="1" x14ac:dyDescent="0.25">
      <c r="A70" s="10">
        <v>69</v>
      </c>
      <c r="B70" s="10" t="s">
        <v>703</v>
      </c>
      <c r="C70" s="10">
        <v>7</v>
      </c>
      <c r="D70" s="10">
        <v>7</v>
      </c>
      <c r="E70" s="19">
        <v>86.95</v>
      </c>
      <c r="F70" s="19">
        <v>188.38</v>
      </c>
      <c r="G70" s="10">
        <v>136</v>
      </c>
      <c r="H70" s="10">
        <v>72</v>
      </c>
      <c r="I70" s="10">
        <v>1</v>
      </c>
      <c r="J70" s="10" t="str">
        <f>INDEX(Categories!$B$2:$B$11,MATCH(C70,Categories!$A$2:$A$11,0))</f>
        <v>Toys &amp; Games</v>
      </c>
      <c r="K70" s="10" t="str">
        <f>INDEX(Suppliers!$B$2:$B$13,MATCH(D70,Suppliers!$A$2:$A$13,0))</f>
        <v>BrightPath Goods</v>
      </c>
      <c r="L70" s="17">
        <f t="shared" si="6"/>
        <v>11825.2</v>
      </c>
      <c r="M70" s="10" t="str">
        <f t="shared" si="7"/>
        <v>OK</v>
      </c>
      <c r="N70" s="10">
        <f>SUMIF(OrderItems!$C$2:$C$1254,A70,OrderItems!$D$2:$D$1254)</f>
        <v>80</v>
      </c>
      <c r="O70" s="19">
        <f>SUMIF(OrderItems!$C$2:$C$1254,A70,OrderItems!$G$2:$G$1254)</f>
        <v>13403.236999999999</v>
      </c>
      <c r="P70" s="18">
        <f t="shared" si="8"/>
        <v>0.53843295466610042</v>
      </c>
    </row>
    <row r="71" spans="1:16" ht="15" customHeight="1" x14ac:dyDescent="0.25">
      <c r="A71" s="10">
        <v>70</v>
      </c>
      <c r="B71" s="10" t="s">
        <v>704</v>
      </c>
      <c r="C71" s="10">
        <v>7</v>
      </c>
      <c r="D71" s="10">
        <v>12</v>
      </c>
      <c r="E71" s="19">
        <v>76.739999999999995</v>
      </c>
      <c r="F71" s="19">
        <v>149.31</v>
      </c>
      <c r="G71" s="10">
        <v>337</v>
      </c>
      <c r="H71" s="10">
        <v>51</v>
      </c>
      <c r="I71" s="10">
        <v>0</v>
      </c>
      <c r="J71" s="10" t="str">
        <f>INDEX(Categories!$B$2:$B$11,MATCH(C71,Categories!$A$2:$A$11,0))</f>
        <v>Toys &amp; Games</v>
      </c>
      <c r="K71" s="10" t="str">
        <f>INDEX(Suppliers!$B$2:$B$13,MATCH(D71,Suppliers!$A$2:$A$13,0))</f>
        <v>Falcon Packaging</v>
      </c>
      <c r="L71" s="17">
        <f t="shared" si="6"/>
        <v>25861.379999999997</v>
      </c>
      <c r="M71" s="10" t="str">
        <f t="shared" si="7"/>
        <v>OK</v>
      </c>
      <c r="N71" s="10">
        <f>SUMIF(OrderItems!$C$2:$C$1254,A71,OrderItems!$D$2:$D$1254)</f>
        <v>72</v>
      </c>
      <c r="O71" s="19">
        <f>SUMIF(OrderItems!$C$2:$C$1254,A71,OrderItems!$G$2:$G$1254)</f>
        <v>10489.027499999998</v>
      </c>
      <c r="P71" s="18">
        <f t="shared" si="8"/>
        <v>0.48603576451677721</v>
      </c>
    </row>
    <row r="72" spans="1:16" ht="15" customHeight="1" x14ac:dyDescent="0.25">
      <c r="A72" s="10">
        <v>71</v>
      </c>
      <c r="B72" s="10" t="s">
        <v>705</v>
      </c>
      <c r="C72" s="10">
        <v>8</v>
      </c>
      <c r="D72" s="10">
        <v>8</v>
      </c>
      <c r="E72" s="19">
        <v>136.03</v>
      </c>
      <c r="F72" s="19">
        <v>228.48</v>
      </c>
      <c r="G72" s="10">
        <v>282</v>
      </c>
      <c r="H72" s="10">
        <v>68</v>
      </c>
      <c r="I72" s="10">
        <v>0</v>
      </c>
      <c r="J72" s="10" t="str">
        <f>INDEX(Categories!$B$2:$B$11,MATCH(C72,Categories!$A$2:$A$11,0))</f>
        <v>Health &amp; Beauty</v>
      </c>
      <c r="K72" s="10" t="str">
        <f>INDEX(Suppliers!$B$2:$B$13,MATCH(D72,Suppliers!$A$2:$A$13,0))</f>
        <v>Zenith Materials</v>
      </c>
      <c r="L72" s="17">
        <f t="shared" si="6"/>
        <v>38360.46</v>
      </c>
      <c r="M72" s="10" t="str">
        <f t="shared" si="7"/>
        <v>OK</v>
      </c>
      <c r="N72" s="10">
        <f>SUMIF(OrderItems!$C$2:$C$1254,A72,OrderItems!$D$2:$D$1254)</f>
        <v>80</v>
      </c>
      <c r="O72" s="19">
        <f>SUMIF(OrderItems!$C$2:$C$1254,A72,OrderItems!$G$2:$G$1254)</f>
        <v>17341.631999999998</v>
      </c>
      <c r="P72" s="18">
        <f t="shared" si="8"/>
        <v>0.40463060224089631</v>
      </c>
    </row>
    <row r="73" spans="1:16" ht="15" customHeight="1" x14ac:dyDescent="0.25">
      <c r="A73" s="10">
        <v>72</v>
      </c>
      <c r="B73" s="10" t="s">
        <v>706</v>
      </c>
      <c r="C73" s="10">
        <v>8</v>
      </c>
      <c r="D73" s="10">
        <v>8</v>
      </c>
      <c r="E73" s="19">
        <v>233.41</v>
      </c>
      <c r="F73" s="19">
        <v>526.70000000000005</v>
      </c>
      <c r="G73" s="10">
        <v>357</v>
      </c>
      <c r="H73" s="10">
        <v>35</v>
      </c>
      <c r="I73" s="10">
        <v>0</v>
      </c>
      <c r="J73" s="10" t="str">
        <f>INDEX(Categories!$B$2:$B$11,MATCH(C73,Categories!$A$2:$A$11,0))</f>
        <v>Health &amp; Beauty</v>
      </c>
      <c r="K73" s="10" t="str">
        <f>INDEX(Suppliers!$B$2:$B$13,MATCH(D73,Suppliers!$A$2:$A$13,0))</f>
        <v>Zenith Materials</v>
      </c>
      <c r="L73" s="17">
        <f t="shared" si="6"/>
        <v>83327.37</v>
      </c>
      <c r="M73" s="10" t="str">
        <f t="shared" si="7"/>
        <v>OK</v>
      </c>
      <c r="N73" s="10">
        <f>SUMIF(OrderItems!$C$2:$C$1254,A73,OrderItems!$D$2:$D$1254)</f>
        <v>69</v>
      </c>
      <c r="O73" s="19">
        <f>SUMIF(OrderItems!$C$2:$C$1254,A73,OrderItems!$G$2:$G$1254)</f>
        <v>33261.105000000003</v>
      </c>
      <c r="P73" s="18">
        <f t="shared" si="8"/>
        <v>0.55684450351243597</v>
      </c>
    </row>
    <row r="74" spans="1:16" ht="15" customHeight="1" x14ac:dyDescent="0.25">
      <c r="A74" s="10">
        <v>73</v>
      </c>
      <c r="B74" s="10" t="s">
        <v>707</v>
      </c>
      <c r="C74" s="10">
        <v>8</v>
      </c>
      <c r="D74" s="10">
        <v>4</v>
      </c>
      <c r="E74" s="19">
        <v>214.44</v>
      </c>
      <c r="F74" s="19">
        <v>375.67</v>
      </c>
      <c r="G74" s="10">
        <v>162</v>
      </c>
      <c r="H74" s="10">
        <v>67</v>
      </c>
      <c r="I74" s="10">
        <v>0</v>
      </c>
      <c r="J74" s="10" t="str">
        <f>INDEX(Categories!$B$2:$B$11,MATCH(C74,Categories!$A$2:$A$11,0))</f>
        <v>Health &amp; Beauty</v>
      </c>
      <c r="K74" s="10" t="str">
        <f>INDEX(Suppliers!$B$2:$B$13,MATCH(D74,Suppliers!$A$2:$A$13,0))</f>
        <v>Nordic Components</v>
      </c>
      <c r="L74" s="17">
        <f t="shared" si="6"/>
        <v>34739.279999999999</v>
      </c>
      <c r="M74" s="10" t="str">
        <f t="shared" si="7"/>
        <v>OK</v>
      </c>
      <c r="N74" s="10">
        <f>SUMIF(OrderItems!$C$2:$C$1254,A74,OrderItems!$D$2:$D$1254)</f>
        <v>73</v>
      </c>
      <c r="O74" s="19">
        <f>SUMIF(OrderItems!$C$2:$C$1254,A74,OrderItems!$G$2:$G$1254)</f>
        <v>26240.549500000001</v>
      </c>
      <c r="P74" s="18">
        <f t="shared" si="8"/>
        <v>0.42917986530731761</v>
      </c>
    </row>
    <row r="75" spans="1:16" ht="15" customHeight="1" x14ac:dyDescent="0.25">
      <c r="A75" s="10">
        <v>74</v>
      </c>
      <c r="B75" s="10" t="s">
        <v>708</v>
      </c>
      <c r="C75" s="10">
        <v>8</v>
      </c>
      <c r="D75" s="10">
        <v>7</v>
      </c>
      <c r="E75" s="19">
        <v>98.36</v>
      </c>
      <c r="F75" s="19">
        <v>199.68</v>
      </c>
      <c r="G75" s="10">
        <v>420</v>
      </c>
      <c r="H75" s="10">
        <v>61</v>
      </c>
      <c r="I75" s="10">
        <v>0</v>
      </c>
      <c r="J75" s="10" t="str">
        <f>INDEX(Categories!$B$2:$B$11,MATCH(C75,Categories!$A$2:$A$11,0))</f>
        <v>Health &amp; Beauty</v>
      </c>
      <c r="K75" s="10" t="str">
        <f>INDEX(Suppliers!$B$2:$B$13,MATCH(D75,Suppliers!$A$2:$A$13,0))</f>
        <v>BrightPath Goods</v>
      </c>
      <c r="L75" s="17">
        <f t="shared" si="6"/>
        <v>41311.199999999997</v>
      </c>
      <c r="M75" s="10" t="str">
        <f t="shared" si="7"/>
        <v>OK</v>
      </c>
      <c r="N75" s="10">
        <f>SUMIF(OrderItems!$C$2:$C$1254,A75,OrderItems!$D$2:$D$1254)</f>
        <v>60</v>
      </c>
      <c r="O75" s="19">
        <f>SUMIF(OrderItems!$C$2:$C$1254,A75,OrderItems!$G$2:$G$1254)</f>
        <v>10692.864</v>
      </c>
      <c r="P75" s="18">
        <f t="shared" si="8"/>
        <v>0.50741185897435903</v>
      </c>
    </row>
    <row r="76" spans="1:16" ht="15" customHeight="1" x14ac:dyDescent="0.25">
      <c r="A76" s="10">
        <v>75</v>
      </c>
      <c r="B76" s="10" t="s">
        <v>709</v>
      </c>
      <c r="C76" s="10">
        <v>8</v>
      </c>
      <c r="D76" s="10">
        <v>8</v>
      </c>
      <c r="E76" s="19">
        <v>241.31</v>
      </c>
      <c r="F76" s="19">
        <v>347.21</v>
      </c>
      <c r="G76" s="10">
        <v>494</v>
      </c>
      <c r="H76" s="10">
        <v>57</v>
      </c>
      <c r="I76" s="10">
        <v>0</v>
      </c>
      <c r="J76" s="10" t="str">
        <f>INDEX(Categories!$B$2:$B$11,MATCH(C76,Categories!$A$2:$A$11,0))</f>
        <v>Health &amp; Beauty</v>
      </c>
      <c r="K76" s="10" t="str">
        <f>INDEX(Suppliers!$B$2:$B$13,MATCH(D76,Suppliers!$A$2:$A$13,0))</f>
        <v>Zenith Materials</v>
      </c>
      <c r="L76" s="17">
        <f t="shared" si="6"/>
        <v>119207.14</v>
      </c>
      <c r="M76" s="10" t="str">
        <f t="shared" si="7"/>
        <v>OK</v>
      </c>
      <c r="N76" s="10">
        <f>SUMIF(OrderItems!$C$2:$C$1254,A76,OrderItems!$D$2:$D$1254)</f>
        <v>30</v>
      </c>
      <c r="O76" s="19">
        <f>SUMIF(OrderItems!$C$2:$C$1254,A76,OrderItems!$G$2:$G$1254)</f>
        <v>8905.9364999999998</v>
      </c>
      <c r="P76" s="18">
        <f t="shared" si="8"/>
        <v>0.30500273609631057</v>
      </c>
    </row>
    <row r="77" spans="1:16" ht="15" customHeight="1" x14ac:dyDescent="0.25">
      <c r="A77" s="10">
        <v>76</v>
      </c>
      <c r="B77" s="10" t="s">
        <v>710</v>
      </c>
      <c r="C77" s="10">
        <v>8</v>
      </c>
      <c r="D77" s="10">
        <v>2</v>
      </c>
      <c r="E77" s="19">
        <v>218.93</v>
      </c>
      <c r="F77" s="19">
        <v>390.64</v>
      </c>
      <c r="G77" s="10">
        <v>269</v>
      </c>
      <c r="H77" s="10">
        <v>78</v>
      </c>
      <c r="I77" s="10">
        <v>0</v>
      </c>
      <c r="J77" s="10" t="str">
        <f>INDEX(Categories!$B$2:$B$11,MATCH(C77,Categories!$A$2:$A$11,0))</f>
        <v>Health &amp; Beauty</v>
      </c>
      <c r="K77" s="10" t="str">
        <f>INDEX(Suppliers!$B$2:$B$13,MATCH(D77,Suppliers!$A$2:$A$13,0))</f>
        <v>Global Parts Ltd</v>
      </c>
      <c r="L77" s="17">
        <f t="shared" si="6"/>
        <v>58892.17</v>
      </c>
      <c r="M77" s="10" t="str">
        <f t="shared" si="7"/>
        <v>OK</v>
      </c>
      <c r="N77" s="10">
        <f>SUMIF(OrderItems!$C$2:$C$1254,A77,OrderItems!$D$2:$D$1254)</f>
        <v>54</v>
      </c>
      <c r="O77" s="19">
        <f>SUMIF(OrderItems!$C$2:$C$1254,A77,OrderItems!$G$2:$G$1254)</f>
        <v>19746.851999999999</v>
      </c>
      <c r="P77" s="18">
        <f t="shared" si="8"/>
        <v>0.4395607208683186</v>
      </c>
    </row>
    <row r="78" spans="1:16" ht="15" customHeight="1" x14ac:dyDescent="0.25">
      <c r="A78" s="10">
        <v>77</v>
      </c>
      <c r="B78" s="10" t="s">
        <v>711</v>
      </c>
      <c r="C78" s="10">
        <v>8</v>
      </c>
      <c r="D78" s="10">
        <v>12</v>
      </c>
      <c r="E78" s="19">
        <v>38.61</v>
      </c>
      <c r="F78" s="19">
        <v>87.18</v>
      </c>
      <c r="G78" s="10">
        <v>496</v>
      </c>
      <c r="H78" s="10">
        <v>29</v>
      </c>
      <c r="I78" s="10">
        <v>0</v>
      </c>
      <c r="J78" s="10" t="str">
        <f>INDEX(Categories!$B$2:$B$11,MATCH(C78,Categories!$A$2:$A$11,0))</f>
        <v>Health &amp; Beauty</v>
      </c>
      <c r="K78" s="10" t="str">
        <f>INDEX(Suppliers!$B$2:$B$13,MATCH(D78,Suppliers!$A$2:$A$13,0))</f>
        <v>Falcon Packaging</v>
      </c>
      <c r="L78" s="17">
        <f t="shared" si="6"/>
        <v>19150.560000000001</v>
      </c>
      <c r="M78" s="10" t="str">
        <f t="shared" si="7"/>
        <v>OK</v>
      </c>
      <c r="N78" s="10">
        <f>SUMIF(OrderItems!$C$2:$C$1254,A78,OrderItems!$D$2:$D$1254)</f>
        <v>51</v>
      </c>
      <c r="O78" s="19">
        <f>SUMIF(OrderItems!$C$2:$C$1254,A78,OrderItems!$G$2:$G$1254)</f>
        <v>4093.1009999999997</v>
      </c>
      <c r="P78" s="18">
        <f t="shared" si="8"/>
        <v>0.55712319339298011</v>
      </c>
    </row>
    <row r="79" spans="1:16" ht="15" customHeight="1" x14ac:dyDescent="0.25">
      <c r="A79" s="10">
        <v>78</v>
      </c>
      <c r="B79" s="10" t="s">
        <v>712</v>
      </c>
      <c r="C79" s="10">
        <v>8</v>
      </c>
      <c r="D79" s="10">
        <v>5</v>
      </c>
      <c r="E79" s="19">
        <v>86.62</v>
      </c>
      <c r="F79" s="19">
        <v>178.61</v>
      </c>
      <c r="G79" s="10">
        <v>332</v>
      </c>
      <c r="H79" s="10">
        <v>25</v>
      </c>
      <c r="I79" s="10">
        <v>0</v>
      </c>
      <c r="J79" s="10" t="str">
        <f>INDEX(Categories!$B$2:$B$11,MATCH(C79,Categories!$A$2:$A$11,0))</f>
        <v>Health &amp; Beauty</v>
      </c>
      <c r="K79" s="10" t="str">
        <f>INDEX(Suppliers!$B$2:$B$13,MATCH(D79,Suppliers!$A$2:$A$13,0))</f>
        <v>Pacific Rim Supply</v>
      </c>
      <c r="L79" s="17">
        <f t="shared" si="6"/>
        <v>28757.84</v>
      </c>
      <c r="M79" s="10" t="str">
        <f t="shared" si="7"/>
        <v>OK</v>
      </c>
      <c r="N79" s="10">
        <f>SUMIF(OrderItems!$C$2:$C$1254,A79,OrderItems!$D$2:$D$1254)</f>
        <v>87</v>
      </c>
      <c r="O79" s="19">
        <f>SUMIF(OrderItems!$C$2:$C$1254,A79,OrderItems!$G$2:$G$1254)</f>
        <v>14646.020000000002</v>
      </c>
      <c r="P79" s="18">
        <f t="shared" si="8"/>
        <v>0.5150327529253681</v>
      </c>
    </row>
    <row r="80" spans="1:16" ht="15" customHeight="1" x14ac:dyDescent="0.25">
      <c r="A80" s="10">
        <v>79</v>
      </c>
      <c r="B80" s="10" t="s">
        <v>713</v>
      </c>
      <c r="C80" s="10">
        <v>8</v>
      </c>
      <c r="D80" s="10">
        <v>11</v>
      </c>
      <c r="E80" s="19">
        <v>215.26</v>
      </c>
      <c r="F80" s="19">
        <v>369.82</v>
      </c>
      <c r="G80" s="10">
        <v>162</v>
      </c>
      <c r="H80" s="10">
        <v>60</v>
      </c>
      <c r="I80" s="10">
        <v>0</v>
      </c>
      <c r="J80" s="10" t="str">
        <f>INDEX(Categories!$B$2:$B$11,MATCH(C80,Categories!$A$2:$A$11,0))</f>
        <v>Health &amp; Beauty</v>
      </c>
      <c r="K80" s="10" t="str">
        <f>INDEX(Suppliers!$B$2:$B$13,MATCH(D80,Suppliers!$A$2:$A$13,0))</f>
        <v>Redwood Electronics</v>
      </c>
      <c r="L80" s="17">
        <f t="shared" si="6"/>
        <v>34872.119999999995</v>
      </c>
      <c r="M80" s="10" t="str">
        <f t="shared" si="7"/>
        <v>OK</v>
      </c>
      <c r="N80" s="10">
        <f>SUMIF(OrderItems!$C$2:$C$1254,A80,OrderItems!$D$2:$D$1254)</f>
        <v>87</v>
      </c>
      <c r="O80" s="19">
        <f>SUMIF(OrderItems!$C$2:$C$1254,A80,OrderItems!$G$2:$G$1254)</f>
        <v>29400.689999999995</v>
      </c>
      <c r="P80" s="18">
        <f t="shared" si="8"/>
        <v>0.417933048510086</v>
      </c>
    </row>
    <row r="81" spans="1:16" ht="15" customHeight="1" x14ac:dyDescent="0.25">
      <c r="A81" s="10">
        <v>80</v>
      </c>
      <c r="B81" s="10" t="s">
        <v>714</v>
      </c>
      <c r="C81" s="10">
        <v>8</v>
      </c>
      <c r="D81" s="10">
        <v>8</v>
      </c>
      <c r="E81" s="19">
        <v>218.48</v>
      </c>
      <c r="F81" s="19">
        <v>292.64999999999998</v>
      </c>
      <c r="G81" s="10">
        <v>35</v>
      </c>
      <c r="H81" s="10">
        <v>35</v>
      </c>
      <c r="I81" s="10">
        <v>0</v>
      </c>
      <c r="J81" s="10" t="str">
        <f>INDEX(Categories!$B$2:$B$11,MATCH(C81,Categories!$A$2:$A$11,0))</f>
        <v>Health &amp; Beauty</v>
      </c>
      <c r="K81" s="10" t="str">
        <f>INDEX(Suppliers!$B$2:$B$13,MATCH(D81,Suppliers!$A$2:$A$13,0))</f>
        <v>Zenith Materials</v>
      </c>
      <c r="L81" s="17">
        <f t="shared" si="6"/>
        <v>7646.7999999999993</v>
      </c>
      <c r="M81" s="10" t="str">
        <f t="shared" si="7"/>
        <v>REORDER</v>
      </c>
      <c r="N81" s="10">
        <f>SUMIF(OrderItems!$C$2:$C$1254,A81,OrderItems!$D$2:$D$1254)</f>
        <v>47</v>
      </c>
      <c r="O81" s="19">
        <f>SUMIF(OrderItems!$C$2:$C$1254,A81,OrderItems!$G$2:$G$1254)</f>
        <v>12715.642499999996</v>
      </c>
      <c r="P81" s="18">
        <f t="shared" si="8"/>
        <v>0.25344267896805056</v>
      </c>
    </row>
    <row r="82" spans="1:16" ht="15" customHeight="1" x14ac:dyDescent="0.25">
      <c r="A82" s="10">
        <v>81</v>
      </c>
      <c r="B82" s="10" t="s">
        <v>715</v>
      </c>
      <c r="C82" s="10">
        <v>9</v>
      </c>
      <c r="D82" s="10">
        <v>5</v>
      </c>
      <c r="E82" s="19">
        <v>249.36</v>
      </c>
      <c r="F82" s="19">
        <v>529</v>
      </c>
      <c r="G82" s="10">
        <v>222</v>
      </c>
      <c r="H82" s="10">
        <v>26</v>
      </c>
      <c r="I82" s="10">
        <v>0</v>
      </c>
      <c r="J82" s="10" t="str">
        <f>INDEX(Categories!$B$2:$B$11,MATCH(C82,Categories!$A$2:$A$11,0))</f>
        <v>Automotive Parts</v>
      </c>
      <c r="K82" s="10" t="str">
        <f>INDEX(Suppliers!$B$2:$B$13,MATCH(D82,Suppliers!$A$2:$A$13,0))</f>
        <v>Pacific Rim Supply</v>
      </c>
      <c r="L82" s="17">
        <f t="shared" si="6"/>
        <v>55357.920000000006</v>
      </c>
      <c r="M82" s="10" t="str">
        <f t="shared" si="7"/>
        <v>OK</v>
      </c>
      <c r="N82" s="10">
        <f>SUMIF(OrderItems!$C$2:$C$1254,A82,OrderItems!$D$2:$D$1254)</f>
        <v>60</v>
      </c>
      <c r="O82" s="19">
        <f>SUMIF(OrderItems!$C$2:$C$1254,A82,OrderItems!$G$2:$G$1254)</f>
        <v>29729.8</v>
      </c>
      <c r="P82" s="18">
        <f t="shared" si="8"/>
        <v>0.52862003780718336</v>
      </c>
    </row>
    <row r="83" spans="1:16" ht="15" customHeight="1" x14ac:dyDescent="0.25">
      <c r="A83" s="10">
        <v>82</v>
      </c>
      <c r="B83" s="10" t="s">
        <v>716</v>
      </c>
      <c r="C83" s="10">
        <v>9</v>
      </c>
      <c r="D83" s="10">
        <v>12</v>
      </c>
      <c r="E83" s="19">
        <v>218.53</v>
      </c>
      <c r="F83" s="19">
        <v>390.74</v>
      </c>
      <c r="G83" s="10">
        <v>355</v>
      </c>
      <c r="H83" s="10">
        <v>39</v>
      </c>
      <c r="I83" s="10">
        <v>0</v>
      </c>
      <c r="J83" s="10" t="str">
        <f>INDEX(Categories!$B$2:$B$11,MATCH(C83,Categories!$A$2:$A$11,0))</f>
        <v>Automotive Parts</v>
      </c>
      <c r="K83" s="10" t="str">
        <f>INDEX(Suppliers!$B$2:$B$13,MATCH(D83,Suppliers!$A$2:$A$13,0))</f>
        <v>Falcon Packaging</v>
      </c>
      <c r="L83" s="17">
        <f t="shared" si="6"/>
        <v>77578.149999999994</v>
      </c>
      <c r="M83" s="10" t="str">
        <f t="shared" si="7"/>
        <v>OK</v>
      </c>
      <c r="N83" s="10">
        <f>SUMIF(OrderItems!$C$2:$C$1254,A83,OrderItems!$D$2:$D$1254)</f>
        <v>65</v>
      </c>
      <c r="O83" s="19">
        <f>SUMIF(OrderItems!$C$2:$C$1254,A83,OrderItems!$G$2:$G$1254)</f>
        <v>23932.825000000001</v>
      </c>
      <c r="P83" s="18">
        <f t="shared" si="8"/>
        <v>0.44072784972104212</v>
      </c>
    </row>
    <row r="84" spans="1:16" ht="15" customHeight="1" x14ac:dyDescent="0.25">
      <c r="A84" s="10">
        <v>83</v>
      </c>
      <c r="B84" s="10" t="s">
        <v>717</v>
      </c>
      <c r="C84" s="10">
        <v>9</v>
      </c>
      <c r="D84" s="10">
        <v>1</v>
      </c>
      <c r="E84" s="19">
        <v>83.12</v>
      </c>
      <c r="F84" s="19">
        <v>113.19</v>
      </c>
      <c r="G84" s="10">
        <v>183</v>
      </c>
      <c r="H84" s="10">
        <v>43</v>
      </c>
      <c r="I84" s="10">
        <v>0</v>
      </c>
      <c r="J84" s="10" t="str">
        <f>INDEX(Categories!$B$2:$B$11,MATCH(C84,Categories!$A$2:$A$11,0))</f>
        <v>Automotive Parts</v>
      </c>
      <c r="K84" s="10" t="str">
        <f>INDEX(Suppliers!$B$2:$B$13,MATCH(D84,Suppliers!$A$2:$A$13,0))</f>
        <v>Acme Manufacturing</v>
      </c>
      <c r="L84" s="17">
        <f t="shared" si="6"/>
        <v>15210.960000000001</v>
      </c>
      <c r="M84" s="10" t="str">
        <f t="shared" si="7"/>
        <v>OK</v>
      </c>
      <c r="N84" s="10">
        <f>SUMIF(OrderItems!$C$2:$C$1254,A84,OrderItems!$D$2:$D$1254)</f>
        <v>60</v>
      </c>
      <c r="O84" s="19">
        <f>SUMIF(OrderItems!$C$2:$C$1254,A84,OrderItems!$G$2:$G$1254)</f>
        <v>6400.8945000000003</v>
      </c>
      <c r="P84" s="18">
        <f t="shared" si="8"/>
        <v>0.26565951055746967</v>
      </c>
    </row>
    <row r="85" spans="1:16" ht="15" customHeight="1" x14ac:dyDescent="0.25">
      <c r="A85" s="10">
        <v>84</v>
      </c>
      <c r="B85" s="10" t="s">
        <v>718</v>
      </c>
      <c r="C85" s="10">
        <v>9</v>
      </c>
      <c r="D85" s="10">
        <v>4</v>
      </c>
      <c r="E85" s="19">
        <v>134.19999999999999</v>
      </c>
      <c r="F85" s="19">
        <v>258</v>
      </c>
      <c r="G85" s="10">
        <v>405</v>
      </c>
      <c r="H85" s="10">
        <v>31</v>
      </c>
      <c r="I85" s="10">
        <v>0</v>
      </c>
      <c r="J85" s="10" t="str">
        <f>INDEX(Categories!$B$2:$B$11,MATCH(C85,Categories!$A$2:$A$11,0))</f>
        <v>Automotive Parts</v>
      </c>
      <c r="K85" s="10" t="str">
        <f>INDEX(Suppliers!$B$2:$B$13,MATCH(D85,Suppliers!$A$2:$A$13,0))</f>
        <v>Nordic Components</v>
      </c>
      <c r="L85" s="17">
        <f t="shared" si="6"/>
        <v>54350.999999999993</v>
      </c>
      <c r="M85" s="10" t="str">
        <f t="shared" si="7"/>
        <v>OK</v>
      </c>
      <c r="N85" s="10">
        <f>SUMIF(OrderItems!$C$2:$C$1254,A85,OrderItems!$D$2:$D$1254)</f>
        <v>70</v>
      </c>
      <c r="O85" s="19">
        <f>SUMIF(OrderItems!$C$2:$C$1254,A85,OrderItems!$G$2:$G$1254)</f>
        <v>17028</v>
      </c>
      <c r="P85" s="18">
        <f t="shared" si="8"/>
        <v>0.47984496124031012</v>
      </c>
    </row>
    <row r="86" spans="1:16" ht="15" customHeight="1" x14ac:dyDescent="0.25">
      <c r="A86" s="10">
        <v>85</v>
      </c>
      <c r="B86" s="10" t="s">
        <v>719</v>
      </c>
      <c r="C86" s="10">
        <v>9</v>
      </c>
      <c r="D86" s="10">
        <v>2</v>
      </c>
      <c r="E86" s="19">
        <v>153.54</v>
      </c>
      <c r="F86" s="19">
        <v>264.20999999999998</v>
      </c>
      <c r="G86" s="10">
        <v>349</v>
      </c>
      <c r="H86" s="10">
        <v>35</v>
      </c>
      <c r="I86" s="10">
        <v>0</v>
      </c>
      <c r="J86" s="10" t="str">
        <f>INDEX(Categories!$B$2:$B$11,MATCH(C86,Categories!$A$2:$A$11,0))</f>
        <v>Automotive Parts</v>
      </c>
      <c r="K86" s="10" t="str">
        <f>INDEX(Suppliers!$B$2:$B$13,MATCH(D86,Suppliers!$A$2:$A$13,0))</f>
        <v>Global Parts Ltd</v>
      </c>
      <c r="L86" s="17">
        <f t="shared" si="6"/>
        <v>53585.46</v>
      </c>
      <c r="M86" s="10" t="str">
        <f t="shared" si="7"/>
        <v>OK</v>
      </c>
      <c r="N86" s="10">
        <f>SUMIF(OrderItems!$C$2:$C$1254,A86,OrderItems!$D$2:$D$1254)</f>
        <v>55</v>
      </c>
      <c r="O86" s="19">
        <f>SUMIF(OrderItems!$C$2:$C$1254,A86,OrderItems!$G$2:$G$1254)</f>
        <v>13342.604999999998</v>
      </c>
      <c r="P86" s="18">
        <f t="shared" si="8"/>
        <v>0.41887135233337119</v>
      </c>
    </row>
    <row r="87" spans="1:16" ht="15" customHeight="1" x14ac:dyDescent="0.25">
      <c r="A87" s="10">
        <v>86</v>
      </c>
      <c r="B87" s="10" t="s">
        <v>720</v>
      </c>
      <c r="C87" s="10">
        <v>9</v>
      </c>
      <c r="D87" s="10">
        <v>10</v>
      </c>
      <c r="E87" s="19">
        <v>38.35</v>
      </c>
      <c r="F87" s="19">
        <v>69.31</v>
      </c>
      <c r="G87" s="10">
        <v>130</v>
      </c>
      <c r="H87" s="10">
        <v>49</v>
      </c>
      <c r="I87" s="10">
        <v>0</v>
      </c>
      <c r="J87" s="10" t="str">
        <f>INDEX(Categories!$B$2:$B$11,MATCH(C87,Categories!$A$2:$A$11,0))</f>
        <v>Automotive Parts</v>
      </c>
      <c r="K87" s="10" t="str">
        <f>INDEX(Suppliers!$B$2:$B$13,MATCH(D87,Suppliers!$A$2:$A$13,0))</f>
        <v>Summit Hardware</v>
      </c>
      <c r="L87" s="17">
        <f t="shared" si="6"/>
        <v>4985.5</v>
      </c>
      <c r="M87" s="10" t="str">
        <f t="shared" si="7"/>
        <v>OK</v>
      </c>
      <c r="N87" s="10">
        <f>SUMIF(OrderItems!$C$2:$C$1254,A87,OrderItems!$D$2:$D$1254)</f>
        <v>28</v>
      </c>
      <c r="O87" s="19">
        <f>SUMIF(OrderItems!$C$2:$C$1254,A87,OrderItems!$G$2:$G$1254)</f>
        <v>1940.68</v>
      </c>
      <c r="P87" s="18">
        <f t="shared" si="8"/>
        <v>0.44668878949646518</v>
      </c>
    </row>
    <row r="88" spans="1:16" ht="15" customHeight="1" x14ac:dyDescent="0.25">
      <c r="A88" s="10">
        <v>87</v>
      </c>
      <c r="B88" s="10" t="s">
        <v>721</v>
      </c>
      <c r="C88" s="10">
        <v>9</v>
      </c>
      <c r="D88" s="10">
        <v>1</v>
      </c>
      <c r="E88" s="19">
        <v>225.03</v>
      </c>
      <c r="F88" s="19">
        <v>407.7</v>
      </c>
      <c r="G88" s="10">
        <v>147</v>
      </c>
      <c r="H88" s="10">
        <v>63</v>
      </c>
      <c r="I88" s="10">
        <v>0</v>
      </c>
      <c r="J88" s="10" t="str">
        <f>INDEX(Categories!$B$2:$B$11,MATCH(C88,Categories!$A$2:$A$11,0))</f>
        <v>Automotive Parts</v>
      </c>
      <c r="K88" s="10" t="str">
        <f>INDEX(Suppliers!$B$2:$B$13,MATCH(D88,Suppliers!$A$2:$A$13,0))</f>
        <v>Acme Manufacturing</v>
      </c>
      <c r="L88" s="17">
        <f t="shared" si="6"/>
        <v>33079.410000000003</v>
      </c>
      <c r="M88" s="10" t="str">
        <f t="shared" si="7"/>
        <v>OK</v>
      </c>
      <c r="N88" s="10">
        <f>SUMIF(OrderItems!$C$2:$C$1254,A88,OrderItems!$D$2:$D$1254)</f>
        <v>45</v>
      </c>
      <c r="O88" s="19">
        <f>SUMIF(OrderItems!$C$2:$C$1254,A88,OrderItems!$G$2:$G$1254)</f>
        <v>17123.400000000001</v>
      </c>
      <c r="P88" s="18">
        <f t="shared" si="8"/>
        <v>0.44805003679175864</v>
      </c>
    </row>
    <row r="89" spans="1:16" ht="15" customHeight="1" x14ac:dyDescent="0.25">
      <c r="A89" s="10">
        <v>88</v>
      </c>
      <c r="B89" s="10" t="s">
        <v>722</v>
      </c>
      <c r="C89" s="10">
        <v>9</v>
      </c>
      <c r="D89" s="10">
        <v>2</v>
      </c>
      <c r="E89" s="19">
        <v>112.11</v>
      </c>
      <c r="F89" s="19">
        <v>188.36</v>
      </c>
      <c r="G89" s="10">
        <v>300</v>
      </c>
      <c r="H89" s="10">
        <v>39</v>
      </c>
      <c r="I89" s="10">
        <v>0</v>
      </c>
      <c r="J89" s="10" t="str">
        <f>INDEX(Categories!$B$2:$B$11,MATCH(C89,Categories!$A$2:$A$11,0))</f>
        <v>Automotive Parts</v>
      </c>
      <c r="K89" s="10" t="str">
        <f>INDEX(Suppliers!$B$2:$B$13,MATCH(D89,Suppliers!$A$2:$A$13,0))</f>
        <v>Global Parts Ltd</v>
      </c>
      <c r="L89" s="17">
        <f t="shared" si="6"/>
        <v>33633</v>
      </c>
      <c r="M89" s="10" t="str">
        <f t="shared" si="7"/>
        <v>OK</v>
      </c>
      <c r="N89" s="10">
        <f>SUMIF(OrderItems!$C$2:$C$1254,A89,OrderItems!$D$2:$D$1254)</f>
        <v>88</v>
      </c>
      <c r="O89" s="19">
        <f>SUMIF(OrderItems!$C$2:$C$1254,A89,OrderItems!$G$2:$G$1254)</f>
        <v>14965.202000000001</v>
      </c>
      <c r="P89" s="18">
        <f t="shared" si="8"/>
        <v>0.4048099384157996</v>
      </c>
    </row>
    <row r="90" spans="1:16" ht="15" customHeight="1" x14ac:dyDescent="0.25">
      <c r="A90" s="10">
        <v>89</v>
      </c>
      <c r="B90" s="10" t="s">
        <v>723</v>
      </c>
      <c r="C90" s="10">
        <v>9</v>
      </c>
      <c r="D90" s="10">
        <v>7</v>
      </c>
      <c r="E90" s="19">
        <v>173.51</v>
      </c>
      <c r="F90" s="19">
        <v>312.76</v>
      </c>
      <c r="G90" s="10">
        <v>154</v>
      </c>
      <c r="H90" s="10">
        <v>32</v>
      </c>
      <c r="I90" s="10">
        <v>0</v>
      </c>
      <c r="J90" s="10" t="str">
        <f>INDEX(Categories!$B$2:$B$11,MATCH(C90,Categories!$A$2:$A$11,0))</f>
        <v>Automotive Parts</v>
      </c>
      <c r="K90" s="10" t="str">
        <f>INDEX(Suppliers!$B$2:$B$13,MATCH(D90,Suppliers!$A$2:$A$13,0))</f>
        <v>BrightPath Goods</v>
      </c>
      <c r="L90" s="17">
        <f t="shared" si="6"/>
        <v>26720.539999999997</v>
      </c>
      <c r="M90" s="10" t="str">
        <f t="shared" si="7"/>
        <v>OK</v>
      </c>
      <c r="N90" s="10">
        <f>SUMIF(OrderItems!$C$2:$C$1254,A90,OrderItems!$D$2:$D$1254)</f>
        <v>93</v>
      </c>
      <c r="O90" s="19">
        <f>SUMIF(OrderItems!$C$2:$C$1254,A90,OrderItems!$G$2:$G$1254)</f>
        <v>27006.825999999997</v>
      </c>
      <c r="P90" s="18">
        <f t="shared" si="8"/>
        <v>0.44522956899859317</v>
      </c>
    </row>
    <row r="91" spans="1:16" ht="15" customHeight="1" x14ac:dyDescent="0.25">
      <c r="A91" s="10">
        <v>90</v>
      </c>
      <c r="B91" s="10" t="s">
        <v>724</v>
      </c>
      <c r="C91" s="10">
        <v>9</v>
      </c>
      <c r="D91" s="10">
        <v>8</v>
      </c>
      <c r="E91" s="19">
        <v>29.34</v>
      </c>
      <c r="F91" s="19">
        <v>50.45</v>
      </c>
      <c r="G91" s="10">
        <v>183</v>
      </c>
      <c r="H91" s="10">
        <v>56</v>
      </c>
      <c r="I91" s="10">
        <v>0</v>
      </c>
      <c r="J91" s="10" t="str">
        <f>INDEX(Categories!$B$2:$B$11,MATCH(C91,Categories!$A$2:$A$11,0))</f>
        <v>Automotive Parts</v>
      </c>
      <c r="K91" s="10" t="str">
        <f>INDEX(Suppliers!$B$2:$B$13,MATCH(D91,Suppliers!$A$2:$A$13,0))</f>
        <v>Zenith Materials</v>
      </c>
      <c r="L91" s="17">
        <f t="shared" si="6"/>
        <v>5369.22</v>
      </c>
      <c r="M91" s="10" t="str">
        <f t="shared" si="7"/>
        <v>OK</v>
      </c>
      <c r="N91" s="10">
        <f>SUMIF(OrderItems!$C$2:$C$1254,A91,OrderItems!$D$2:$D$1254)</f>
        <v>90</v>
      </c>
      <c r="O91" s="19">
        <f>SUMIF(OrderItems!$C$2:$C$1254,A91,OrderItems!$G$2:$G$1254)</f>
        <v>3960.3249999999994</v>
      </c>
      <c r="P91" s="18">
        <f t="shared" si="8"/>
        <v>0.41843409316154612</v>
      </c>
    </row>
    <row r="92" spans="1:16" ht="15" customHeight="1" x14ac:dyDescent="0.25">
      <c r="A92" s="10">
        <v>91</v>
      </c>
      <c r="B92" s="10" t="s">
        <v>725</v>
      </c>
      <c r="C92" s="10">
        <v>10</v>
      </c>
      <c r="D92" s="10">
        <v>12</v>
      </c>
      <c r="E92" s="19">
        <v>75.92</v>
      </c>
      <c r="F92" s="19">
        <v>180.37</v>
      </c>
      <c r="G92" s="10">
        <v>337</v>
      </c>
      <c r="H92" s="10">
        <v>45</v>
      </c>
      <c r="I92" s="10">
        <v>0</v>
      </c>
      <c r="J92" s="10" t="str">
        <f>INDEX(Categories!$B$2:$B$11,MATCH(C92,Categories!$A$2:$A$11,0))</f>
        <v>Groceries</v>
      </c>
      <c r="K92" s="10" t="str">
        <f>INDEX(Suppliers!$B$2:$B$13,MATCH(D92,Suppliers!$A$2:$A$13,0))</f>
        <v>Falcon Packaging</v>
      </c>
      <c r="L92" s="17">
        <f t="shared" si="6"/>
        <v>25585.040000000001</v>
      </c>
      <c r="M92" s="10" t="str">
        <f t="shared" si="7"/>
        <v>OK</v>
      </c>
      <c r="N92" s="10">
        <f>SUMIF(OrderItems!$C$2:$C$1254,A92,OrderItems!$D$2:$D$1254)</f>
        <v>61</v>
      </c>
      <c r="O92" s="19">
        <f>SUMIF(OrderItems!$C$2:$C$1254,A92,OrderItems!$G$2:$G$1254)</f>
        <v>10190.905000000001</v>
      </c>
      <c r="P92" s="18">
        <f t="shared" si="8"/>
        <v>0.57908743139102958</v>
      </c>
    </row>
    <row r="93" spans="1:16" ht="15" customHeight="1" x14ac:dyDescent="0.25">
      <c r="A93" s="10">
        <v>92</v>
      </c>
      <c r="B93" s="10" t="s">
        <v>726</v>
      </c>
      <c r="C93" s="10">
        <v>10</v>
      </c>
      <c r="D93" s="10">
        <v>10</v>
      </c>
      <c r="E93" s="19">
        <v>216.67</v>
      </c>
      <c r="F93" s="19">
        <v>467.17</v>
      </c>
      <c r="G93" s="10">
        <v>498</v>
      </c>
      <c r="H93" s="10">
        <v>23</v>
      </c>
      <c r="I93" s="10">
        <v>0</v>
      </c>
      <c r="J93" s="10" t="str">
        <f>INDEX(Categories!$B$2:$B$11,MATCH(C93,Categories!$A$2:$A$11,0))</f>
        <v>Groceries</v>
      </c>
      <c r="K93" s="10" t="str">
        <f>INDEX(Suppliers!$B$2:$B$13,MATCH(D93,Suppliers!$A$2:$A$13,0))</f>
        <v>Summit Hardware</v>
      </c>
      <c r="L93" s="17">
        <f t="shared" si="6"/>
        <v>107901.65999999999</v>
      </c>
      <c r="M93" s="10" t="str">
        <f t="shared" si="7"/>
        <v>OK</v>
      </c>
      <c r="N93" s="10">
        <f>SUMIF(OrderItems!$C$2:$C$1254,A93,OrderItems!$D$2:$D$1254)</f>
        <v>50</v>
      </c>
      <c r="O93" s="19">
        <f>SUMIF(OrderItems!$C$2:$C$1254,A93,OrderItems!$G$2:$G$1254)</f>
        <v>22073.782500000001</v>
      </c>
      <c r="P93" s="18">
        <f t="shared" si="8"/>
        <v>0.53620737632981574</v>
      </c>
    </row>
    <row r="94" spans="1:16" ht="15" customHeight="1" x14ac:dyDescent="0.25">
      <c r="A94" s="10">
        <v>93</v>
      </c>
      <c r="B94" s="10" t="s">
        <v>727</v>
      </c>
      <c r="C94" s="10">
        <v>10</v>
      </c>
      <c r="D94" s="10">
        <v>12</v>
      </c>
      <c r="E94" s="19">
        <v>125.69</v>
      </c>
      <c r="F94" s="19">
        <v>288.39999999999998</v>
      </c>
      <c r="G94" s="10">
        <v>146</v>
      </c>
      <c r="H94" s="10">
        <v>69</v>
      </c>
      <c r="I94" s="10">
        <v>0</v>
      </c>
      <c r="J94" s="10" t="str">
        <f>INDEX(Categories!$B$2:$B$11,MATCH(C94,Categories!$A$2:$A$11,0))</f>
        <v>Groceries</v>
      </c>
      <c r="K94" s="10" t="str">
        <f>INDEX(Suppliers!$B$2:$B$13,MATCH(D94,Suppliers!$A$2:$A$13,0))</f>
        <v>Falcon Packaging</v>
      </c>
      <c r="L94" s="17">
        <f t="shared" si="6"/>
        <v>18350.739999999998</v>
      </c>
      <c r="M94" s="10" t="str">
        <f t="shared" si="7"/>
        <v>OK</v>
      </c>
      <c r="N94" s="10">
        <f>SUMIF(OrderItems!$C$2:$C$1254,A94,OrderItems!$D$2:$D$1254)</f>
        <v>90</v>
      </c>
      <c r="O94" s="19">
        <f>SUMIF(OrderItems!$C$2:$C$1254,A94,OrderItems!$G$2:$G$1254)</f>
        <v>23793</v>
      </c>
      <c r="P94" s="18">
        <f t="shared" si="8"/>
        <v>0.56418169209431346</v>
      </c>
    </row>
    <row r="95" spans="1:16" ht="15" customHeight="1" x14ac:dyDescent="0.25">
      <c r="A95" s="10">
        <v>94</v>
      </c>
      <c r="B95" s="10" t="s">
        <v>728</v>
      </c>
      <c r="C95" s="10">
        <v>10</v>
      </c>
      <c r="D95" s="10">
        <v>10</v>
      </c>
      <c r="E95" s="19">
        <v>201.08</v>
      </c>
      <c r="F95" s="19">
        <v>309.85000000000002</v>
      </c>
      <c r="G95" s="10">
        <v>97</v>
      </c>
      <c r="H95" s="10">
        <v>59</v>
      </c>
      <c r="I95" s="10">
        <v>0</v>
      </c>
      <c r="J95" s="10" t="str">
        <f>INDEX(Categories!$B$2:$B$11,MATCH(C95,Categories!$A$2:$A$11,0))</f>
        <v>Groceries</v>
      </c>
      <c r="K95" s="10" t="str">
        <f>INDEX(Suppliers!$B$2:$B$13,MATCH(D95,Suppliers!$A$2:$A$13,0))</f>
        <v>Summit Hardware</v>
      </c>
      <c r="L95" s="17">
        <f t="shared" si="6"/>
        <v>19504.760000000002</v>
      </c>
      <c r="M95" s="10" t="str">
        <f t="shared" si="7"/>
        <v>OK</v>
      </c>
      <c r="N95" s="10">
        <f>SUMIF(OrderItems!$C$2:$C$1254,A95,OrderItems!$D$2:$D$1254)</f>
        <v>76</v>
      </c>
      <c r="O95" s="19">
        <f>SUMIF(OrderItems!$C$2:$C$1254,A95,OrderItems!$G$2:$G$1254)</f>
        <v>22340.185000000001</v>
      </c>
      <c r="P95" s="18">
        <f t="shared" si="8"/>
        <v>0.35104082620622884</v>
      </c>
    </row>
    <row r="96" spans="1:16" ht="15" customHeight="1" x14ac:dyDescent="0.25">
      <c r="A96" s="10">
        <v>95</v>
      </c>
      <c r="B96" s="10" t="s">
        <v>729</v>
      </c>
      <c r="C96" s="10">
        <v>10</v>
      </c>
      <c r="D96" s="10">
        <v>12</v>
      </c>
      <c r="E96" s="19">
        <v>192.57</v>
      </c>
      <c r="F96" s="19">
        <v>394.56</v>
      </c>
      <c r="G96" s="10">
        <v>70</v>
      </c>
      <c r="H96" s="10">
        <v>60</v>
      </c>
      <c r="I96" s="10">
        <v>0</v>
      </c>
      <c r="J96" s="10" t="str">
        <f>INDEX(Categories!$B$2:$B$11,MATCH(C96,Categories!$A$2:$A$11,0))</f>
        <v>Groceries</v>
      </c>
      <c r="K96" s="10" t="str">
        <f>INDEX(Suppliers!$B$2:$B$13,MATCH(D96,Suppliers!$A$2:$A$13,0))</f>
        <v>Falcon Packaging</v>
      </c>
      <c r="L96" s="17">
        <f t="shared" si="6"/>
        <v>13479.9</v>
      </c>
      <c r="M96" s="10" t="str">
        <f t="shared" si="7"/>
        <v>OK</v>
      </c>
      <c r="N96" s="10">
        <f>SUMIF(OrderItems!$C$2:$C$1254,A96,OrderItems!$D$2:$D$1254)</f>
        <v>71</v>
      </c>
      <c r="O96" s="19">
        <f>SUMIF(OrderItems!$C$2:$C$1254,A96,OrderItems!$G$2:$G$1254)</f>
        <v>26632.800000000003</v>
      </c>
      <c r="P96" s="18">
        <f t="shared" si="8"/>
        <v>0.51193734793187351</v>
      </c>
    </row>
    <row r="97" spans="1:16" ht="15" customHeight="1" x14ac:dyDescent="0.25">
      <c r="A97" s="10">
        <v>96</v>
      </c>
      <c r="B97" s="10" t="s">
        <v>730</v>
      </c>
      <c r="C97" s="10">
        <v>10</v>
      </c>
      <c r="D97" s="10">
        <v>11</v>
      </c>
      <c r="E97" s="19">
        <v>162.65</v>
      </c>
      <c r="F97" s="19">
        <v>266.72000000000003</v>
      </c>
      <c r="G97" s="10">
        <v>225</v>
      </c>
      <c r="H97" s="10">
        <v>22</v>
      </c>
      <c r="I97" s="10">
        <v>0</v>
      </c>
      <c r="J97" s="10" t="str">
        <f>INDEX(Categories!$B$2:$B$11,MATCH(C97,Categories!$A$2:$A$11,0))</f>
        <v>Groceries</v>
      </c>
      <c r="K97" s="10" t="str">
        <f>INDEX(Suppliers!$B$2:$B$13,MATCH(D97,Suppliers!$A$2:$A$13,0))</f>
        <v>Redwood Electronics</v>
      </c>
      <c r="L97" s="17">
        <f t="shared" si="6"/>
        <v>36596.25</v>
      </c>
      <c r="M97" s="10" t="str">
        <f t="shared" si="7"/>
        <v>OK</v>
      </c>
      <c r="N97" s="10">
        <f>SUMIF(OrderItems!$C$2:$C$1254,A97,OrderItems!$D$2:$D$1254)</f>
        <v>77</v>
      </c>
      <c r="O97" s="19">
        <f>SUMIF(OrderItems!$C$2:$C$1254,A97,OrderItems!$G$2:$G$1254)</f>
        <v>19323.864000000001</v>
      </c>
      <c r="P97" s="18">
        <f t="shared" si="8"/>
        <v>0.39018446310737859</v>
      </c>
    </row>
    <row r="98" spans="1:16" ht="15" customHeight="1" x14ac:dyDescent="0.25">
      <c r="A98" s="10">
        <v>97</v>
      </c>
      <c r="B98" s="10" t="s">
        <v>731</v>
      </c>
      <c r="C98" s="10">
        <v>10</v>
      </c>
      <c r="D98" s="10">
        <v>12</v>
      </c>
      <c r="E98" s="19">
        <v>35.46</v>
      </c>
      <c r="F98" s="19">
        <v>81.58</v>
      </c>
      <c r="G98" s="10">
        <v>167</v>
      </c>
      <c r="H98" s="10">
        <v>67</v>
      </c>
      <c r="I98" s="10">
        <v>0</v>
      </c>
      <c r="J98" s="10" t="str">
        <f>INDEX(Categories!$B$2:$B$11,MATCH(C98,Categories!$A$2:$A$11,0))</f>
        <v>Groceries</v>
      </c>
      <c r="K98" s="10" t="str">
        <f>INDEX(Suppliers!$B$2:$B$13,MATCH(D98,Suppliers!$A$2:$A$13,0))</f>
        <v>Falcon Packaging</v>
      </c>
      <c r="L98" s="17">
        <f t="shared" si="6"/>
        <v>5921.82</v>
      </c>
      <c r="M98" s="10" t="str">
        <f t="shared" si="7"/>
        <v>OK</v>
      </c>
      <c r="N98" s="10">
        <f>SUMIF(OrderItems!$C$2:$C$1254,A98,OrderItems!$D$2:$D$1254)</f>
        <v>46</v>
      </c>
      <c r="O98" s="19">
        <f>SUMIF(OrderItems!$C$2:$C$1254,A98,OrderItems!$G$2:$G$1254)</f>
        <v>3369.2539999999999</v>
      </c>
      <c r="P98" s="18">
        <f t="shared" si="8"/>
        <v>0.56533464084334395</v>
      </c>
    </row>
    <row r="99" spans="1:16" ht="15" customHeight="1" x14ac:dyDescent="0.25">
      <c r="A99" s="10">
        <v>98</v>
      </c>
      <c r="B99" s="10" t="s">
        <v>732</v>
      </c>
      <c r="C99" s="10">
        <v>10</v>
      </c>
      <c r="D99" s="10">
        <v>4</v>
      </c>
      <c r="E99" s="19">
        <v>35.64</v>
      </c>
      <c r="F99" s="19">
        <v>67.48</v>
      </c>
      <c r="G99" s="10">
        <v>497</v>
      </c>
      <c r="H99" s="10">
        <v>43</v>
      </c>
      <c r="I99" s="10">
        <v>0</v>
      </c>
      <c r="J99" s="10" t="str">
        <f>INDEX(Categories!$B$2:$B$11,MATCH(C99,Categories!$A$2:$A$11,0))</f>
        <v>Groceries</v>
      </c>
      <c r="K99" s="10" t="str">
        <f>INDEX(Suppliers!$B$2:$B$13,MATCH(D99,Suppliers!$A$2:$A$13,0))</f>
        <v>Nordic Components</v>
      </c>
      <c r="L99" s="17">
        <f t="shared" si="6"/>
        <v>17713.080000000002</v>
      </c>
      <c r="M99" s="10" t="str">
        <f t="shared" si="7"/>
        <v>OK</v>
      </c>
      <c r="N99" s="10">
        <f>SUMIF(OrderItems!$C$2:$C$1254,A99,OrderItems!$D$2:$D$1254)</f>
        <v>69</v>
      </c>
      <c r="O99" s="19">
        <f>SUMIF(OrderItems!$C$2:$C$1254,A99,OrderItems!$G$2:$G$1254)</f>
        <v>4457.0540000000001</v>
      </c>
      <c r="P99" s="18">
        <f t="shared" si="8"/>
        <v>0.47184350918790757</v>
      </c>
    </row>
    <row r="100" spans="1:16" ht="15" customHeight="1" x14ac:dyDescent="0.25">
      <c r="A100" s="10">
        <v>99</v>
      </c>
      <c r="B100" s="10" t="s">
        <v>733</v>
      </c>
      <c r="C100" s="10">
        <v>10</v>
      </c>
      <c r="D100" s="10">
        <v>5</v>
      </c>
      <c r="E100" s="19">
        <v>208.13</v>
      </c>
      <c r="F100" s="19">
        <v>329.4</v>
      </c>
      <c r="G100" s="10">
        <v>422</v>
      </c>
      <c r="H100" s="10">
        <v>80</v>
      </c>
      <c r="I100" s="10">
        <v>0</v>
      </c>
      <c r="J100" s="10" t="str">
        <f>INDEX(Categories!$B$2:$B$11,MATCH(C100,Categories!$A$2:$A$11,0))</f>
        <v>Groceries</v>
      </c>
      <c r="K100" s="10" t="str">
        <f>INDEX(Suppliers!$B$2:$B$13,MATCH(D100,Suppliers!$A$2:$A$13,0))</f>
        <v>Pacific Rim Supply</v>
      </c>
      <c r="L100" s="17">
        <f t="shared" si="6"/>
        <v>87830.86</v>
      </c>
      <c r="M100" s="10" t="str">
        <f t="shared" si="7"/>
        <v>OK</v>
      </c>
      <c r="N100" s="10">
        <f>SUMIF(OrderItems!$C$2:$C$1254,A100,OrderItems!$D$2:$D$1254)</f>
        <v>65</v>
      </c>
      <c r="O100" s="19">
        <f>SUMIF(OrderItems!$C$2:$C$1254,A100,OrderItems!$G$2:$G$1254)</f>
        <v>20719.260000000002</v>
      </c>
      <c r="P100" s="18">
        <f t="shared" si="8"/>
        <v>0.36815421979356405</v>
      </c>
    </row>
    <row r="101" spans="1:16" ht="15" customHeight="1" x14ac:dyDescent="0.25">
      <c r="A101" s="10">
        <v>100</v>
      </c>
      <c r="B101" s="10" t="s">
        <v>734</v>
      </c>
      <c r="C101" s="10">
        <v>10</v>
      </c>
      <c r="D101" s="10">
        <v>5</v>
      </c>
      <c r="E101" s="19">
        <v>187.4</v>
      </c>
      <c r="F101" s="19">
        <v>313.44</v>
      </c>
      <c r="G101" s="10">
        <v>58</v>
      </c>
      <c r="H101" s="10">
        <v>49</v>
      </c>
      <c r="I101" s="10">
        <v>0</v>
      </c>
      <c r="J101" s="10" t="str">
        <f>INDEX(Categories!$B$2:$B$11,MATCH(C101,Categories!$A$2:$A$11,0))</f>
        <v>Groceries</v>
      </c>
      <c r="K101" s="10" t="str">
        <f>INDEX(Suppliers!$B$2:$B$13,MATCH(D101,Suppliers!$A$2:$A$13,0))</f>
        <v>Pacific Rim Supply</v>
      </c>
      <c r="L101" s="17">
        <f t="shared" si="6"/>
        <v>10869.2</v>
      </c>
      <c r="M101" s="10" t="str">
        <f t="shared" si="7"/>
        <v>OK</v>
      </c>
      <c r="N101" s="10">
        <f>SUMIF(OrderItems!$C$2:$C$1254,A101,OrderItems!$D$2:$D$1254)</f>
        <v>105</v>
      </c>
      <c r="O101" s="19">
        <f>SUMIF(OrderItems!$C$2:$C$1254,A101,OrderItems!$G$2:$G$1254)</f>
        <v>31234.296000000002</v>
      </c>
      <c r="P101" s="18">
        <f t="shared" si="8"/>
        <v>0.40211842776927004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O401"/>
  <sheetViews>
    <sheetView zoomScaleNormal="100" workbookViewId="0">
      <pane ySplit="1" topLeftCell="A2" activePane="bottomLeft" state="frozen"/>
      <selection pane="bottomLeft" activeCell="F15" sqref="F15"/>
    </sheetView>
  </sheetViews>
  <sheetFormatPr defaultColWidth="8.7109375" defaultRowHeight="15" x14ac:dyDescent="0.25"/>
  <cols>
    <col min="1" max="1" width="10.7109375" style="10" customWidth="1"/>
    <col min="2" max="2" width="13.7109375" style="10" customWidth="1"/>
    <col min="3" max="3" width="14.42578125" style="10" customWidth="1"/>
    <col min="4" max="4" width="12.5703125" style="10" customWidth="1"/>
    <col min="5" max="6" width="12" style="10" customWidth="1"/>
    <col min="7" max="7" width="14" style="10" customWidth="1"/>
    <col min="8" max="8" width="16.85546875" style="10" customWidth="1"/>
    <col min="9" max="9" width="14" style="10" customWidth="1"/>
    <col min="10" max="10" width="13.7109375" style="10" customWidth="1"/>
    <col min="11" max="11" width="14.42578125" style="10" customWidth="1"/>
    <col min="12" max="12" width="20.42578125" style="10" customWidth="1"/>
    <col min="13" max="13" width="14" style="10" customWidth="1"/>
    <col min="14" max="14" width="22" style="10" customWidth="1"/>
    <col min="15" max="15" width="14" style="10" customWidth="1"/>
  </cols>
  <sheetData>
    <row r="1" spans="1:14" ht="23.25" customHeight="1" x14ac:dyDescent="0.25">
      <c r="A1" s="39" t="s">
        <v>735</v>
      </c>
      <c r="B1" s="39" t="s">
        <v>1509</v>
      </c>
      <c r="C1" s="39" t="s">
        <v>1488</v>
      </c>
      <c r="D1" s="39" t="s">
        <v>1510</v>
      </c>
      <c r="E1" s="39" t="s">
        <v>1511</v>
      </c>
      <c r="F1" s="39" t="s">
        <v>736</v>
      </c>
      <c r="G1" s="39" t="s">
        <v>1512</v>
      </c>
      <c r="H1" s="39" t="s">
        <v>737</v>
      </c>
      <c r="I1" s="39" t="s">
        <v>738</v>
      </c>
      <c r="J1" s="39" t="s">
        <v>739</v>
      </c>
      <c r="K1" s="39" t="s">
        <v>740</v>
      </c>
      <c r="L1" s="39" t="s">
        <v>741</v>
      </c>
      <c r="M1" s="39" t="s">
        <v>742</v>
      </c>
      <c r="N1" s="39" t="s">
        <v>743</v>
      </c>
    </row>
    <row r="2" spans="1:14" ht="15" customHeight="1" x14ac:dyDescent="0.25">
      <c r="A2" s="10">
        <v>1</v>
      </c>
      <c r="B2" s="10">
        <v>10</v>
      </c>
      <c r="C2" s="10">
        <v>8</v>
      </c>
      <c r="D2" s="10" t="s">
        <v>744</v>
      </c>
      <c r="F2" s="10" t="s">
        <v>16</v>
      </c>
      <c r="G2" s="10" t="s">
        <v>36</v>
      </c>
      <c r="H2" s="19">
        <f>SUMIF(OrderItems!$B$2:$B$1254,A2,OrderItems!$G$2:$G$1254)</f>
        <v>6946.6329999999998</v>
      </c>
      <c r="I2" s="19">
        <f>SUMIF(OrderItems!$B$2:$B$1254,A2,OrderItems!$K$2:$K$1254)</f>
        <v>3780.95</v>
      </c>
      <c r="J2" s="19">
        <f t="shared" ref="J2:J65" si="0">H2-I2</f>
        <v>3165.683</v>
      </c>
      <c r="K2" s="10" t="str">
        <f t="shared" ref="K2:K65" si="1">IF(D2="","",TEXT(D2,"YYYY-MM"))</f>
        <v>2025-03</v>
      </c>
      <c r="L2" s="10" t="str">
        <f>IFERROR(INDEX(Customers!$G$2:$G$61,MATCH(B2,Customers!$A$2:$A$61,0)),"")</f>
        <v>Corporate</v>
      </c>
      <c r="M2" s="10" t="str">
        <f>IFERROR(INDEX(Employees!$B$2:$B$37,MATCH(C2,Employees!$A$2:$A$37,0))&amp;" "&amp;INDEX(Employees!$C$2:$C$37,MATCH(C2,Employees!$A$2:$A$37,0)),"")</f>
        <v>John Gonzalez</v>
      </c>
      <c r="N2" s="10" t="str">
        <f t="shared" ref="N2:N65" si="2">IF(E2="","",E2-D2)</f>
        <v/>
      </c>
    </row>
    <row r="3" spans="1:14" ht="15" customHeight="1" x14ac:dyDescent="0.25">
      <c r="A3" s="10">
        <v>2</v>
      </c>
      <c r="B3" s="10">
        <v>40</v>
      </c>
      <c r="C3" s="10">
        <v>9</v>
      </c>
      <c r="D3" s="10" t="s">
        <v>745</v>
      </c>
      <c r="E3" s="10" t="s">
        <v>746</v>
      </c>
      <c r="F3" s="10" t="s">
        <v>14</v>
      </c>
      <c r="G3" s="10" t="s">
        <v>38</v>
      </c>
      <c r="H3" s="19">
        <f>SUMIF(OrderItems!$B$2:$B$1254,A3,OrderItems!$G$2:$G$1254)</f>
        <v>3948.2524999999996</v>
      </c>
      <c r="I3" s="19">
        <f>SUMIF(OrderItems!$B$2:$B$1254,A3,OrderItems!$K$2:$K$1254)</f>
        <v>2405.85</v>
      </c>
      <c r="J3" s="19">
        <f t="shared" si="0"/>
        <v>1542.4024999999997</v>
      </c>
      <c r="K3" s="10" t="str">
        <f t="shared" si="1"/>
        <v>2024-03</v>
      </c>
      <c r="L3" s="10" t="str">
        <f>IFERROR(INDEX(Customers!$G$2:$G$61,MATCH(B3,Customers!$A$2:$A$61,0)),"")</f>
        <v>Corporate</v>
      </c>
      <c r="M3" s="10" t="str">
        <f>IFERROR(INDEX(Employees!$B$2:$B$37,MATCH(C3,Employees!$A$2:$A$37,0))&amp;" "&amp;INDEX(Employees!$C$2:$C$37,MATCH(C3,Employees!$A$2:$A$37,0)),"")</f>
        <v>William Johnson</v>
      </c>
      <c r="N3" s="10">
        <f t="shared" si="2"/>
        <v>8</v>
      </c>
    </row>
    <row r="4" spans="1:14" ht="15" customHeight="1" x14ac:dyDescent="0.25">
      <c r="A4" s="10">
        <v>3</v>
      </c>
      <c r="B4" s="10">
        <v>43</v>
      </c>
      <c r="C4" s="10">
        <v>10</v>
      </c>
      <c r="D4" s="10" t="s">
        <v>747</v>
      </c>
      <c r="F4" s="10" t="s">
        <v>17</v>
      </c>
      <c r="G4" s="10" t="s">
        <v>36</v>
      </c>
      <c r="H4" s="19">
        <f>SUMIF(OrderItems!$B$2:$B$1254,A4,OrderItems!$G$2:$G$1254)</f>
        <v>9650.3040000000001</v>
      </c>
      <c r="I4" s="19">
        <f>SUMIF(OrderItems!$B$2:$B$1254,A4,OrderItems!$K$2:$K$1254)</f>
        <v>4970.62</v>
      </c>
      <c r="J4" s="19">
        <f t="shared" si="0"/>
        <v>4679.6840000000002</v>
      </c>
      <c r="K4" s="10" t="str">
        <f t="shared" si="1"/>
        <v>2023-11</v>
      </c>
      <c r="L4" s="10" t="str">
        <f>IFERROR(INDEX(Customers!$G$2:$G$61,MATCH(B4,Customers!$A$2:$A$61,0)),"")</f>
        <v>Corporate</v>
      </c>
      <c r="M4" s="10" t="str">
        <f>IFERROR(INDEX(Employees!$B$2:$B$37,MATCH(C4,Employees!$A$2:$A$37,0))&amp;" "&amp;INDEX(Employees!$C$2:$C$37,MATCH(C4,Employees!$A$2:$A$37,0)),"")</f>
        <v>John Moore</v>
      </c>
      <c r="N4" s="10" t="str">
        <f t="shared" si="2"/>
        <v/>
      </c>
    </row>
    <row r="5" spans="1:14" ht="15" customHeight="1" x14ac:dyDescent="0.25">
      <c r="A5" s="10">
        <v>4</v>
      </c>
      <c r="B5" s="10">
        <v>44</v>
      </c>
      <c r="C5" s="10">
        <v>9</v>
      </c>
      <c r="D5" s="10" t="s">
        <v>748</v>
      </c>
      <c r="E5" s="10" t="s">
        <v>749</v>
      </c>
      <c r="F5" s="10" t="s">
        <v>14</v>
      </c>
      <c r="G5" s="10" t="s">
        <v>38</v>
      </c>
      <c r="H5" s="19">
        <f>SUMIF(OrderItems!$B$2:$B$1254,A5,OrderItems!$G$2:$G$1254)</f>
        <v>818.41399999999999</v>
      </c>
      <c r="I5" s="19">
        <f>SUMIF(OrderItems!$B$2:$B$1254,A5,OrderItems!$K$2:$K$1254)</f>
        <v>473.68</v>
      </c>
      <c r="J5" s="19">
        <f t="shared" si="0"/>
        <v>344.73399999999998</v>
      </c>
      <c r="K5" s="10" t="str">
        <f t="shared" si="1"/>
        <v>2025-01</v>
      </c>
      <c r="L5" s="10" t="str">
        <f>IFERROR(INDEX(Customers!$G$2:$G$61,MATCH(B5,Customers!$A$2:$A$61,0)),"")</f>
        <v>Corporate</v>
      </c>
      <c r="M5" s="10" t="str">
        <f>IFERROR(INDEX(Employees!$B$2:$B$37,MATCH(C5,Employees!$A$2:$A$37,0))&amp;" "&amp;INDEX(Employees!$C$2:$C$37,MATCH(C5,Employees!$A$2:$A$37,0)),"")</f>
        <v>William Johnson</v>
      </c>
      <c r="N5" s="10">
        <f t="shared" si="2"/>
        <v>7</v>
      </c>
    </row>
    <row r="6" spans="1:14" ht="15" customHeight="1" x14ac:dyDescent="0.25">
      <c r="A6" s="10">
        <v>5</v>
      </c>
      <c r="B6" s="10">
        <v>4</v>
      </c>
      <c r="C6" s="10">
        <v>9</v>
      </c>
      <c r="D6" s="10" t="s">
        <v>750</v>
      </c>
      <c r="E6" s="10" t="s">
        <v>751</v>
      </c>
      <c r="F6" s="10" t="s">
        <v>14</v>
      </c>
      <c r="G6" s="10" t="s">
        <v>37</v>
      </c>
      <c r="H6" s="19">
        <f>SUMIF(OrderItems!$B$2:$B$1254,A6,OrderItems!$G$2:$G$1254)</f>
        <v>607.32000000000005</v>
      </c>
      <c r="I6" s="19">
        <f>SUMIF(OrderItems!$B$2:$B$1254,A6,OrderItems!$K$2:$K$1254)</f>
        <v>320.76</v>
      </c>
      <c r="J6" s="19">
        <f t="shared" si="0"/>
        <v>286.56000000000006</v>
      </c>
      <c r="K6" s="10" t="str">
        <f t="shared" si="1"/>
        <v>2024-05</v>
      </c>
      <c r="L6" s="10" t="str">
        <f>IFERROR(INDEX(Customers!$G$2:$G$61,MATCH(B6,Customers!$A$2:$A$61,0)),"")</f>
        <v>Small Business</v>
      </c>
      <c r="M6" s="10" t="str">
        <f>IFERROR(INDEX(Employees!$B$2:$B$37,MATCH(C6,Employees!$A$2:$A$37,0))&amp;" "&amp;INDEX(Employees!$C$2:$C$37,MATCH(C6,Employees!$A$2:$A$37,0)),"")</f>
        <v>William Johnson</v>
      </c>
      <c r="N6" s="10">
        <f t="shared" si="2"/>
        <v>10</v>
      </c>
    </row>
    <row r="7" spans="1:14" ht="15" customHeight="1" x14ac:dyDescent="0.25">
      <c r="A7" s="10">
        <v>6</v>
      </c>
      <c r="B7" s="10">
        <v>53</v>
      </c>
      <c r="C7" s="10">
        <v>8</v>
      </c>
      <c r="D7" s="10" t="s">
        <v>752</v>
      </c>
      <c r="E7" s="10" t="s">
        <v>753</v>
      </c>
      <c r="F7" s="10" t="s">
        <v>14</v>
      </c>
      <c r="G7" s="10" t="s">
        <v>36</v>
      </c>
      <c r="H7" s="19">
        <f>SUMIF(OrderItems!$B$2:$B$1254,A7,OrderItems!$G$2:$G$1254)</f>
        <v>1967.3899999999999</v>
      </c>
      <c r="I7" s="19">
        <f>SUMIF(OrderItems!$B$2:$B$1254,A7,OrderItems!$K$2:$K$1254)</f>
        <v>1561.24</v>
      </c>
      <c r="J7" s="19">
        <f t="shared" si="0"/>
        <v>406.14999999999986</v>
      </c>
      <c r="K7" s="10" t="str">
        <f t="shared" si="1"/>
        <v>2024-11</v>
      </c>
      <c r="L7" s="10" t="str">
        <f>IFERROR(INDEX(Customers!$G$2:$G$61,MATCH(B7,Customers!$A$2:$A$61,0)),"")</f>
        <v>Corporate</v>
      </c>
      <c r="M7" s="10" t="str">
        <f>IFERROR(INDEX(Employees!$B$2:$B$37,MATCH(C7,Employees!$A$2:$A$37,0))&amp;" "&amp;INDEX(Employees!$C$2:$C$37,MATCH(C7,Employees!$A$2:$A$37,0)),"")</f>
        <v>John Gonzalez</v>
      </c>
      <c r="N7" s="10">
        <f t="shared" si="2"/>
        <v>10</v>
      </c>
    </row>
    <row r="8" spans="1:14" ht="15" customHeight="1" x14ac:dyDescent="0.25">
      <c r="A8" s="10">
        <v>7</v>
      </c>
      <c r="B8" s="10">
        <v>51</v>
      </c>
      <c r="C8" s="10">
        <v>8</v>
      </c>
      <c r="D8" s="10" t="s">
        <v>754</v>
      </c>
      <c r="E8" s="10" t="s">
        <v>755</v>
      </c>
      <c r="F8" s="10" t="s">
        <v>14</v>
      </c>
      <c r="G8" s="10" t="s">
        <v>38</v>
      </c>
      <c r="H8" s="19">
        <f>SUMIF(OrderItems!$B$2:$B$1254,A8,OrderItems!$G$2:$G$1254)</f>
        <v>1366.0920000000001</v>
      </c>
      <c r="I8" s="19">
        <f>SUMIF(OrderItems!$B$2:$B$1254,A8,OrderItems!$K$2:$K$1254)</f>
        <v>1059.1000000000001</v>
      </c>
      <c r="J8" s="19">
        <f t="shared" si="0"/>
        <v>306.99199999999996</v>
      </c>
      <c r="K8" s="10" t="str">
        <f t="shared" si="1"/>
        <v>2024-10</v>
      </c>
      <c r="L8" s="10" t="str">
        <f>IFERROR(INDEX(Customers!$G$2:$G$61,MATCH(B8,Customers!$A$2:$A$61,0)),"")</f>
        <v>Consumer</v>
      </c>
      <c r="M8" s="10" t="str">
        <f>IFERROR(INDEX(Employees!$B$2:$B$37,MATCH(C8,Employees!$A$2:$A$37,0))&amp;" "&amp;INDEX(Employees!$C$2:$C$37,MATCH(C8,Employees!$A$2:$A$37,0)),"")</f>
        <v>John Gonzalez</v>
      </c>
      <c r="N8" s="10">
        <f t="shared" si="2"/>
        <v>3</v>
      </c>
    </row>
    <row r="9" spans="1:14" ht="15" customHeight="1" x14ac:dyDescent="0.25">
      <c r="A9" s="10">
        <v>8</v>
      </c>
      <c r="B9" s="10">
        <v>31</v>
      </c>
      <c r="C9" s="10">
        <v>10</v>
      </c>
      <c r="D9" s="10" t="s">
        <v>749</v>
      </c>
      <c r="E9" s="10" t="s">
        <v>756</v>
      </c>
      <c r="F9" s="10" t="s">
        <v>14</v>
      </c>
      <c r="G9" s="10" t="s">
        <v>39</v>
      </c>
      <c r="H9" s="19">
        <f>SUMIF(OrderItems!$B$2:$B$1254,A9,OrderItems!$G$2:$G$1254)</f>
        <v>4922.5039999999999</v>
      </c>
      <c r="I9" s="19">
        <f>SUMIF(OrderItems!$B$2:$B$1254,A9,OrderItems!$K$2:$K$1254)</f>
        <v>3231.42</v>
      </c>
      <c r="J9" s="19">
        <f t="shared" si="0"/>
        <v>1691.0839999999998</v>
      </c>
      <c r="K9" s="10" t="str">
        <f t="shared" si="1"/>
        <v>2025-01</v>
      </c>
      <c r="L9" s="10" t="str">
        <f>IFERROR(INDEX(Customers!$G$2:$G$61,MATCH(B9,Customers!$A$2:$A$61,0)),"")</f>
        <v>Consumer</v>
      </c>
      <c r="M9" s="10" t="str">
        <f>IFERROR(INDEX(Employees!$B$2:$B$37,MATCH(C9,Employees!$A$2:$A$37,0))&amp;" "&amp;INDEX(Employees!$C$2:$C$37,MATCH(C9,Employees!$A$2:$A$37,0)),"")</f>
        <v>John Moore</v>
      </c>
      <c r="N9" s="10">
        <f t="shared" si="2"/>
        <v>8</v>
      </c>
    </row>
    <row r="10" spans="1:14" ht="15" customHeight="1" x14ac:dyDescent="0.25">
      <c r="A10" s="10">
        <v>9</v>
      </c>
      <c r="B10" s="10">
        <v>31</v>
      </c>
      <c r="C10" s="10">
        <v>10</v>
      </c>
      <c r="D10" s="10" t="s">
        <v>757</v>
      </c>
      <c r="E10" s="10" t="s">
        <v>758</v>
      </c>
      <c r="F10" s="10" t="s">
        <v>14</v>
      </c>
      <c r="G10" s="10" t="s">
        <v>40</v>
      </c>
      <c r="H10" s="19">
        <f>SUMIF(OrderItems!$B$2:$B$1254,A10,OrderItems!$G$2:$G$1254)</f>
        <v>2252.3400000000006</v>
      </c>
      <c r="I10" s="19">
        <f>SUMIF(OrderItems!$B$2:$B$1254,A10,OrderItems!$K$2:$K$1254)</f>
        <v>1261.74</v>
      </c>
      <c r="J10" s="19">
        <f t="shared" si="0"/>
        <v>990.60000000000059</v>
      </c>
      <c r="K10" s="10" t="str">
        <f t="shared" si="1"/>
        <v>2025-05</v>
      </c>
      <c r="L10" s="10" t="str">
        <f>IFERROR(INDEX(Customers!$G$2:$G$61,MATCH(B10,Customers!$A$2:$A$61,0)),"")</f>
        <v>Consumer</v>
      </c>
      <c r="M10" s="10" t="str">
        <f>IFERROR(INDEX(Employees!$B$2:$B$37,MATCH(C10,Employees!$A$2:$A$37,0))&amp;" "&amp;INDEX(Employees!$C$2:$C$37,MATCH(C10,Employees!$A$2:$A$37,0)),"")</f>
        <v>John Moore</v>
      </c>
      <c r="N10" s="10">
        <f t="shared" si="2"/>
        <v>8</v>
      </c>
    </row>
    <row r="11" spans="1:14" ht="15" customHeight="1" x14ac:dyDescent="0.25">
      <c r="A11" s="10">
        <v>10</v>
      </c>
      <c r="B11" s="10">
        <v>9</v>
      </c>
      <c r="C11" s="10">
        <v>9</v>
      </c>
      <c r="D11" s="10" t="s">
        <v>759</v>
      </c>
      <c r="F11" s="10" t="s">
        <v>17</v>
      </c>
      <c r="G11" s="10" t="s">
        <v>39</v>
      </c>
      <c r="H11" s="19">
        <f>SUMIF(OrderItems!$B$2:$B$1254,A11,OrderItems!$G$2:$G$1254)</f>
        <v>5824.5535</v>
      </c>
      <c r="I11" s="19">
        <f>SUMIF(OrderItems!$B$2:$B$1254,A11,OrderItems!$K$2:$K$1254)</f>
        <v>3532.16</v>
      </c>
      <c r="J11" s="19">
        <f t="shared" si="0"/>
        <v>2292.3935000000001</v>
      </c>
      <c r="K11" s="10" t="str">
        <f t="shared" si="1"/>
        <v>2024-10</v>
      </c>
      <c r="L11" s="10" t="str">
        <f>IFERROR(INDEX(Customers!$G$2:$G$61,MATCH(B11,Customers!$A$2:$A$61,0)),"")</f>
        <v>Consumer</v>
      </c>
      <c r="M11" s="10" t="str">
        <f>IFERROR(INDEX(Employees!$B$2:$B$37,MATCH(C11,Employees!$A$2:$A$37,0))&amp;" "&amp;INDEX(Employees!$C$2:$C$37,MATCH(C11,Employees!$A$2:$A$37,0)),"")</f>
        <v>William Johnson</v>
      </c>
      <c r="N11" s="10" t="str">
        <f t="shared" si="2"/>
        <v/>
      </c>
    </row>
    <row r="12" spans="1:14" ht="15" customHeight="1" x14ac:dyDescent="0.25">
      <c r="A12" s="10">
        <v>11</v>
      </c>
      <c r="B12" s="10">
        <v>27</v>
      </c>
      <c r="C12" s="10">
        <v>9</v>
      </c>
      <c r="D12" s="10" t="s">
        <v>760</v>
      </c>
      <c r="F12" s="10" t="s">
        <v>17</v>
      </c>
      <c r="G12" s="10" t="s">
        <v>40</v>
      </c>
      <c r="H12" s="19">
        <f>SUMIF(OrderItems!$B$2:$B$1254,A12,OrderItems!$G$2:$G$1254)</f>
        <v>2320.2199999999998</v>
      </c>
      <c r="I12" s="19">
        <f>SUMIF(OrderItems!$B$2:$B$1254,A12,OrderItems!$K$2:$K$1254)</f>
        <v>1069.32</v>
      </c>
      <c r="J12" s="19">
        <f t="shared" si="0"/>
        <v>1250.8999999999999</v>
      </c>
      <c r="K12" s="10" t="str">
        <f t="shared" si="1"/>
        <v>2025-07</v>
      </c>
      <c r="L12" s="10" t="str">
        <f>IFERROR(INDEX(Customers!$G$2:$G$61,MATCH(B12,Customers!$A$2:$A$61,0)),"")</f>
        <v>Small Business</v>
      </c>
      <c r="M12" s="10" t="str">
        <f>IFERROR(INDEX(Employees!$B$2:$B$37,MATCH(C12,Employees!$A$2:$A$37,0))&amp;" "&amp;INDEX(Employees!$C$2:$C$37,MATCH(C12,Employees!$A$2:$A$37,0)),"")</f>
        <v>William Johnson</v>
      </c>
      <c r="N12" s="10" t="str">
        <f t="shared" si="2"/>
        <v/>
      </c>
    </row>
    <row r="13" spans="1:14" ht="15" customHeight="1" x14ac:dyDescent="0.25">
      <c r="A13" s="10">
        <v>12</v>
      </c>
      <c r="B13" s="10">
        <v>43</v>
      </c>
      <c r="C13" s="10">
        <v>9</v>
      </c>
      <c r="D13" s="10" t="s">
        <v>761</v>
      </c>
      <c r="E13" s="10" t="s">
        <v>762</v>
      </c>
      <c r="F13" s="10" t="s">
        <v>14</v>
      </c>
      <c r="G13" s="10" t="s">
        <v>36</v>
      </c>
      <c r="H13" s="19">
        <f>SUMIF(OrderItems!$B$2:$B$1254,A13,OrderItems!$G$2:$G$1254)</f>
        <v>792.49</v>
      </c>
      <c r="I13" s="19">
        <f>SUMIF(OrderItems!$B$2:$B$1254,A13,OrderItems!$K$2:$K$1254)</f>
        <v>420.58</v>
      </c>
      <c r="J13" s="19">
        <f t="shared" si="0"/>
        <v>371.91</v>
      </c>
      <c r="K13" s="10" t="str">
        <f t="shared" si="1"/>
        <v>2025-02</v>
      </c>
      <c r="L13" s="10" t="str">
        <f>IFERROR(INDEX(Customers!$G$2:$G$61,MATCH(B13,Customers!$A$2:$A$61,0)),"")</f>
        <v>Corporate</v>
      </c>
      <c r="M13" s="10" t="str">
        <f>IFERROR(INDEX(Employees!$B$2:$B$37,MATCH(C13,Employees!$A$2:$A$37,0))&amp;" "&amp;INDEX(Employees!$C$2:$C$37,MATCH(C13,Employees!$A$2:$A$37,0)),"")</f>
        <v>William Johnson</v>
      </c>
      <c r="N13" s="10">
        <f t="shared" si="2"/>
        <v>8</v>
      </c>
    </row>
    <row r="14" spans="1:14" ht="15" customHeight="1" x14ac:dyDescent="0.25">
      <c r="A14" s="10">
        <v>13</v>
      </c>
      <c r="B14" s="10">
        <v>52</v>
      </c>
      <c r="C14" s="10">
        <v>8</v>
      </c>
      <c r="D14" s="10" t="s">
        <v>763</v>
      </c>
      <c r="F14" s="10" t="s">
        <v>16</v>
      </c>
      <c r="G14" s="10" t="s">
        <v>36</v>
      </c>
      <c r="H14" s="19">
        <f>SUMIF(OrderItems!$B$2:$B$1254,A14,OrderItems!$G$2:$G$1254)</f>
        <v>4712.0200000000004</v>
      </c>
      <c r="I14" s="19">
        <f>SUMIF(OrderItems!$B$2:$B$1254,A14,OrderItems!$K$2:$K$1254)</f>
        <v>2295.63</v>
      </c>
      <c r="J14" s="19">
        <f t="shared" si="0"/>
        <v>2416.3900000000003</v>
      </c>
      <c r="K14" s="10" t="str">
        <f t="shared" si="1"/>
        <v>2023-05</v>
      </c>
      <c r="L14" s="10" t="str">
        <f>IFERROR(INDEX(Customers!$G$2:$G$61,MATCH(B14,Customers!$A$2:$A$61,0)),"")</f>
        <v>Corporate</v>
      </c>
      <c r="M14" s="10" t="str">
        <f>IFERROR(INDEX(Employees!$B$2:$B$37,MATCH(C14,Employees!$A$2:$A$37,0))&amp;" "&amp;INDEX(Employees!$C$2:$C$37,MATCH(C14,Employees!$A$2:$A$37,0)),"")</f>
        <v>John Gonzalez</v>
      </c>
      <c r="N14" s="10" t="str">
        <f t="shared" si="2"/>
        <v/>
      </c>
    </row>
    <row r="15" spans="1:14" ht="15" customHeight="1" x14ac:dyDescent="0.25">
      <c r="A15" s="10">
        <v>14</v>
      </c>
      <c r="B15" s="10">
        <v>15</v>
      </c>
      <c r="C15" s="10">
        <v>1</v>
      </c>
      <c r="D15" s="10" t="s">
        <v>764</v>
      </c>
      <c r="F15" s="10" t="s">
        <v>16</v>
      </c>
      <c r="G15" s="10" t="s">
        <v>36</v>
      </c>
      <c r="H15" s="19">
        <f>SUMIF(OrderItems!$B$2:$B$1254,A15,OrderItems!$G$2:$G$1254)</f>
        <v>6214.8060000000005</v>
      </c>
      <c r="I15" s="19">
        <f>SUMIF(OrderItems!$B$2:$B$1254,A15,OrderItems!$K$2:$K$1254)</f>
        <v>3146.8199999999997</v>
      </c>
      <c r="J15" s="19">
        <f t="shared" si="0"/>
        <v>3067.9860000000008</v>
      </c>
      <c r="K15" s="10" t="str">
        <f t="shared" si="1"/>
        <v>2024-12</v>
      </c>
      <c r="L15" s="10" t="str">
        <f>IFERROR(INDEX(Customers!$G$2:$G$61,MATCH(B15,Customers!$A$2:$A$61,0)),"")</f>
        <v>Small Business</v>
      </c>
      <c r="M15" s="10" t="str">
        <f>IFERROR(INDEX(Employees!$B$2:$B$37,MATCH(C15,Employees!$A$2:$A$37,0))&amp;" "&amp;INDEX(Employees!$C$2:$C$37,MATCH(C15,Employees!$A$2:$A$37,0)),"")</f>
        <v>Daniel Brown</v>
      </c>
      <c r="N15" s="10" t="str">
        <f t="shared" si="2"/>
        <v/>
      </c>
    </row>
    <row r="16" spans="1:14" ht="15" customHeight="1" x14ac:dyDescent="0.25">
      <c r="A16" s="10">
        <v>15</v>
      </c>
      <c r="B16" s="10">
        <v>18</v>
      </c>
      <c r="C16" s="10">
        <v>9</v>
      </c>
      <c r="D16" s="10" t="s">
        <v>765</v>
      </c>
      <c r="F16" s="10" t="s">
        <v>16</v>
      </c>
      <c r="G16" s="10" t="s">
        <v>36</v>
      </c>
      <c r="H16" s="19">
        <f>SUMIF(OrderItems!$B$2:$B$1254,A16,OrderItems!$G$2:$G$1254)</f>
        <v>3001.1885000000002</v>
      </c>
      <c r="I16" s="19">
        <f>SUMIF(OrderItems!$B$2:$B$1254,A16,OrderItems!$K$2:$K$1254)</f>
        <v>2086.16</v>
      </c>
      <c r="J16" s="19">
        <f t="shared" si="0"/>
        <v>915.02850000000035</v>
      </c>
      <c r="K16" s="10" t="str">
        <f t="shared" si="1"/>
        <v>2024-11</v>
      </c>
      <c r="L16" s="10" t="str">
        <f>IFERROR(INDEX(Customers!$G$2:$G$61,MATCH(B16,Customers!$A$2:$A$61,0)),"")</f>
        <v>Small Business</v>
      </c>
      <c r="M16" s="10" t="str">
        <f>IFERROR(INDEX(Employees!$B$2:$B$37,MATCH(C16,Employees!$A$2:$A$37,0))&amp;" "&amp;INDEX(Employees!$C$2:$C$37,MATCH(C16,Employees!$A$2:$A$37,0)),"")</f>
        <v>William Johnson</v>
      </c>
      <c r="N16" s="10" t="str">
        <f t="shared" si="2"/>
        <v/>
      </c>
    </row>
    <row r="17" spans="1:14" ht="15" customHeight="1" x14ac:dyDescent="0.25">
      <c r="A17" s="10">
        <v>16</v>
      </c>
      <c r="B17" s="10">
        <v>25</v>
      </c>
      <c r="C17" s="10">
        <v>10</v>
      </c>
      <c r="D17" s="10" t="s">
        <v>766</v>
      </c>
      <c r="F17" s="10" t="s">
        <v>16</v>
      </c>
      <c r="G17" s="10" t="s">
        <v>37</v>
      </c>
      <c r="H17" s="19">
        <f>SUMIF(OrderItems!$B$2:$B$1254,A17,OrderItems!$G$2:$G$1254)</f>
        <v>4664.9900000000007</v>
      </c>
      <c r="I17" s="19">
        <f>SUMIF(OrderItems!$B$2:$B$1254,A17,OrderItems!$K$2:$K$1254)</f>
        <v>3307.88</v>
      </c>
      <c r="J17" s="19">
        <f t="shared" si="0"/>
        <v>1357.1100000000006</v>
      </c>
      <c r="K17" s="10" t="str">
        <f t="shared" si="1"/>
        <v>2025-07</v>
      </c>
      <c r="L17" s="10" t="str">
        <f>IFERROR(INDEX(Customers!$G$2:$G$61,MATCH(B17,Customers!$A$2:$A$61,0)),"")</f>
        <v>Small Business</v>
      </c>
      <c r="M17" s="10" t="str">
        <f>IFERROR(INDEX(Employees!$B$2:$B$37,MATCH(C17,Employees!$A$2:$A$37,0))&amp;" "&amp;INDEX(Employees!$C$2:$C$37,MATCH(C17,Employees!$A$2:$A$37,0)),"")</f>
        <v>John Moore</v>
      </c>
      <c r="N17" s="10" t="str">
        <f t="shared" si="2"/>
        <v/>
      </c>
    </row>
    <row r="18" spans="1:14" ht="15" customHeight="1" x14ac:dyDescent="0.25">
      <c r="A18" s="10">
        <v>17</v>
      </c>
      <c r="B18" s="10">
        <v>18</v>
      </c>
      <c r="C18" s="10">
        <v>10</v>
      </c>
      <c r="D18" s="10" t="s">
        <v>767</v>
      </c>
      <c r="E18" s="10" t="s">
        <v>768</v>
      </c>
      <c r="F18" s="10" t="s">
        <v>15</v>
      </c>
      <c r="G18" s="10" t="s">
        <v>40</v>
      </c>
      <c r="H18" s="19">
        <f>SUMIF(OrderItems!$B$2:$B$1254,A18,OrderItems!$G$2:$G$1254)</f>
        <v>3309.6049999999996</v>
      </c>
      <c r="I18" s="19">
        <f>SUMIF(OrderItems!$B$2:$B$1254,A18,OrderItems!$K$2:$K$1254)</f>
        <v>1993.96</v>
      </c>
      <c r="J18" s="19">
        <f t="shared" si="0"/>
        <v>1315.6449999999995</v>
      </c>
      <c r="K18" s="10" t="str">
        <f t="shared" si="1"/>
        <v>2025-05</v>
      </c>
      <c r="L18" s="10" t="str">
        <f>IFERROR(INDEX(Customers!$G$2:$G$61,MATCH(B18,Customers!$A$2:$A$61,0)),"")</f>
        <v>Small Business</v>
      </c>
      <c r="M18" s="10" t="str">
        <f>IFERROR(INDEX(Employees!$B$2:$B$37,MATCH(C18,Employees!$A$2:$A$37,0))&amp;" "&amp;INDEX(Employees!$C$2:$C$37,MATCH(C18,Employees!$A$2:$A$37,0)),"")</f>
        <v>John Moore</v>
      </c>
      <c r="N18" s="10">
        <f t="shared" si="2"/>
        <v>10</v>
      </c>
    </row>
    <row r="19" spans="1:14" ht="15" customHeight="1" x14ac:dyDescent="0.25">
      <c r="A19" s="10">
        <v>18</v>
      </c>
      <c r="B19" s="10">
        <v>39</v>
      </c>
      <c r="C19" s="10">
        <v>1</v>
      </c>
      <c r="D19" s="10" t="s">
        <v>769</v>
      </c>
      <c r="E19" s="10" t="s">
        <v>770</v>
      </c>
      <c r="F19" s="10" t="s">
        <v>14</v>
      </c>
      <c r="G19" s="10" t="s">
        <v>37</v>
      </c>
      <c r="H19" s="19">
        <f>SUMIF(OrderItems!$B$2:$B$1254,A19,OrderItems!$G$2:$G$1254)</f>
        <v>1201.5</v>
      </c>
      <c r="I19" s="19">
        <f>SUMIF(OrderItems!$B$2:$B$1254,A19,OrderItems!$K$2:$K$1254)</f>
        <v>542.14</v>
      </c>
      <c r="J19" s="19">
        <f t="shared" si="0"/>
        <v>659.36</v>
      </c>
      <c r="K19" s="10" t="str">
        <f t="shared" si="1"/>
        <v>2023-01</v>
      </c>
      <c r="L19" s="10" t="str">
        <f>IFERROR(INDEX(Customers!$G$2:$G$61,MATCH(B19,Customers!$A$2:$A$61,0)),"")</f>
        <v>Consumer</v>
      </c>
      <c r="M19" s="10" t="str">
        <f>IFERROR(INDEX(Employees!$B$2:$B$37,MATCH(C19,Employees!$A$2:$A$37,0))&amp;" "&amp;INDEX(Employees!$C$2:$C$37,MATCH(C19,Employees!$A$2:$A$37,0)),"")</f>
        <v>Daniel Brown</v>
      </c>
      <c r="N19" s="10">
        <f t="shared" si="2"/>
        <v>5</v>
      </c>
    </row>
    <row r="20" spans="1:14" ht="15" customHeight="1" x14ac:dyDescent="0.25">
      <c r="A20" s="10">
        <v>19</v>
      </c>
      <c r="B20" s="10">
        <v>12</v>
      </c>
      <c r="C20" s="10">
        <v>8</v>
      </c>
      <c r="D20" s="10" t="s">
        <v>771</v>
      </c>
      <c r="E20" s="10" t="s">
        <v>772</v>
      </c>
      <c r="F20" s="10" t="s">
        <v>14</v>
      </c>
      <c r="G20" s="10" t="s">
        <v>39</v>
      </c>
      <c r="H20" s="19">
        <f>SUMIF(OrderItems!$B$2:$B$1254,A20,OrderItems!$G$2:$G$1254)</f>
        <v>1421.3825000000002</v>
      </c>
      <c r="I20" s="19">
        <f>SUMIF(OrderItems!$B$2:$B$1254,A20,OrderItems!$K$2:$K$1254)</f>
        <v>816.94</v>
      </c>
      <c r="J20" s="19">
        <f t="shared" si="0"/>
        <v>604.44250000000011</v>
      </c>
      <c r="K20" s="10" t="str">
        <f t="shared" si="1"/>
        <v>2025-02</v>
      </c>
      <c r="L20" s="10" t="str">
        <f>IFERROR(INDEX(Customers!$G$2:$G$61,MATCH(B20,Customers!$A$2:$A$61,0)),"")</f>
        <v>Small Business</v>
      </c>
      <c r="M20" s="10" t="str">
        <f>IFERROR(INDEX(Employees!$B$2:$B$37,MATCH(C20,Employees!$A$2:$A$37,0))&amp;" "&amp;INDEX(Employees!$C$2:$C$37,MATCH(C20,Employees!$A$2:$A$37,0)),"")</f>
        <v>John Gonzalez</v>
      </c>
      <c r="N20" s="10">
        <f t="shared" si="2"/>
        <v>9</v>
      </c>
    </row>
    <row r="21" spans="1:14" ht="15" customHeight="1" x14ac:dyDescent="0.25">
      <c r="A21" s="10">
        <v>20</v>
      </c>
      <c r="B21" s="10">
        <v>37</v>
      </c>
      <c r="C21" s="10">
        <v>10</v>
      </c>
      <c r="D21" s="10" t="s">
        <v>773</v>
      </c>
      <c r="E21" s="10" t="s">
        <v>774</v>
      </c>
      <c r="F21" s="10" t="s">
        <v>18</v>
      </c>
      <c r="G21" s="10" t="s">
        <v>40</v>
      </c>
      <c r="H21" s="19">
        <f>SUMIF(OrderItems!$B$2:$B$1254,A21,OrderItems!$G$2:$G$1254)</f>
        <v>888</v>
      </c>
      <c r="I21" s="19">
        <f>SUMIF(OrderItems!$B$2:$B$1254,A21,OrderItems!$K$2:$K$1254)</f>
        <v>682.2</v>
      </c>
      <c r="J21" s="19">
        <f t="shared" si="0"/>
        <v>205.79999999999995</v>
      </c>
      <c r="K21" s="10" t="str">
        <f t="shared" si="1"/>
        <v>2025-05</v>
      </c>
      <c r="L21" s="10" t="str">
        <f>IFERROR(INDEX(Customers!$G$2:$G$61,MATCH(B21,Customers!$A$2:$A$61,0)),"")</f>
        <v>Corporate</v>
      </c>
      <c r="M21" s="10" t="str">
        <f>IFERROR(INDEX(Employees!$B$2:$B$37,MATCH(C21,Employees!$A$2:$A$37,0))&amp;" "&amp;INDEX(Employees!$C$2:$C$37,MATCH(C21,Employees!$A$2:$A$37,0)),"")</f>
        <v>John Moore</v>
      </c>
      <c r="N21" s="10">
        <f t="shared" si="2"/>
        <v>2</v>
      </c>
    </row>
    <row r="22" spans="1:14" ht="15" customHeight="1" x14ac:dyDescent="0.25">
      <c r="A22" s="10">
        <v>21</v>
      </c>
      <c r="B22" s="10">
        <v>54</v>
      </c>
      <c r="C22" s="10">
        <v>9</v>
      </c>
      <c r="D22" s="10" t="s">
        <v>775</v>
      </c>
      <c r="F22" s="10" t="s">
        <v>17</v>
      </c>
      <c r="G22" s="10" t="s">
        <v>36</v>
      </c>
      <c r="H22" s="19">
        <f>SUMIF(OrderItems!$B$2:$B$1254,A22,OrderItems!$G$2:$G$1254)</f>
        <v>3516.547</v>
      </c>
      <c r="I22" s="19">
        <f>SUMIF(OrderItems!$B$2:$B$1254,A22,OrderItems!$K$2:$K$1254)</f>
        <v>2134.38</v>
      </c>
      <c r="J22" s="19">
        <f t="shared" si="0"/>
        <v>1382.1669999999999</v>
      </c>
      <c r="K22" s="10" t="str">
        <f t="shared" si="1"/>
        <v>2023-06</v>
      </c>
      <c r="L22" s="10" t="str">
        <f>IFERROR(INDEX(Customers!$G$2:$G$61,MATCH(B22,Customers!$A$2:$A$61,0)),"")</f>
        <v>Corporate</v>
      </c>
      <c r="M22" s="10" t="str">
        <f>IFERROR(INDEX(Employees!$B$2:$B$37,MATCH(C22,Employees!$A$2:$A$37,0))&amp;" "&amp;INDEX(Employees!$C$2:$C$37,MATCH(C22,Employees!$A$2:$A$37,0)),"")</f>
        <v>William Johnson</v>
      </c>
      <c r="N22" s="10" t="str">
        <f t="shared" si="2"/>
        <v/>
      </c>
    </row>
    <row r="23" spans="1:14" ht="15" customHeight="1" x14ac:dyDescent="0.25">
      <c r="A23" s="10">
        <v>22</v>
      </c>
      <c r="B23" s="10">
        <v>56</v>
      </c>
      <c r="C23" s="10">
        <v>9</v>
      </c>
      <c r="D23" s="10" t="s">
        <v>765</v>
      </c>
      <c r="E23" s="10" t="s">
        <v>776</v>
      </c>
      <c r="F23" s="10" t="s">
        <v>14</v>
      </c>
      <c r="G23" s="10" t="s">
        <v>37</v>
      </c>
      <c r="H23" s="19">
        <f>SUMIF(OrderItems!$B$2:$B$1254,A23,OrderItems!$G$2:$G$1254)</f>
        <v>280.584</v>
      </c>
      <c r="I23" s="19">
        <f>SUMIF(OrderItems!$B$2:$B$1254,A23,OrderItems!$K$2:$K$1254)</f>
        <v>150.18</v>
      </c>
      <c r="J23" s="19">
        <f t="shared" si="0"/>
        <v>130.404</v>
      </c>
      <c r="K23" s="10" t="str">
        <f t="shared" si="1"/>
        <v>2024-11</v>
      </c>
      <c r="L23" s="10" t="str">
        <f>IFERROR(INDEX(Customers!$G$2:$G$61,MATCH(B23,Customers!$A$2:$A$61,0)),"")</f>
        <v>Consumer</v>
      </c>
      <c r="M23" s="10" t="str">
        <f>IFERROR(INDEX(Employees!$B$2:$B$37,MATCH(C23,Employees!$A$2:$A$37,0))&amp;" "&amp;INDEX(Employees!$C$2:$C$37,MATCH(C23,Employees!$A$2:$A$37,0)),"")</f>
        <v>William Johnson</v>
      </c>
      <c r="N23" s="10">
        <f t="shared" si="2"/>
        <v>6</v>
      </c>
    </row>
    <row r="24" spans="1:14" ht="15" customHeight="1" x14ac:dyDescent="0.25">
      <c r="A24" s="10">
        <v>23</v>
      </c>
      <c r="B24" s="10">
        <v>58</v>
      </c>
      <c r="C24" s="10">
        <v>9</v>
      </c>
      <c r="D24" s="10" t="s">
        <v>777</v>
      </c>
      <c r="E24" s="10" t="s">
        <v>778</v>
      </c>
      <c r="F24" s="10" t="s">
        <v>14</v>
      </c>
      <c r="G24" s="10" t="s">
        <v>36</v>
      </c>
      <c r="H24" s="19">
        <f>SUMIF(OrderItems!$B$2:$B$1254,A24,OrderItems!$G$2:$G$1254)</f>
        <v>1795.527</v>
      </c>
      <c r="I24" s="19">
        <f>SUMIF(OrderItems!$B$2:$B$1254,A24,OrderItems!$K$2:$K$1254)</f>
        <v>966.75</v>
      </c>
      <c r="J24" s="19">
        <f t="shared" si="0"/>
        <v>828.77700000000004</v>
      </c>
      <c r="K24" s="10" t="str">
        <f t="shared" si="1"/>
        <v>2024-12</v>
      </c>
      <c r="L24" s="10" t="str">
        <f>IFERROR(INDEX(Customers!$G$2:$G$61,MATCH(B24,Customers!$A$2:$A$61,0)),"")</f>
        <v>Consumer</v>
      </c>
      <c r="M24" s="10" t="str">
        <f>IFERROR(INDEX(Employees!$B$2:$B$37,MATCH(C24,Employees!$A$2:$A$37,0))&amp;" "&amp;INDEX(Employees!$C$2:$C$37,MATCH(C24,Employees!$A$2:$A$37,0)),"")</f>
        <v>William Johnson</v>
      </c>
      <c r="N24" s="10">
        <f t="shared" si="2"/>
        <v>4</v>
      </c>
    </row>
    <row r="25" spans="1:14" ht="15" customHeight="1" x14ac:dyDescent="0.25">
      <c r="A25" s="10">
        <v>24</v>
      </c>
      <c r="B25" s="10">
        <v>12</v>
      </c>
      <c r="C25" s="10">
        <v>10</v>
      </c>
      <c r="D25" s="10" t="s">
        <v>779</v>
      </c>
      <c r="E25" s="10" t="s">
        <v>780</v>
      </c>
      <c r="F25" s="10" t="s">
        <v>15</v>
      </c>
      <c r="G25" s="10" t="s">
        <v>39</v>
      </c>
      <c r="H25" s="19">
        <f>SUMIF(OrderItems!$B$2:$B$1254,A25,OrderItems!$G$2:$G$1254)</f>
        <v>8015.6959999999999</v>
      </c>
      <c r="I25" s="19">
        <f>SUMIF(OrderItems!$B$2:$B$1254,A25,OrderItems!$K$2:$K$1254)</f>
        <v>4105.51</v>
      </c>
      <c r="J25" s="19">
        <f t="shared" si="0"/>
        <v>3910.1859999999997</v>
      </c>
      <c r="K25" s="10" t="str">
        <f t="shared" si="1"/>
        <v>2025-08</v>
      </c>
      <c r="L25" s="10" t="str">
        <f>IFERROR(INDEX(Customers!$G$2:$G$61,MATCH(B25,Customers!$A$2:$A$61,0)),"")</f>
        <v>Small Business</v>
      </c>
      <c r="M25" s="10" t="str">
        <f>IFERROR(INDEX(Employees!$B$2:$B$37,MATCH(C25,Employees!$A$2:$A$37,0))&amp;" "&amp;INDEX(Employees!$C$2:$C$37,MATCH(C25,Employees!$A$2:$A$37,0)),"")</f>
        <v>John Moore</v>
      </c>
      <c r="N25" s="10">
        <f t="shared" si="2"/>
        <v>10</v>
      </c>
    </row>
    <row r="26" spans="1:14" ht="15" customHeight="1" x14ac:dyDescent="0.25">
      <c r="A26" s="10">
        <v>25</v>
      </c>
      <c r="B26" s="10">
        <v>20</v>
      </c>
      <c r="C26" s="10">
        <v>10</v>
      </c>
      <c r="D26" s="10" t="s">
        <v>781</v>
      </c>
      <c r="E26" s="10" t="s">
        <v>782</v>
      </c>
      <c r="F26" s="10" t="s">
        <v>14</v>
      </c>
      <c r="G26" s="10" t="s">
        <v>38</v>
      </c>
      <c r="H26" s="19">
        <f>SUMIF(OrderItems!$B$2:$B$1254,A26,OrderItems!$G$2:$G$1254)</f>
        <v>6102.5264999999999</v>
      </c>
      <c r="I26" s="19">
        <f>SUMIF(OrderItems!$B$2:$B$1254,A26,OrderItems!$K$2:$K$1254)</f>
        <v>3846.0800000000004</v>
      </c>
      <c r="J26" s="19">
        <f t="shared" si="0"/>
        <v>2256.4464999999996</v>
      </c>
      <c r="K26" s="10" t="str">
        <f t="shared" si="1"/>
        <v>2025-07</v>
      </c>
      <c r="L26" s="10" t="str">
        <f>IFERROR(INDEX(Customers!$G$2:$G$61,MATCH(B26,Customers!$A$2:$A$61,0)),"")</f>
        <v>Corporate</v>
      </c>
      <c r="M26" s="10" t="str">
        <f>IFERROR(INDEX(Employees!$B$2:$B$37,MATCH(C26,Employees!$A$2:$A$37,0))&amp;" "&amp;INDEX(Employees!$C$2:$C$37,MATCH(C26,Employees!$A$2:$A$37,0)),"")</f>
        <v>John Moore</v>
      </c>
      <c r="N26" s="10">
        <f t="shared" si="2"/>
        <v>1</v>
      </c>
    </row>
    <row r="27" spans="1:14" ht="15" customHeight="1" x14ac:dyDescent="0.25">
      <c r="A27" s="10">
        <v>26</v>
      </c>
      <c r="B27" s="10">
        <v>29</v>
      </c>
      <c r="C27" s="10">
        <v>8</v>
      </c>
      <c r="D27" s="10" t="s">
        <v>783</v>
      </c>
      <c r="E27" s="10" t="s">
        <v>784</v>
      </c>
      <c r="F27" s="10" t="s">
        <v>15</v>
      </c>
      <c r="G27" s="10" t="s">
        <v>37</v>
      </c>
      <c r="H27" s="19">
        <f>SUMIF(OrderItems!$B$2:$B$1254,A27,OrderItems!$G$2:$G$1254)</f>
        <v>621.68000000000006</v>
      </c>
      <c r="I27" s="19">
        <f>SUMIF(OrderItems!$B$2:$B$1254,A27,OrderItems!$K$2:$K$1254)</f>
        <v>407.9</v>
      </c>
      <c r="J27" s="19">
        <f t="shared" si="0"/>
        <v>213.78000000000009</v>
      </c>
      <c r="K27" s="10" t="str">
        <f t="shared" si="1"/>
        <v>2024-10</v>
      </c>
      <c r="L27" s="10" t="str">
        <f>IFERROR(INDEX(Customers!$G$2:$G$61,MATCH(B27,Customers!$A$2:$A$61,0)),"")</f>
        <v>Consumer</v>
      </c>
      <c r="M27" s="10" t="str">
        <f>IFERROR(INDEX(Employees!$B$2:$B$37,MATCH(C27,Employees!$A$2:$A$37,0))&amp;" "&amp;INDEX(Employees!$C$2:$C$37,MATCH(C27,Employees!$A$2:$A$37,0)),"")</f>
        <v>John Gonzalez</v>
      </c>
      <c r="N27" s="10">
        <f t="shared" si="2"/>
        <v>9</v>
      </c>
    </row>
    <row r="28" spans="1:14" ht="15" customHeight="1" x14ac:dyDescent="0.25">
      <c r="A28" s="10">
        <v>27</v>
      </c>
      <c r="B28" s="10">
        <v>3</v>
      </c>
      <c r="C28" s="10">
        <v>8</v>
      </c>
      <c r="D28" s="10" t="s">
        <v>565</v>
      </c>
      <c r="E28" s="10" t="s">
        <v>785</v>
      </c>
      <c r="F28" s="10" t="s">
        <v>15</v>
      </c>
      <c r="G28" s="10" t="s">
        <v>39</v>
      </c>
      <c r="H28" s="19">
        <f>SUMIF(OrderItems!$B$2:$B$1254,A28,OrderItems!$G$2:$G$1254)</f>
        <v>8595.7010000000009</v>
      </c>
      <c r="I28" s="19">
        <f>SUMIF(OrderItems!$B$2:$B$1254,A28,OrderItems!$K$2:$K$1254)</f>
        <v>4781.8900000000003</v>
      </c>
      <c r="J28" s="19">
        <f t="shared" si="0"/>
        <v>3813.8110000000006</v>
      </c>
      <c r="K28" s="10" t="str">
        <f t="shared" si="1"/>
        <v>2025-06</v>
      </c>
      <c r="L28" s="10" t="str">
        <f>IFERROR(INDEX(Customers!$G$2:$G$61,MATCH(B28,Customers!$A$2:$A$61,0)),"")</f>
        <v>Consumer</v>
      </c>
      <c r="M28" s="10" t="str">
        <f>IFERROR(INDEX(Employees!$B$2:$B$37,MATCH(C28,Employees!$A$2:$A$37,0))&amp;" "&amp;INDEX(Employees!$C$2:$C$37,MATCH(C28,Employees!$A$2:$A$37,0)),"")</f>
        <v>John Gonzalez</v>
      </c>
      <c r="N28" s="10">
        <f t="shared" si="2"/>
        <v>9</v>
      </c>
    </row>
    <row r="29" spans="1:14" ht="15" customHeight="1" x14ac:dyDescent="0.25">
      <c r="A29" s="10">
        <v>28</v>
      </c>
      <c r="B29" s="10">
        <v>22</v>
      </c>
      <c r="C29" s="10">
        <v>1</v>
      </c>
      <c r="D29" s="10" t="s">
        <v>786</v>
      </c>
      <c r="F29" s="10" t="s">
        <v>16</v>
      </c>
      <c r="G29" s="10" t="s">
        <v>38</v>
      </c>
      <c r="H29" s="19">
        <f>SUMIF(OrderItems!$B$2:$B$1254,A29,OrderItems!$G$2:$G$1254)</f>
        <v>3423.8820000000001</v>
      </c>
      <c r="I29" s="19">
        <f>SUMIF(OrderItems!$B$2:$B$1254,A29,OrderItems!$K$2:$K$1254)</f>
        <v>2113.16</v>
      </c>
      <c r="J29" s="19">
        <f t="shared" si="0"/>
        <v>1310.7220000000002</v>
      </c>
      <c r="K29" s="10" t="str">
        <f t="shared" si="1"/>
        <v>2023-10</v>
      </c>
      <c r="L29" s="10" t="str">
        <f>IFERROR(INDEX(Customers!$G$2:$G$61,MATCH(B29,Customers!$A$2:$A$61,0)),"")</f>
        <v>Small Business</v>
      </c>
      <c r="M29" s="10" t="str">
        <f>IFERROR(INDEX(Employees!$B$2:$B$37,MATCH(C29,Employees!$A$2:$A$37,0))&amp;" "&amp;INDEX(Employees!$C$2:$C$37,MATCH(C29,Employees!$A$2:$A$37,0)),"")</f>
        <v>Daniel Brown</v>
      </c>
      <c r="N29" s="10" t="str">
        <f t="shared" si="2"/>
        <v/>
      </c>
    </row>
    <row r="30" spans="1:14" ht="15" customHeight="1" x14ac:dyDescent="0.25">
      <c r="A30" s="10">
        <v>29</v>
      </c>
      <c r="B30" s="10">
        <v>33</v>
      </c>
      <c r="C30" s="10">
        <v>9</v>
      </c>
      <c r="D30" s="10" t="s">
        <v>787</v>
      </c>
      <c r="F30" s="10" t="s">
        <v>16</v>
      </c>
      <c r="G30" s="10" t="s">
        <v>38</v>
      </c>
      <c r="H30" s="19">
        <f>SUMIF(OrderItems!$B$2:$B$1254,A30,OrderItems!$G$2:$G$1254)</f>
        <v>1646.56</v>
      </c>
      <c r="I30" s="19">
        <f>SUMIF(OrderItems!$B$2:$B$1254,A30,OrderItems!$K$2:$K$1254)</f>
        <v>1130.08</v>
      </c>
      <c r="J30" s="19">
        <f t="shared" si="0"/>
        <v>516.48</v>
      </c>
      <c r="K30" s="10" t="str">
        <f t="shared" si="1"/>
        <v>2023-02</v>
      </c>
      <c r="L30" s="10" t="str">
        <f>IFERROR(INDEX(Customers!$G$2:$G$61,MATCH(B30,Customers!$A$2:$A$61,0)),"")</f>
        <v>Consumer</v>
      </c>
      <c r="M30" s="10" t="str">
        <f>IFERROR(INDEX(Employees!$B$2:$B$37,MATCH(C30,Employees!$A$2:$A$37,0))&amp;" "&amp;INDEX(Employees!$C$2:$C$37,MATCH(C30,Employees!$A$2:$A$37,0)),"")</f>
        <v>William Johnson</v>
      </c>
      <c r="N30" s="10" t="str">
        <f t="shared" si="2"/>
        <v/>
      </c>
    </row>
    <row r="31" spans="1:14" ht="15" customHeight="1" x14ac:dyDescent="0.25">
      <c r="A31" s="10">
        <v>30</v>
      </c>
      <c r="B31" s="10">
        <v>55</v>
      </c>
      <c r="C31" s="10">
        <v>1</v>
      </c>
      <c r="D31" s="10" t="s">
        <v>788</v>
      </c>
      <c r="E31" s="10" t="s">
        <v>789</v>
      </c>
      <c r="F31" s="10" t="s">
        <v>14</v>
      </c>
      <c r="G31" s="10" t="s">
        <v>39</v>
      </c>
      <c r="H31" s="19">
        <f>SUMIF(OrderItems!$B$2:$B$1254,A31,OrderItems!$G$2:$G$1254)</f>
        <v>334.98</v>
      </c>
      <c r="I31" s="19">
        <f>SUMIF(OrderItems!$B$2:$B$1254,A31,OrderItems!$K$2:$K$1254)</f>
        <v>177.75</v>
      </c>
      <c r="J31" s="19">
        <f t="shared" si="0"/>
        <v>157.23000000000002</v>
      </c>
      <c r="K31" s="10" t="str">
        <f t="shared" si="1"/>
        <v>2025-11</v>
      </c>
      <c r="L31" s="10" t="str">
        <f>IFERROR(INDEX(Customers!$G$2:$G$61,MATCH(B31,Customers!$A$2:$A$61,0)),"")</f>
        <v>Consumer</v>
      </c>
      <c r="M31" s="10" t="str">
        <f>IFERROR(INDEX(Employees!$B$2:$B$37,MATCH(C31,Employees!$A$2:$A$37,0))&amp;" "&amp;INDEX(Employees!$C$2:$C$37,MATCH(C31,Employees!$A$2:$A$37,0)),"")</f>
        <v>Daniel Brown</v>
      </c>
      <c r="N31" s="10">
        <f t="shared" si="2"/>
        <v>6</v>
      </c>
    </row>
    <row r="32" spans="1:14" ht="15" customHeight="1" x14ac:dyDescent="0.25">
      <c r="A32" s="10">
        <v>31</v>
      </c>
      <c r="B32" s="10">
        <v>47</v>
      </c>
      <c r="C32" s="10">
        <v>10</v>
      </c>
      <c r="D32" s="10" t="s">
        <v>790</v>
      </c>
      <c r="F32" s="10" t="s">
        <v>17</v>
      </c>
      <c r="G32" s="10" t="s">
        <v>38</v>
      </c>
      <c r="H32" s="19">
        <f>SUMIF(OrderItems!$B$2:$B$1254,A32,OrderItems!$G$2:$G$1254)</f>
        <v>4387.6399999999994</v>
      </c>
      <c r="I32" s="19">
        <f>SUMIF(OrderItems!$B$2:$B$1254,A32,OrderItems!$K$2:$K$1254)</f>
        <v>2796.38</v>
      </c>
      <c r="J32" s="19">
        <f t="shared" si="0"/>
        <v>1591.2599999999993</v>
      </c>
      <c r="K32" s="10" t="str">
        <f t="shared" si="1"/>
        <v>2023-03</v>
      </c>
      <c r="L32" s="10" t="str">
        <f>IFERROR(INDEX(Customers!$G$2:$G$61,MATCH(B32,Customers!$A$2:$A$61,0)),"")</f>
        <v>Corporate</v>
      </c>
      <c r="M32" s="10" t="str">
        <f>IFERROR(INDEX(Employees!$B$2:$B$37,MATCH(C32,Employees!$A$2:$A$37,0))&amp;" "&amp;INDEX(Employees!$C$2:$C$37,MATCH(C32,Employees!$A$2:$A$37,0)),"")</f>
        <v>John Moore</v>
      </c>
      <c r="N32" s="10" t="str">
        <f t="shared" si="2"/>
        <v/>
      </c>
    </row>
    <row r="33" spans="1:14" ht="15" customHeight="1" x14ac:dyDescent="0.25">
      <c r="A33" s="10">
        <v>32</v>
      </c>
      <c r="B33" s="10">
        <v>35</v>
      </c>
      <c r="C33" s="10">
        <v>8</v>
      </c>
      <c r="D33" s="10" t="s">
        <v>791</v>
      </c>
      <c r="E33" s="10" t="s">
        <v>792</v>
      </c>
      <c r="F33" s="10" t="s">
        <v>15</v>
      </c>
      <c r="G33" s="10" t="s">
        <v>38</v>
      </c>
      <c r="H33" s="19">
        <f>SUMIF(OrderItems!$B$2:$B$1254,A33,OrderItems!$G$2:$G$1254)</f>
        <v>9700.49</v>
      </c>
      <c r="I33" s="19">
        <f>SUMIF(OrderItems!$B$2:$B$1254,A33,OrderItems!$K$2:$K$1254)</f>
        <v>6070.53</v>
      </c>
      <c r="J33" s="19">
        <f t="shared" si="0"/>
        <v>3629.96</v>
      </c>
      <c r="K33" s="10" t="str">
        <f t="shared" si="1"/>
        <v>2024-09</v>
      </c>
      <c r="L33" s="10" t="str">
        <f>IFERROR(INDEX(Customers!$G$2:$G$61,MATCH(B33,Customers!$A$2:$A$61,0)),"")</f>
        <v>Consumer</v>
      </c>
      <c r="M33" s="10" t="str">
        <f>IFERROR(INDEX(Employees!$B$2:$B$37,MATCH(C33,Employees!$A$2:$A$37,0))&amp;" "&amp;INDEX(Employees!$C$2:$C$37,MATCH(C33,Employees!$A$2:$A$37,0)),"")</f>
        <v>John Gonzalez</v>
      </c>
      <c r="N33" s="10">
        <f t="shared" si="2"/>
        <v>4</v>
      </c>
    </row>
    <row r="34" spans="1:14" ht="15" customHeight="1" x14ac:dyDescent="0.25">
      <c r="A34" s="10">
        <v>33</v>
      </c>
      <c r="B34" s="10">
        <v>56</v>
      </c>
      <c r="C34" s="10">
        <v>9</v>
      </c>
      <c r="D34" s="10" t="s">
        <v>793</v>
      </c>
      <c r="E34" s="10" t="s">
        <v>794</v>
      </c>
      <c r="F34" s="10" t="s">
        <v>14</v>
      </c>
      <c r="G34" s="10" t="s">
        <v>36</v>
      </c>
      <c r="H34" s="19">
        <f>SUMIF(OrderItems!$B$2:$B$1254,A34,OrderItems!$G$2:$G$1254)</f>
        <v>4664.93</v>
      </c>
      <c r="I34" s="19">
        <f>SUMIF(OrderItems!$B$2:$B$1254,A34,OrderItems!$K$2:$K$1254)</f>
        <v>2642.02</v>
      </c>
      <c r="J34" s="19">
        <f t="shared" si="0"/>
        <v>2022.9100000000003</v>
      </c>
      <c r="K34" s="10" t="str">
        <f t="shared" si="1"/>
        <v>2023-07</v>
      </c>
      <c r="L34" s="10" t="str">
        <f>IFERROR(INDEX(Customers!$G$2:$G$61,MATCH(B34,Customers!$A$2:$A$61,0)),"")</f>
        <v>Consumer</v>
      </c>
      <c r="M34" s="10" t="str">
        <f>IFERROR(INDEX(Employees!$B$2:$B$37,MATCH(C34,Employees!$A$2:$A$37,0))&amp;" "&amp;INDEX(Employees!$C$2:$C$37,MATCH(C34,Employees!$A$2:$A$37,0)),"")</f>
        <v>William Johnson</v>
      </c>
      <c r="N34" s="10">
        <f t="shared" si="2"/>
        <v>5</v>
      </c>
    </row>
    <row r="35" spans="1:14" ht="15" customHeight="1" x14ac:dyDescent="0.25">
      <c r="A35" s="10">
        <v>34</v>
      </c>
      <c r="B35" s="10">
        <v>57</v>
      </c>
      <c r="C35" s="10">
        <v>9</v>
      </c>
      <c r="D35" s="10" t="s">
        <v>795</v>
      </c>
      <c r="F35" s="10" t="s">
        <v>17</v>
      </c>
      <c r="G35" s="10" t="s">
        <v>36</v>
      </c>
      <c r="H35" s="19">
        <f>SUMIF(OrderItems!$B$2:$B$1254,A35,OrderItems!$G$2:$G$1254)</f>
        <v>3687.4800000000005</v>
      </c>
      <c r="I35" s="19">
        <f>SUMIF(OrderItems!$B$2:$B$1254,A35,OrderItems!$K$2:$K$1254)</f>
        <v>2439.7799999999997</v>
      </c>
      <c r="J35" s="19">
        <f t="shared" si="0"/>
        <v>1247.7000000000007</v>
      </c>
      <c r="K35" s="10" t="str">
        <f t="shared" si="1"/>
        <v>2023-02</v>
      </c>
      <c r="L35" s="10" t="str">
        <f>IFERROR(INDEX(Customers!$G$2:$G$61,MATCH(B35,Customers!$A$2:$A$61,0)),"")</f>
        <v>Small Business</v>
      </c>
      <c r="M35" s="10" t="str">
        <f>IFERROR(INDEX(Employees!$B$2:$B$37,MATCH(C35,Employees!$A$2:$A$37,0))&amp;" "&amp;INDEX(Employees!$C$2:$C$37,MATCH(C35,Employees!$A$2:$A$37,0)),"")</f>
        <v>William Johnson</v>
      </c>
      <c r="N35" s="10" t="str">
        <f t="shared" si="2"/>
        <v/>
      </c>
    </row>
    <row r="36" spans="1:14" ht="15" customHeight="1" x14ac:dyDescent="0.25">
      <c r="A36" s="10">
        <v>35</v>
      </c>
      <c r="B36" s="10">
        <v>10</v>
      </c>
      <c r="C36" s="10">
        <v>8</v>
      </c>
      <c r="D36" s="10" t="s">
        <v>796</v>
      </c>
      <c r="E36" s="10" t="s">
        <v>797</v>
      </c>
      <c r="F36" s="10" t="s">
        <v>18</v>
      </c>
      <c r="G36" s="10" t="s">
        <v>37</v>
      </c>
      <c r="H36" s="19">
        <f>SUMIF(OrderItems!$B$2:$B$1254,A36,OrderItems!$G$2:$G$1254)</f>
        <v>6362.9169999999995</v>
      </c>
      <c r="I36" s="19">
        <f>SUMIF(OrderItems!$B$2:$B$1254,A36,OrderItems!$K$2:$K$1254)</f>
        <v>3875.4700000000003</v>
      </c>
      <c r="J36" s="19">
        <f t="shared" si="0"/>
        <v>2487.4469999999992</v>
      </c>
      <c r="K36" s="10" t="str">
        <f t="shared" si="1"/>
        <v>2023-03</v>
      </c>
      <c r="L36" s="10" t="str">
        <f>IFERROR(INDEX(Customers!$G$2:$G$61,MATCH(B36,Customers!$A$2:$A$61,0)),"")</f>
        <v>Corporate</v>
      </c>
      <c r="M36" s="10" t="str">
        <f>IFERROR(INDEX(Employees!$B$2:$B$37,MATCH(C36,Employees!$A$2:$A$37,0))&amp;" "&amp;INDEX(Employees!$C$2:$C$37,MATCH(C36,Employees!$A$2:$A$37,0)),"")</f>
        <v>John Gonzalez</v>
      </c>
      <c r="N36" s="10">
        <f t="shared" si="2"/>
        <v>8</v>
      </c>
    </row>
    <row r="37" spans="1:14" ht="15" customHeight="1" x14ac:dyDescent="0.25">
      <c r="A37" s="10">
        <v>36</v>
      </c>
      <c r="B37" s="10">
        <v>50</v>
      </c>
      <c r="C37" s="10">
        <v>9</v>
      </c>
      <c r="D37" s="10" t="s">
        <v>798</v>
      </c>
      <c r="E37" s="10" t="s">
        <v>799</v>
      </c>
      <c r="F37" s="10" t="s">
        <v>18</v>
      </c>
      <c r="G37" s="10" t="s">
        <v>36</v>
      </c>
      <c r="H37" s="19">
        <f>SUMIF(OrderItems!$B$2:$B$1254,A37,OrderItems!$G$2:$G$1254)</f>
        <v>4564</v>
      </c>
      <c r="I37" s="19">
        <f>SUMIF(OrderItems!$B$2:$B$1254,A37,OrderItems!$K$2:$K$1254)</f>
        <v>2495.9599999999996</v>
      </c>
      <c r="J37" s="19">
        <f t="shared" si="0"/>
        <v>2068.0400000000004</v>
      </c>
      <c r="K37" s="10" t="str">
        <f t="shared" si="1"/>
        <v>2024-05</v>
      </c>
      <c r="L37" s="10" t="str">
        <f>IFERROR(INDEX(Customers!$G$2:$G$61,MATCH(B37,Customers!$A$2:$A$61,0)),"")</f>
        <v>Consumer</v>
      </c>
      <c r="M37" s="10" t="str">
        <f>IFERROR(INDEX(Employees!$B$2:$B$37,MATCH(C37,Employees!$A$2:$A$37,0))&amp;" "&amp;INDEX(Employees!$C$2:$C$37,MATCH(C37,Employees!$A$2:$A$37,0)),"")</f>
        <v>William Johnson</v>
      </c>
      <c r="N37" s="10">
        <f t="shared" si="2"/>
        <v>2</v>
      </c>
    </row>
    <row r="38" spans="1:14" ht="15" customHeight="1" x14ac:dyDescent="0.25">
      <c r="A38" s="10">
        <v>37</v>
      </c>
      <c r="B38" s="10">
        <v>41</v>
      </c>
      <c r="C38" s="10">
        <v>8</v>
      </c>
      <c r="D38" s="10" t="s">
        <v>800</v>
      </c>
      <c r="E38" s="10" t="s">
        <v>801</v>
      </c>
      <c r="F38" s="10" t="s">
        <v>18</v>
      </c>
      <c r="G38" s="10" t="s">
        <v>36</v>
      </c>
      <c r="H38" s="19">
        <f>SUMIF(OrderItems!$B$2:$B$1254,A38,OrderItems!$G$2:$G$1254)</f>
        <v>6554.5110000000004</v>
      </c>
      <c r="I38" s="19">
        <f>SUMIF(OrderItems!$B$2:$B$1254,A38,OrderItems!$K$2:$K$1254)</f>
        <v>4023.9999999999995</v>
      </c>
      <c r="J38" s="19">
        <f t="shared" si="0"/>
        <v>2530.5110000000009</v>
      </c>
      <c r="K38" s="10" t="str">
        <f t="shared" si="1"/>
        <v>2023-10</v>
      </c>
      <c r="L38" s="10" t="str">
        <f>IFERROR(INDEX(Customers!$G$2:$G$61,MATCH(B38,Customers!$A$2:$A$61,0)),"")</f>
        <v>Small Business</v>
      </c>
      <c r="M38" s="10" t="str">
        <f>IFERROR(INDEX(Employees!$B$2:$B$37,MATCH(C38,Employees!$A$2:$A$37,0))&amp;" "&amp;INDEX(Employees!$C$2:$C$37,MATCH(C38,Employees!$A$2:$A$37,0)),"")</f>
        <v>John Gonzalez</v>
      </c>
      <c r="N38" s="10">
        <f t="shared" si="2"/>
        <v>7</v>
      </c>
    </row>
    <row r="39" spans="1:14" ht="15" customHeight="1" x14ac:dyDescent="0.25">
      <c r="A39" s="10">
        <v>38</v>
      </c>
      <c r="B39" s="10">
        <v>56</v>
      </c>
      <c r="C39" s="10">
        <v>10</v>
      </c>
      <c r="D39" s="10" t="s">
        <v>790</v>
      </c>
      <c r="F39" s="10" t="s">
        <v>17</v>
      </c>
      <c r="G39" s="10" t="s">
        <v>38</v>
      </c>
      <c r="H39" s="19">
        <f>SUMIF(OrderItems!$B$2:$B$1254,A39,OrderItems!$G$2:$G$1254)</f>
        <v>1079.508</v>
      </c>
      <c r="I39" s="19">
        <f>SUMIF(OrderItems!$B$2:$B$1254,A39,OrderItems!$K$2:$K$1254)</f>
        <v>674.44</v>
      </c>
      <c r="J39" s="19">
        <f t="shared" si="0"/>
        <v>405.06799999999998</v>
      </c>
      <c r="K39" s="10" t="str">
        <f t="shared" si="1"/>
        <v>2023-03</v>
      </c>
      <c r="L39" s="10" t="str">
        <f>IFERROR(INDEX(Customers!$G$2:$G$61,MATCH(B39,Customers!$A$2:$A$61,0)),"")</f>
        <v>Consumer</v>
      </c>
      <c r="M39" s="10" t="str">
        <f>IFERROR(INDEX(Employees!$B$2:$B$37,MATCH(C39,Employees!$A$2:$A$37,0))&amp;" "&amp;INDEX(Employees!$C$2:$C$37,MATCH(C39,Employees!$A$2:$A$37,0)),"")</f>
        <v>John Moore</v>
      </c>
      <c r="N39" s="10" t="str">
        <f t="shared" si="2"/>
        <v/>
      </c>
    </row>
    <row r="40" spans="1:14" ht="15" customHeight="1" x14ac:dyDescent="0.25">
      <c r="A40" s="10">
        <v>39</v>
      </c>
      <c r="B40" s="10">
        <v>38</v>
      </c>
      <c r="C40" s="10">
        <v>9</v>
      </c>
      <c r="D40" s="10" t="s">
        <v>462</v>
      </c>
      <c r="E40" s="10" t="s">
        <v>802</v>
      </c>
      <c r="F40" s="10" t="s">
        <v>14</v>
      </c>
      <c r="G40" s="10" t="s">
        <v>39</v>
      </c>
      <c r="H40" s="19">
        <f>SUMIF(OrderItems!$B$2:$B$1254,A40,OrderItems!$G$2:$G$1254)</f>
        <v>3876.1759999999995</v>
      </c>
      <c r="I40" s="19">
        <f>SUMIF(OrderItems!$B$2:$B$1254,A40,OrderItems!$K$2:$K$1254)</f>
        <v>2993.24</v>
      </c>
      <c r="J40" s="19">
        <f t="shared" si="0"/>
        <v>882.93599999999969</v>
      </c>
      <c r="K40" s="10" t="str">
        <f t="shared" si="1"/>
        <v>2023-10</v>
      </c>
      <c r="L40" s="10" t="str">
        <f>IFERROR(INDEX(Customers!$G$2:$G$61,MATCH(B40,Customers!$A$2:$A$61,0)),"")</f>
        <v>Small Business</v>
      </c>
      <c r="M40" s="10" t="str">
        <f>IFERROR(INDEX(Employees!$B$2:$B$37,MATCH(C40,Employees!$A$2:$A$37,0))&amp;" "&amp;INDEX(Employees!$C$2:$C$37,MATCH(C40,Employees!$A$2:$A$37,0)),"")</f>
        <v>William Johnson</v>
      </c>
      <c r="N40" s="10">
        <f t="shared" si="2"/>
        <v>6</v>
      </c>
    </row>
    <row r="41" spans="1:14" ht="15" customHeight="1" x14ac:dyDescent="0.25">
      <c r="A41" s="10">
        <v>40</v>
      </c>
      <c r="B41" s="10">
        <v>46</v>
      </c>
      <c r="C41" s="10">
        <v>10</v>
      </c>
      <c r="D41" s="10" t="s">
        <v>803</v>
      </c>
      <c r="E41" s="10" t="s">
        <v>804</v>
      </c>
      <c r="F41" s="10" t="s">
        <v>18</v>
      </c>
      <c r="G41" s="10" t="s">
        <v>36</v>
      </c>
      <c r="H41" s="19">
        <f>SUMIF(OrderItems!$B$2:$B$1254,A41,OrderItems!$G$2:$G$1254)</f>
        <v>2911.1109999999999</v>
      </c>
      <c r="I41" s="19">
        <f>SUMIF(OrderItems!$B$2:$B$1254,A41,OrderItems!$K$2:$K$1254)</f>
        <v>1878.12</v>
      </c>
      <c r="J41" s="19">
        <f t="shared" si="0"/>
        <v>1032.991</v>
      </c>
      <c r="K41" s="10" t="str">
        <f t="shared" si="1"/>
        <v>2023-03</v>
      </c>
      <c r="L41" s="10" t="str">
        <f>IFERROR(INDEX(Customers!$G$2:$G$61,MATCH(B41,Customers!$A$2:$A$61,0)),"")</f>
        <v>Small Business</v>
      </c>
      <c r="M41" s="10" t="str">
        <f>IFERROR(INDEX(Employees!$B$2:$B$37,MATCH(C41,Employees!$A$2:$A$37,0))&amp;" "&amp;INDEX(Employees!$C$2:$C$37,MATCH(C41,Employees!$A$2:$A$37,0)),"")</f>
        <v>John Moore</v>
      </c>
      <c r="N41" s="10">
        <f t="shared" si="2"/>
        <v>4</v>
      </c>
    </row>
    <row r="42" spans="1:14" ht="15" customHeight="1" x14ac:dyDescent="0.25">
      <c r="A42" s="10">
        <v>41</v>
      </c>
      <c r="B42" s="10">
        <v>17</v>
      </c>
      <c r="C42" s="10">
        <v>1</v>
      </c>
      <c r="D42" s="10" t="s">
        <v>805</v>
      </c>
      <c r="E42" s="10" t="s">
        <v>806</v>
      </c>
      <c r="F42" s="10" t="s">
        <v>18</v>
      </c>
      <c r="G42" s="10" t="s">
        <v>36</v>
      </c>
      <c r="H42" s="19">
        <f>SUMIF(OrderItems!$B$2:$B$1254,A42,OrderItems!$G$2:$G$1254)</f>
        <v>5293.05</v>
      </c>
      <c r="I42" s="19">
        <f>SUMIF(OrderItems!$B$2:$B$1254,A42,OrderItems!$K$2:$K$1254)</f>
        <v>2981.21</v>
      </c>
      <c r="J42" s="19">
        <f t="shared" si="0"/>
        <v>2311.84</v>
      </c>
      <c r="K42" s="10" t="str">
        <f t="shared" si="1"/>
        <v>2024-01</v>
      </c>
      <c r="L42" s="10" t="str">
        <f>IFERROR(INDEX(Customers!$G$2:$G$61,MATCH(B42,Customers!$A$2:$A$61,0)),"")</f>
        <v>Small Business</v>
      </c>
      <c r="M42" s="10" t="str">
        <f>IFERROR(INDEX(Employees!$B$2:$B$37,MATCH(C42,Employees!$A$2:$A$37,0))&amp;" "&amp;INDEX(Employees!$C$2:$C$37,MATCH(C42,Employees!$A$2:$A$37,0)),"")</f>
        <v>Daniel Brown</v>
      </c>
      <c r="N42" s="10">
        <f t="shared" si="2"/>
        <v>6</v>
      </c>
    </row>
    <row r="43" spans="1:14" ht="15" customHeight="1" x14ac:dyDescent="0.25">
      <c r="A43" s="10">
        <v>42</v>
      </c>
      <c r="B43" s="10">
        <v>24</v>
      </c>
      <c r="C43" s="10">
        <v>9</v>
      </c>
      <c r="D43" s="10" t="s">
        <v>807</v>
      </c>
      <c r="F43" s="10" t="s">
        <v>17</v>
      </c>
      <c r="G43" s="10" t="s">
        <v>36</v>
      </c>
      <c r="H43" s="19">
        <f>SUMIF(OrderItems!$B$2:$B$1254,A43,OrderItems!$G$2:$G$1254)</f>
        <v>3193.4939999999997</v>
      </c>
      <c r="I43" s="19">
        <f>SUMIF(OrderItems!$B$2:$B$1254,A43,OrderItems!$K$2:$K$1254)</f>
        <v>1598.48</v>
      </c>
      <c r="J43" s="19">
        <f t="shared" si="0"/>
        <v>1595.0139999999997</v>
      </c>
      <c r="K43" s="10" t="str">
        <f t="shared" si="1"/>
        <v>2023-06</v>
      </c>
      <c r="L43" s="10" t="str">
        <f>IFERROR(INDEX(Customers!$G$2:$G$61,MATCH(B43,Customers!$A$2:$A$61,0)),"")</f>
        <v>Consumer</v>
      </c>
      <c r="M43" s="10" t="str">
        <f>IFERROR(INDEX(Employees!$B$2:$B$37,MATCH(C43,Employees!$A$2:$A$37,0))&amp;" "&amp;INDEX(Employees!$C$2:$C$37,MATCH(C43,Employees!$A$2:$A$37,0)),"")</f>
        <v>William Johnson</v>
      </c>
      <c r="N43" s="10" t="str">
        <f t="shared" si="2"/>
        <v/>
      </c>
    </row>
    <row r="44" spans="1:14" ht="15" customHeight="1" x14ac:dyDescent="0.25">
      <c r="A44" s="10">
        <v>43</v>
      </c>
      <c r="B44" s="10">
        <v>46</v>
      </c>
      <c r="C44" s="10">
        <v>10</v>
      </c>
      <c r="D44" s="10" t="s">
        <v>808</v>
      </c>
      <c r="E44" s="10" t="s">
        <v>809</v>
      </c>
      <c r="F44" s="10" t="s">
        <v>15</v>
      </c>
      <c r="G44" s="10" t="s">
        <v>40</v>
      </c>
      <c r="H44" s="19">
        <f>SUMIF(OrderItems!$B$2:$B$1254,A44,OrderItems!$G$2:$G$1254)</f>
        <v>1673.19</v>
      </c>
      <c r="I44" s="19">
        <f>SUMIF(OrderItems!$B$2:$B$1254,A44,OrderItems!$K$2:$K$1254)</f>
        <v>1206.48</v>
      </c>
      <c r="J44" s="19">
        <f t="shared" si="0"/>
        <v>466.71000000000004</v>
      </c>
      <c r="K44" s="10" t="str">
        <f t="shared" si="1"/>
        <v>2023-12</v>
      </c>
      <c r="L44" s="10" t="str">
        <f>IFERROR(INDEX(Customers!$G$2:$G$61,MATCH(B44,Customers!$A$2:$A$61,0)),"")</f>
        <v>Small Business</v>
      </c>
      <c r="M44" s="10" t="str">
        <f>IFERROR(INDEX(Employees!$B$2:$B$37,MATCH(C44,Employees!$A$2:$A$37,0))&amp;" "&amp;INDEX(Employees!$C$2:$C$37,MATCH(C44,Employees!$A$2:$A$37,0)),"")</f>
        <v>John Moore</v>
      </c>
      <c r="N44" s="10">
        <f t="shared" si="2"/>
        <v>6</v>
      </c>
    </row>
    <row r="45" spans="1:14" ht="15" customHeight="1" x14ac:dyDescent="0.25">
      <c r="A45" s="10">
        <v>44</v>
      </c>
      <c r="B45" s="10">
        <v>5</v>
      </c>
      <c r="C45" s="10">
        <v>10</v>
      </c>
      <c r="D45" s="10" t="s">
        <v>524</v>
      </c>
      <c r="E45" s="10" t="s">
        <v>810</v>
      </c>
      <c r="F45" s="10" t="s">
        <v>14</v>
      </c>
      <c r="G45" s="10" t="s">
        <v>37</v>
      </c>
      <c r="H45" s="19">
        <f>SUMIF(OrderItems!$B$2:$B$1254,A45,OrderItems!$G$2:$G$1254)</f>
        <v>6247.2510000000002</v>
      </c>
      <c r="I45" s="19">
        <f>SUMIF(OrderItems!$B$2:$B$1254,A45,OrderItems!$K$2:$K$1254)</f>
        <v>3849.12</v>
      </c>
      <c r="J45" s="19">
        <f t="shared" si="0"/>
        <v>2398.1310000000003</v>
      </c>
      <c r="K45" s="10" t="str">
        <f t="shared" si="1"/>
        <v>2025-01</v>
      </c>
      <c r="L45" s="10" t="str">
        <f>IFERROR(INDEX(Customers!$G$2:$G$61,MATCH(B45,Customers!$A$2:$A$61,0)),"")</f>
        <v>Consumer</v>
      </c>
      <c r="M45" s="10" t="str">
        <f>IFERROR(INDEX(Employees!$B$2:$B$37,MATCH(C45,Employees!$A$2:$A$37,0))&amp;" "&amp;INDEX(Employees!$C$2:$C$37,MATCH(C45,Employees!$A$2:$A$37,0)),"")</f>
        <v>John Moore</v>
      </c>
      <c r="N45" s="10">
        <f t="shared" si="2"/>
        <v>1</v>
      </c>
    </row>
    <row r="46" spans="1:14" ht="15" customHeight="1" x14ac:dyDescent="0.25">
      <c r="A46" s="10">
        <v>45</v>
      </c>
      <c r="B46" s="10">
        <v>24</v>
      </c>
      <c r="C46" s="10">
        <v>10</v>
      </c>
      <c r="D46" s="10" t="s">
        <v>811</v>
      </c>
      <c r="E46" s="10" t="s">
        <v>812</v>
      </c>
      <c r="F46" s="10" t="s">
        <v>14</v>
      </c>
      <c r="G46" s="10" t="s">
        <v>38</v>
      </c>
      <c r="H46" s="19">
        <f>SUMIF(OrderItems!$B$2:$B$1254,A46,OrderItems!$G$2:$G$1254)</f>
        <v>9848.7835000000014</v>
      </c>
      <c r="I46" s="19">
        <f>SUMIF(OrderItems!$B$2:$B$1254,A46,OrderItems!$K$2:$K$1254)</f>
        <v>4974.66</v>
      </c>
      <c r="J46" s="19">
        <f t="shared" si="0"/>
        <v>4874.1235000000015</v>
      </c>
      <c r="K46" s="10" t="str">
        <f t="shared" si="1"/>
        <v>2023-06</v>
      </c>
      <c r="L46" s="10" t="str">
        <f>IFERROR(INDEX(Customers!$G$2:$G$61,MATCH(B46,Customers!$A$2:$A$61,0)),"")</f>
        <v>Consumer</v>
      </c>
      <c r="M46" s="10" t="str">
        <f>IFERROR(INDEX(Employees!$B$2:$B$37,MATCH(C46,Employees!$A$2:$A$37,0))&amp;" "&amp;INDEX(Employees!$C$2:$C$37,MATCH(C46,Employees!$A$2:$A$37,0)),"")</f>
        <v>John Moore</v>
      </c>
      <c r="N46" s="10">
        <f t="shared" si="2"/>
        <v>9</v>
      </c>
    </row>
    <row r="47" spans="1:14" ht="15" customHeight="1" x14ac:dyDescent="0.25">
      <c r="A47" s="10">
        <v>46</v>
      </c>
      <c r="B47" s="10">
        <v>46</v>
      </c>
      <c r="C47" s="10">
        <v>10</v>
      </c>
      <c r="D47" s="10" t="s">
        <v>813</v>
      </c>
      <c r="E47" s="10" t="s">
        <v>814</v>
      </c>
      <c r="F47" s="10" t="s">
        <v>18</v>
      </c>
      <c r="G47" s="10" t="s">
        <v>37</v>
      </c>
      <c r="H47" s="19">
        <f>SUMIF(OrderItems!$B$2:$B$1254,A47,OrderItems!$G$2:$G$1254)</f>
        <v>353.03899999999999</v>
      </c>
      <c r="I47" s="19">
        <f>SUMIF(OrderItems!$B$2:$B$1254,A47,OrderItems!$K$2:$K$1254)</f>
        <v>217.62</v>
      </c>
      <c r="J47" s="19">
        <f t="shared" si="0"/>
        <v>135.41899999999998</v>
      </c>
      <c r="K47" s="10" t="str">
        <f t="shared" si="1"/>
        <v>2024-03</v>
      </c>
      <c r="L47" s="10" t="str">
        <f>IFERROR(INDEX(Customers!$G$2:$G$61,MATCH(B47,Customers!$A$2:$A$61,0)),"")</f>
        <v>Small Business</v>
      </c>
      <c r="M47" s="10" t="str">
        <f>IFERROR(INDEX(Employees!$B$2:$B$37,MATCH(C47,Employees!$A$2:$A$37,0))&amp;" "&amp;INDEX(Employees!$C$2:$C$37,MATCH(C47,Employees!$A$2:$A$37,0)),"")</f>
        <v>John Moore</v>
      </c>
      <c r="N47" s="10">
        <f t="shared" si="2"/>
        <v>8</v>
      </c>
    </row>
    <row r="48" spans="1:14" ht="15" customHeight="1" x14ac:dyDescent="0.25">
      <c r="A48" s="10">
        <v>47</v>
      </c>
      <c r="B48" s="10">
        <v>6</v>
      </c>
      <c r="C48" s="10">
        <v>9</v>
      </c>
      <c r="D48" s="10" t="s">
        <v>815</v>
      </c>
      <c r="E48" s="10" t="s">
        <v>816</v>
      </c>
      <c r="F48" s="10" t="s">
        <v>14</v>
      </c>
      <c r="G48" s="10" t="s">
        <v>39</v>
      </c>
      <c r="H48" s="19">
        <f>SUMIF(OrderItems!$B$2:$B$1254,A48,OrderItems!$G$2:$G$1254)</f>
        <v>3906.9760000000006</v>
      </c>
      <c r="I48" s="19">
        <f>SUMIF(OrderItems!$B$2:$B$1254,A48,OrderItems!$K$2:$K$1254)</f>
        <v>1861.36</v>
      </c>
      <c r="J48" s="19">
        <f t="shared" si="0"/>
        <v>2045.6160000000007</v>
      </c>
      <c r="K48" s="10" t="str">
        <f t="shared" si="1"/>
        <v>2024-12</v>
      </c>
      <c r="L48" s="10" t="str">
        <f>IFERROR(INDEX(Customers!$G$2:$G$61,MATCH(B48,Customers!$A$2:$A$61,0)),"")</f>
        <v>Consumer</v>
      </c>
      <c r="M48" s="10" t="str">
        <f>IFERROR(INDEX(Employees!$B$2:$B$37,MATCH(C48,Employees!$A$2:$A$37,0))&amp;" "&amp;INDEX(Employees!$C$2:$C$37,MATCH(C48,Employees!$A$2:$A$37,0)),"")</f>
        <v>William Johnson</v>
      </c>
      <c r="N48" s="10">
        <f t="shared" si="2"/>
        <v>9</v>
      </c>
    </row>
    <row r="49" spans="1:14" ht="15" customHeight="1" x14ac:dyDescent="0.25">
      <c r="A49" s="10">
        <v>48</v>
      </c>
      <c r="B49" s="10">
        <v>16</v>
      </c>
      <c r="C49" s="10">
        <v>10</v>
      </c>
      <c r="D49" s="10" t="s">
        <v>817</v>
      </c>
      <c r="F49" s="10" t="s">
        <v>16</v>
      </c>
      <c r="G49" s="10" t="s">
        <v>39</v>
      </c>
      <c r="H49" s="19">
        <f>SUMIF(OrderItems!$B$2:$B$1254,A49,OrderItems!$G$2:$G$1254)</f>
        <v>6831.2170000000006</v>
      </c>
      <c r="I49" s="19">
        <f>SUMIF(OrderItems!$B$2:$B$1254,A49,OrderItems!$K$2:$K$1254)</f>
        <v>4697.38</v>
      </c>
      <c r="J49" s="19">
        <f t="shared" si="0"/>
        <v>2133.8370000000004</v>
      </c>
      <c r="K49" s="10" t="str">
        <f t="shared" si="1"/>
        <v>2023-02</v>
      </c>
      <c r="L49" s="10" t="str">
        <f>IFERROR(INDEX(Customers!$G$2:$G$61,MATCH(B49,Customers!$A$2:$A$61,0)),"")</f>
        <v>Small Business</v>
      </c>
      <c r="M49" s="10" t="str">
        <f>IFERROR(INDEX(Employees!$B$2:$B$37,MATCH(C49,Employees!$A$2:$A$37,0))&amp;" "&amp;INDEX(Employees!$C$2:$C$37,MATCH(C49,Employees!$A$2:$A$37,0)),"")</f>
        <v>John Moore</v>
      </c>
      <c r="N49" s="10" t="str">
        <f t="shared" si="2"/>
        <v/>
      </c>
    </row>
    <row r="50" spans="1:14" ht="15" customHeight="1" x14ac:dyDescent="0.25">
      <c r="A50" s="10">
        <v>49</v>
      </c>
      <c r="B50" s="10">
        <v>42</v>
      </c>
      <c r="C50" s="10">
        <v>1</v>
      </c>
      <c r="D50" s="10" t="s">
        <v>818</v>
      </c>
      <c r="E50" s="10" t="s">
        <v>819</v>
      </c>
      <c r="F50" s="10" t="s">
        <v>15</v>
      </c>
      <c r="G50" s="10" t="s">
        <v>38</v>
      </c>
      <c r="H50" s="19">
        <f>SUMIF(OrderItems!$B$2:$B$1254,A50,OrderItems!$G$2:$G$1254)</f>
        <v>3785.5680000000002</v>
      </c>
      <c r="I50" s="19">
        <f>SUMIF(OrderItems!$B$2:$B$1254,A50,OrderItems!$K$2:$K$1254)</f>
        <v>2282.09</v>
      </c>
      <c r="J50" s="19">
        <f t="shared" si="0"/>
        <v>1503.4780000000001</v>
      </c>
      <c r="K50" s="10" t="str">
        <f t="shared" si="1"/>
        <v>2025-07</v>
      </c>
      <c r="L50" s="10" t="str">
        <f>IFERROR(INDEX(Customers!$G$2:$G$61,MATCH(B50,Customers!$A$2:$A$61,0)),"")</f>
        <v>Small Business</v>
      </c>
      <c r="M50" s="10" t="str">
        <f>IFERROR(INDEX(Employees!$B$2:$B$37,MATCH(C50,Employees!$A$2:$A$37,0))&amp;" "&amp;INDEX(Employees!$C$2:$C$37,MATCH(C50,Employees!$A$2:$A$37,0)),"")</f>
        <v>Daniel Brown</v>
      </c>
      <c r="N50" s="10">
        <f t="shared" si="2"/>
        <v>9</v>
      </c>
    </row>
    <row r="51" spans="1:14" ht="15" customHeight="1" x14ac:dyDescent="0.25">
      <c r="A51" s="10">
        <v>50</v>
      </c>
      <c r="B51" s="10">
        <v>20</v>
      </c>
      <c r="C51" s="10">
        <v>8</v>
      </c>
      <c r="D51" s="10" t="s">
        <v>820</v>
      </c>
      <c r="F51" s="10" t="s">
        <v>16</v>
      </c>
      <c r="G51" s="10" t="s">
        <v>37</v>
      </c>
      <c r="H51" s="19">
        <f>SUMIF(OrderItems!$B$2:$B$1254,A51,OrderItems!$G$2:$G$1254)</f>
        <v>4032.915</v>
      </c>
      <c r="I51" s="19">
        <f>SUMIF(OrderItems!$B$2:$B$1254,A51,OrderItems!$K$2:$K$1254)</f>
        <v>2249.98</v>
      </c>
      <c r="J51" s="19">
        <f t="shared" si="0"/>
        <v>1782.9349999999999</v>
      </c>
      <c r="K51" s="10" t="str">
        <f t="shared" si="1"/>
        <v>2023-11</v>
      </c>
      <c r="L51" s="10" t="str">
        <f>IFERROR(INDEX(Customers!$G$2:$G$61,MATCH(B51,Customers!$A$2:$A$61,0)),"")</f>
        <v>Corporate</v>
      </c>
      <c r="M51" s="10" t="str">
        <f>IFERROR(INDEX(Employees!$B$2:$B$37,MATCH(C51,Employees!$A$2:$A$37,0))&amp;" "&amp;INDEX(Employees!$C$2:$C$37,MATCH(C51,Employees!$A$2:$A$37,0)),"")</f>
        <v>John Gonzalez</v>
      </c>
      <c r="N51" s="10" t="str">
        <f t="shared" si="2"/>
        <v/>
      </c>
    </row>
    <row r="52" spans="1:14" ht="15" customHeight="1" x14ac:dyDescent="0.25">
      <c r="A52" s="10">
        <v>51</v>
      </c>
      <c r="B52" s="10">
        <v>33</v>
      </c>
      <c r="C52" s="10">
        <v>8</v>
      </c>
      <c r="D52" s="10" t="s">
        <v>821</v>
      </c>
      <c r="E52" s="10" t="s">
        <v>822</v>
      </c>
      <c r="F52" s="10" t="s">
        <v>14</v>
      </c>
      <c r="G52" s="10" t="s">
        <v>39</v>
      </c>
      <c r="H52" s="19">
        <f>SUMIF(OrderItems!$B$2:$B$1254,A52,OrderItems!$G$2:$G$1254)</f>
        <v>4438.3920000000007</v>
      </c>
      <c r="I52" s="19">
        <f>SUMIF(OrderItems!$B$2:$B$1254,A52,OrderItems!$K$2:$K$1254)</f>
        <v>2847.04</v>
      </c>
      <c r="J52" s="19">
        <f t="shared" si="0"/>
        <v>1591.3520000000008</v>
      </c>
      <c r="K52" s="10" t="str">
        <f t="shared" si="1"/>
        <v>2023-11</v>
      </c>
      <c r="L52" s="10" t="str">
        <f>IFERROR(INDEX(Customers!$G$2:$G$61,MATCH(B52,Customers!$A$2:$A$61,0)),"")</f>
        <v>Consumer</v>
      </c>
      <c r="M52" s="10" t="str">
        <f>IFERROR(INDEX(Employees!$B$2:$B$37,MATCH(C52,Employees!$A$2:$A$37,0))&amp;" "&amp;INDEX(Employees!$C$2:$C$37,MATCH(C52,Employees!$A$2:$A$37,0)),"")</f>
        <v>John Gonzalez</v>
      </c>
      <c r="N52" s="10">
        <f t="shared" si="2"/>
        <v>10</v>
      </c>
    </row>
    <row r="53" spans="1:14" ht="15" customHeight="1" x14ac:dyDescent="0.25">
      <c r="A53" s="10">
        <v>52</v>
      </c>
      <c r="B53" s="10">
        <v>40</v>
      </c>
      <c r="C53" s="10">
        <v>1</v>
      </c>
      <c r="D53" s="10" t="s">
        <v>823</v>
      </c>
      <c r="E53" s="10" t="s">
        <v>824</v>
      </c>
      <c r="F53" s="10" t="s">
        <v>18</v>
      </c>
      <c r="G53" s="10" t="s">
        <v>40</v>
      </c>
      <c r="H53" s="19">
        <f>SUMIF(OrderItems!$B$2:$B$1254,A53,OrderItems!$G$2:$G$1254)</f>
        <v>1692.741</v>
      </c>
      <c r="I53" s="19">
        <f>SUMIF(OrderItems!$B$2:$B$1254,A53,OrderItems!$K$2:$K$1254)</f>
        <v>1005.93</v>
      </c>
      <c r="J53" s="19">
        <f t="shared" si="0"/>
        <v>686.81100000000004</v>
      </c>
      <c r="K53" s="10" t="str">
        <f t="shared" si="1"/>
        <v>2025-10</v>
      </c>
      <c r="L53" s="10" t="str">
        <f>IFERROR(INDEX(Customers!$G$2:$G$61,MATCH(B53,Customers!$A$2:$A$61,0)),"")</f>
        <v>Corporate</v>
      </c>
      <c r="M53" s="10" t="str">
        <f>IFERROR(INDEX(Employees!$B$2:$B$37,MATCH(C53,Employees!$A$2:$A$37,0))&amp;" "&amp;INDEX(Employees!$C$2:$C$37,MATCH(C53,Employees!$A$2:$A$37,0)),"")</f>
        <v>Daniel Brown</v>
      </c>
      <c r="N53" s="10">
        <f t="shared" si="2"/>
        <v>5</v>
      </c>
    </row>
    <row r="54" spans="1:14" ht="15" customHeight="1" x14ac:dyDescent="0.25">
      <c r="A54" s="10">
        <v>53</v>
      </c>
      <c r="B54" s="10">
        <v>29</v>
      </c>
      <c r="C54" s="10">
        <v>10</v>
      </c>
      <c r="D54" s="10" t="s">
        <v>825</v>
      </c>
      <c r="E54" s="10" t="s">
        <v>826</v>
      </c>
      <c r="F54" s="10" t="s">
        <v>15</v>
      </c>
      <c r="G54" s="10" t="s">
        <v>38</v>
      </c>
      <c r="H54" s="19">
        <f>SUMIF(OrderItems!$B$2:$B$1254,A54,OrderItems!$G$2:$G$1254)</f>
        <v>10479.784</v>
      </c>
      <c r="I54" s="19">
        <f>SUMIF(OrderItems!$B$2:$B$1254,A54,OrderItems!$K$2:$K$1254)</f>
        <v>5849.19</v>
      </c>
      <c r="J54" s="19">
        <f t="shared" si="0"/>
        <v>4630.5940000000001</v>
      </c>
      <c r="K54" s="10" t="str">
        <f t="shared" si="1"/>
        <v>2025-09</v>
      </c>
      <c r="L54" s="10" t="str">
        <f>IFERROR(INDEX(Customers!$G$2:$G$61,MATCH(B54,Customers!$A$2:$A$61,0)),"")</f>
        <v>Consumer</v>
      </c>
      <c r="M54" s="10" t="str">
        <f>IFERROR(INDEX(Employees!$B$2:$B$37,MATCH(C54,Employees!$A$2:$A$37,0))&amp;" "&amp;INDEX(Employees!$C$2:$C$37,MATCH(C54,Employees!$A$2:$A$37,0)),"")</f>
        <v>John Moore</v>
      </c>
      <c r="N54" s="10">
        <f t="shared" si="2"/>
        <v>4</v>
      </c>
    </row>
    <row r="55" spans="1:14" ht="15" customHeight="1" x14ac:dyDescent="0.25">
      <c r="A55" s="10">
        <v>54</v>
      </c>
      <c r="B55" s="10">
        <v>7</v>
      </c>
      <c r="C55" s="10">
        <v>1</v>
      </c>
      <c r="D55" s="10" t="s">
        <v>827</v>
      </c>
      <c r="F55" s="10" t="s">
        <v>17</v>
      </c>
      <c r="G55" s="10" t="s">
        <v>39</v>
      </c>
      <c r="H55" s="19">
        <f>SUMIF(OrderItems!$B$2:$B$1254,A55,OrderItems!$G$2:$G$1254)</f>
        <v>8721.8700000000008</v>
      </c>
      <c r="I55" s="19">
        <f>SUMIF(OrderItems!$B$2:$B$1254,A55,OrderItems!$K$2:$K$1254)</f>
        <v>4726.09</v>
      </c>
      <c r="J55" s="19">
        <f t="shared" si="0"/>
        <v>3995.7800000000007</v>
      </c>
      <c r="K55" s="10" t="str">
        <f t="shared" si="1"/>
        <v>2024-08</v>
      </c>
      <c r="L55" s="10" t="str">
        <f>IFERROR(INDEX(Customers!$G$2:$G$61,MATCH(B55,Customers!$A$2:$A$61,0)),"")</f>
        <v>Small Business</v>
      </c>
      <c r="M55" s="10" t="str">
        <f>IFERROR(INDEX(Employees!$B$2:$B$37,MATCH(C55,Employees!$A$2:$A$37,0))&amp;" "&amp;INDEX(Employees!$C$2:$C$37,MATCH(C55,Employees!$A$2:$A$37,0)),"")</f>
        <v>Daniel Brown</v>
      </c>
      <c r="N55" s="10" t="str">
        <f t="shared" si="2"/>
        <v/>
      </c>
    </row>
    <row r="56" spans="1:14" ht="15" customHeight="1" x14ac:dyDescent="0.25">
      <c r="A56" s="10">
        <v>55</v>
      </c>
      <c r="B56" s="10">
        <v>32</v>
      </c>
      <c r="C56" s="10">
        <v>1</v>
      </c>
      <c r="D56" s="10" t="s">
        <v>828</v>
      </c>
      <c r="F56" s="10" t="s">
        <v>17</v>
      </c>
      <c r="G56" s="10" t="s">
        <v>39</v>
      </c>
      <c r="H56" s="19">
        <f>SUMIF(OrderItems!$B$2:$B$1254,A56,OrderItems!$G$2:$G$1254)</f>
        <v>4583.3875000000007</v>
      </c>
      <c r="I56" s="19">
        <f>SUMIF(OrderItems!$B$2:$B$1254,A56,OrderItems!$K$2:$K$1254)</f>
        <v>3528.06</v>
      </c>
      <c r="J56" s="19">
        <f t="shared" si="0"/>
        <v>1055.3275000000008</v>
      </c>
      <c r="K56" s="10" t="str">
        <f t="shared" si="1"/>
        <v>2023-07</v>
      </c>
      <c r="L56" s="10" t="str">
        <f>IFERROR(INDEX(Customers!$G$2:$G$61,MATCH(B56,Customers!$A$2:$A$61,0)),"")</f>
        <v>Small Business</v>
      </c>
      <c r="M56" s="10" t="str">
        <f>IFERROR(INDEX(Employees!$B$2:$B$37,MATCH(C56,Employees!$A$2:$A$37,0))&amp;" "&amp;INDEX(Employees!$C$2:$C$37,MATCH(C56,Employees!$A$2:$A$37,0)),"")</f>
        <v>Daniel Brown</v>
      </c>
      <c r="N56" s="10" t="str">
        <f t="shared" si="2"/>
        <v/>
      </c>
    </row>
    <row r="57" spans="1:14" ht="15" customHeight="1" x14ac:dyDescent="0.25">
      <c r="A57" s="10">
        <v>56</v>
      </c>
      <c r="B57" s="10">
        <v>35</v>
      </c>
      <c r="C57" s="10">
        <v>1</v>
      </c>
      <c r="D57" s="10" t="s">
        <v>829</v>
      </c>
      <c r="F57" s="10" t="s">
        <v>17</v>
      </c>
      <c r="G57" s="10" t="s">
        <v>37</v>
      </c>
      <c r="H57" s="19">
        <f>SUMIF(OrderItems!$B$2:$B$1254,A57,OrderItems!$G$2:$G$1254)</f>
        <v>2321.3665000000001</v>
      </c>
      <c r="I57" s="19">
        <f>SUMIF(OrderItems!$B$2:$B$1254,A57,OrderItems!$K$2:$K$1254)</f>
        <v>1503.8600000000004</v>
      </c>
      <c r="J57" s="19">
        <f t="shared" si="0"/>
        <v>817.50649999999973</v>
      </c>
      <c r="K57" s="10" t="str">
        <f t="shared" si="1"/>
        <v>2023-08</v>
      </c>
      <c r="L57" s="10" t="str">
        <f>IFERROR(INDEX(Customers!$G$2:$G$61,MATCH(B57,Customers!$A$2:$A$61,0)),"")</f>
        <v>Consumer</v>
      </c>
      <c r="M57" s="10" t="str">
        <f>IFERROR(INDEX(Employees!$B$2:$B$37,MATCH(C57,Employees!$A$2:$A$37,0))&amp;" "&amp;INDEX(Employees!$C$2:$C$37,MATCH(C57,Employees!$A$2:$A$37,0)),"")</f>
        <v>Daniel Brown</v>
      </c>
      <c r="N57" s="10" t="str">
        <f t="shared" si="2"/>
        <v/>
      </c>
    </row>
    <row r="58" spans="1:14" ht="15" customHeight="1" x14ac:dyDescent="0.25">
      <c r="A58" s="10">
        <v>57</v>
      </c>
      <c r="B58" s="10">
        <v>36</v>
      </c>
      <c r="C58" s="10">
        <v>8</v>
      </c>
      <c r="D58" s="10" t="s">
        <v>830</v>
      </c>
      <c r="E58" s="10" t="s">
        <v>524</v>
      </c>
      <c r="F58" s="10" t="s">
        <v>18</v>
      </c>
      <c r="G58" s="10" t="s">
        <v>40</v>
      </c>
      <c r="H58" s="19">
        <f>SUMIF(OrderItems!$B$2:$B$1254,A58,OrderItems!$G$2:$G$1254)</f>
        <v>9644.9779999999992</v>
      </c>
      <c r="I58" s="19">
        <f>SUMIF(OrderItems!$B$2:$B$1254,A58,OrderItems!$K$2:$K$1254)</f>
        <v>5826.6500000000005</v>
      </c>
      <c r="J58" s="19">
        <f t="shared" si="0"/>
        <v>3818.3279999999986</v>
      </c>
      <c r="K58" s="10" t="str">
        <f t="shared" si="1"/>
        <v>2025-01</v>
      </c>
      <c r="L58" s="10" t="str">
        <f>IFERROR(INDEX(Customers!$G$2:$G$61,MATCH(B58,Customers!$A$2:$A$61,0)),"")</f>
        <v>Corporate</v>
      </c>
      <c r="M58" s="10" t="str">
        <f>IFERROR(INDEX(Employees!$B$2:$B$37,MATCH(C58,Employees!$A$2:$A$37,0))&amp;" "&amp;INDEX(Employees!$C$2:$C$37,MATCH(C58,Employees!$A$2:$A$37,0)),"")</f>
        <v>John Gonzalez</v>
      </c>
      <c r="N58" s="10">
        <f t="shared" si="2"/>
        <v>2</v>
      </c>
    </row>
    <row r="59" spans="1:14" ht="15" customHeight="1" x14ac:dyDescent="0.25">
      <c r="A59" s="10">
        <v>58</v>
      </c>
      <c r="B59" s="10">
        <v>39</v>
      </c>
      <c r="C59" s="10">
        <v>10</v>
      </c>
      <c r="D59" s="10" t="s">
        <v>824</v>
      </c>
      <c r="E59" s="10" t="s">
        <v>831</v>
      </c>
      <c r="F59" s="10" t="s">
        <v>14</v>
      </c>
      <c r="G59" s="10" t="s">
        <v>36</v>
      </c>
      <c r="H59" s="19">
        <f>SUMIF(OrderItems!$B$2:$B$1254,A59,OrderItems!$G$2:$G$1254)</f>
        <v>3700.6640000000002</v>
      </c>
      <c r="I59" s="19">
        <f>SUMIF(OrderItems!$B$2:$B$1254,A59,OrderItems!$K$2:$K$1254)</f>
        <v>1876.3999999999999</v>
      </c>
      <c r="J59" s="19">
        <f t="shared" si="0"/>
        <v>1824.2640000000004</v>
      </c>
      <c r="K59" s="10" t="str">
        <f t="shared" si="1"/>
        <v>2025-10</v>
      </c>
      <c r="L59" s="10" t="str">
        <f>IFERROR(INDEX(Customers!$G$2:$G$61,MATCH(B59,Customers!$A$2:$A$61,0)),"")</f>
        <v>Consumer</v>
      </c>
      <c r="M59" s="10" t="str">
        <f>IFERROR(INDEX(Employees!$B$2:$B$37,MATCH(C59,Employees!$A$2:$A$37,0))&amp;" "&amp;INDEX(Employees!$C$2:$C$37,MATCH(C59,Employees!$A$2:$A$37,0)),"")</f>
        <v>John Moore</v>
      </c>
      <c r="N59" s="10">
        <f t="shared" si="2"/>
        <v>1</v>
      </c>
    </row>
    <row r="60" spans="1:14" ht="15" customHeight="1" x14ac:dyDescent="0.25">
      <c r="A60" s="10">
        <v>59</v>
      </c>
      <c r="B60" s="10">
        <v>21</v>
      </c>
      <c r="C60" s="10">
        <v>9</v>
      </c>
      <c r="D60" s="10" t="s">
        <v>832</v>
      </c>
      <c r="F60" s="10" t="s">
        <v>17</v>
      </c>
      <c r="G60" s="10" t="s">
        <v>39</v>
      </c>
      <c r="H60" s="19">
        <f>SUMIF(OrderItems!$B$2:$B$1254,A60,OrderItems!$G$2:$G$1254)</f>
        <v>5595.6440000000002</v>
      </c>
      <c r="I60" s="19">
        <f>SUMIF(OrderItems!$B$2:$B$1254,A60,OrderItems!$K$2:$K$1254)</f>
        <v>3581.13</v>
      </c>
      <c r="J60" s="19">
        <f t="shared" si="0"/>
        <v>2014.5140000000001</v>
      </c>
      <c r="K60" s="10" t="str">
        <f t="shared" si="1"/>
        <v>2023-11</v>
      </c>
      <c r="L60" s="10" t="str">
        <f>IFERROR(INDEX(Customers!$G$2:$G$61,MATCH(B60,Customers!$A$2:$A$61,0)),"")</f>
        <v>Corporate</v>
      </c>
      <c r="M60" s="10" t="str">
        <f>IFERROR(INDEX(Employees!$B$2:$B$37,MATCH(C60,Employees!$A$2:$A$37,0))&amp;" "&amp;INDEX(Employees!$C$2:$C$37,MATCH(C60,Employees!$A$2:$A$37,0)),"")</f>
        <v>William Johnson</v>
      </c>
      <c r="N60" s="10" t="str">
        <f t="shared" si="2"/>
        <v/>
      </c>
    </row>
    <row r="61" spans="1:14" ht="15" customHeight="1" x14ac:dyDescent="0.25">
      <c r="A61" s="10">
        <v>60</v>
      </c>
      <c r="B61" s="10">
        <v>31</v>
      </c>
      <c r="C61" s="10">
        <v>1</v>
      </c>
      <c r="D61" s="10" t="s">
        <v>833</v>
      </c>
      <c r="F61" s="10" t="s">
        <v>16</v>
      </c>
      <c r="G61" s="10" t="s">
        <v>36</v>
      </c>
      <c r="H61" s="19">
        <f>SUMIF(OrderItems!$B$2:$B$1254,A61,OrderItems!$G$2:$G$1254)</f>
        <v>6618.7530000000006</v>
      </c>
      <c r="I61" s="19">
        <f>SUMIF(OrderItems!$B$2:$B$1254,A61,OrderItems!$K$2:$K$1254)</f>
        <v>4091.69</v>
      </c>
      <c r="J61" s="19">
        <f t="shared" si="0"/>
        <v>2527.0630000000006</v>
      </c>
      <c r="K61" s="10" t="str">
        <f t="shared" si="1"/>
        <v>2025-01</v>
      </c>
      <c r="L61" s="10" t="str">
        <f>IFERROR(INDEX(Customers!$G$2:$G$61,MATCH(B61,Customers!$A$2:$A$61,0)),"")</f>
        <v>Consumer</v>
      </c>
      <c r="M61" s="10" t="str">
        <f>IFERROR(INDEX(Employees!$B$2:$B$37,MATCH(C61,Employees!$A$2:$A$37,0))&amp;" "&amp;INDEX(Employees!$C$2:$C$37,MATCH(C61,Employees!$A$2:$A$37,0)),"")</f>
        <v>Daniel Brown</v>
      </c>
      <c r="N61" s="10" t="str">
        <f t="shared" si="2"/>
        <v/>
      </c>
    </row>
    <row r="62" spans="1:14" ht="15" customHeight="1" x14ac:dyDescent="0.25">
      <c r="A62" s="10">
        <v>61</v>
      </c>
      <c r="B62" s="10">
        <v>11</v>
      </c>
      <c r="C62" s="10">
        <v>10</v>
      </c>
      <c r="D62" s="10" t="s">
        <v>834</v>
      </c>
      <c r="E62" s="10" t="s">
        <v>835</v>
      </c>
      <c r="F62" s="10" t="s">
        <v>14</v>
      </c>
      <c r="G62" s="10" t="s">
        <v>39</v>
      </c>
      <c r="H62" s="19">
        <f>SUMIF(OrderItems!$B$2:$B$1254,A62,OrderItems!$G$2:$G$1254)</f>
        <v>318.23099999999999</v>
      </c>
      <c r="I62" s="19">
        <f>SUMIF(OrderItems!$B$2:$B$1254,A62,OrderItems!$K$2:$K$1254)</f>
        <v>200.06</v>
      </c>
      <c r="J62" s="19">
        <f t="shared" si="0"/>
        <v>118.17099999999999</v>
      </c>
      <c r="K62" s="10" t="str">
        <f t="shared" si="1"/>
        <v>2023-10</v>
      </c>
      <c r="L62" s="10" t="str">
        <f>IFERROR(INDEX(Customers!$G$2:$G$61,MATCH(B62,Customers!$A$2:$A$61,0)),"")</f>
        <v>Consumer</v>
      </c>
      <c r="M62" s="10" t="str">
        <f>IFERROR(INDEX(Employees!$B$2:$B$37,MATCH(C62,Employees!$A$2:$A$37,0))&amp;" "&amp;INDEX(Employees!$C$2:$C$37,MATCH(C62,Employees!$A$2:$A$37,0)),"")</f>
        <v>John Moore</v>
      </c>
      <c r="N62" s="10">
        <f t="shared" si="2"/>
        <v>1</v>
      </c>
    </row>
    <row r="63" spans="1:14" ht="15" customHeight="1" x14ac:dyDescent="0.25">
      <c r="A63" s="10">
        <v>62</v>
      </c>
      <c r="B63" s="10">
        <v>10</v>
      </c>
      <c r="C63" s="10">
        <v>10</v>
      </c>
      <c r="D63" s="10" t="s">
        <v>836</v>
      </c>
      <c r="F63" s="10" t="s">
        <v>17</v>
      </c>
      <c r="G63" s="10" t="s">
        <v>39</v>
      </c>
      <c r="H63" s="19">
        <f>SUMIF(OrderItems!$B$2:$B$1254,A63,OrderItems!$G$2:$G$1254)</f>
        <v>8056.0210000000006</v>
      </c>
      <c r="I63" s="19">
        <f>SUMIF(OrderItems!$B$2:$B$1254,A63,OrderItems!$K$2:$K$1254)</f>
        <v>4488.57</v>
      </c>
      <c r="J63" s="19">
        <f t="shared" si="0"/>
        <v>3567.4510000000009</v>
      </c>
      <c r="K63" s="10" t="str">
        <f t="shared" si="1"/>
        <v>2024-02</v>
      </c>
      <c r="L63" s="10" t="str">
        <f>IFERROR(INDEX(Customers!$G$2:$G$61,MATCH(B63,Customers!$A$2:$A$61,0)),"")</f>
        <v>Corporate</v>
      </c>
      <c r="M63" s="10" t="str">
        <f>IFERROR(INDEX(Employees!$B$2:$B$37,MATCH(C63,Employees!$A$2:$A$37,0))&amp;" "&amp;INDEX(Employees!$C$2:$C$37,MATCH(C63,Employees!$A$2:$A$37,0)),"")</f>
        <v>John Moore</v>
      </c>
      <c r="N63" s="10" t="str">
        <f t="shared" si="2"/>
        <v/>
      </c>
    </row>
    <row r="64" spans="1:14" ht="15" customHeight="1" x14ac:dyDescent="0.25">
      <c r="A64" s="10">
        <v>63</v>
      </c>
      <c r="B64" s="10">
        <v>12</v>
      </c>
      <c r="C64" s="10">
        <v>10</v>
      </c>
      <c r="D64" s="10" t="s">
        <v>837</v>
      </c>
      <c r="F64" s="10" t="s">
        <v>16</v>
      </c>
      <c r="G64" s="10" t="s">
        <v>39</v>
      </c>
      <c r="H64" s="19">
        <f>SUMIF(OrderItems!$B$2:$B$1254,A64,OrderItems!$G$2:$G$1254)</f>
        <v>5623.4500000000007</v>
      </c>
      <c r="I64" s="19">
        <f>SUMIF(OrderItems!$B$2:$B$1254,A64,OrderItems!$K$2:$K$1254)</f>
        <v>3292.95</v>
      </c>
      <c r="J64" s="19">
        <f t="shared" si="0"/>
        <v>2330.5000000000009</v>
      </c>
      <c r="K64" s="10" t="str">
        <f t="shared" si="1"/>
        <v>2025-12</v>
      </c>
      <c r="L64" s="10" t="str">
        <f>IFERROR(INDEX(Customers!$G$2:$G$61,MATCH(B64,Customers!$A$2:$A$61,0)),"")</f>
        <v>Small Business</v>
      </c>
      <c r="M64" s="10" t="str">
        <f>IFERROR(INDEX(Employees!$B$2:$B$37,MATCH(C64,Employees!$A$2:$A$37,0))&amp;" "&amp;INDEX(Employees!$C$2:$C$37,MATCH(C64,Employees!$A$2:$A$37,0)),"")</f>
        <v>John Moore</v>
      </c>
      <c r="N64" s="10" t="str">
        <f t="shared" si="2"/>
        <v/>
      </c>
    </row>
    <row r="65" spans="1:14" ht="15" customHeight="1" x14ac:dyDescent="0.25">
      <c r="A65" s="10">
        <v>64</v>
      </c>
      <c r="B65" s="10">
        <v>50</v>
      </c>
      <c r="C65" s="10">
        <v>9</v>
      </c>
      <c r="D65" s="10" t="s">
        <v>838</v>
      </c>
      <c r="E65" s="10" t="s">
        <v>839</v>
      </c>
      <c r="F65" s="10" t="s">
        <v>15</v>
      </c>
      <c r="G65" s="10" t="s">
        <v>40</v>
      </c>
      <c r="H65" s="19">
        <f>SUMIF(OrderItems!$B$2:$B$1254,A65,OrderItems!$G$2:$G$1254)</f>
        <v>9127.0835000000006</v>
      </c>
      <c r="I65" s="19">
        <f>SUMIF(OrderItems!$B$2:$B$1254,A65,OrderItems!$K$2:$K$1254)</f>
        <v>4549.66</v>
      </c>
      <c r="J65" s="19">
        <f t="shared" si="0"/>
        <v>4577.4235000000008</v>
      </c>
      <c r="K65" s="10" t="str">
        <f t="shared" si="1"/>
        <v>2024-02</v>
      </c>
      <c r="L65" s="10" t="str">
        <f>IFERROR(INDEX(Customers!$G$2:$G$61,MATCH(B65,Customers!$A$2:$A$61,0)),"")</f>
        <v>Consumer</v>
      </c>
      <c r="M65" s="10" t="str">
        <f>IFERROR(INDEX(Employees!$B$2:$B$37,MATCH(C65,Employees!$A$2:$A$37,0))&amp;" "&amp;INDEX(Employees!$C$2:$C$37,MATCH(C65,Employees!$A$2:$A$37,0)),"")</f>
        <v>William Johnson</v>
      </c>
      <c r="N65" s="10">
        <f t="shared" si="2"/>
        <v>6</v>
      </c>
    </row>
    <row r="66" spans="1:14" ht="15" customHeight="1" x14ac:dyDescent="0.25">
      <c r="A66" s="10">
        <v>65</v>
      </c>
      <c r="B66" s="10">
        <v>3</v>
      </c>
      <c r="C66" s="10">
        <v>9</v>
      </c>
      <c r="D66" s="10" t="s">
        <v>840</v>
      </c>
      <c r="F66" s="10" t="s">
        <v>16</v>
      </c>
      <c r="G66" s="10" t="s">
        <v>40</v>
      </c>
      <c r="H66" s="19">
        <f>SUMIF(OrderItems!$B$2:$B$1254,A66,OrderItems!$G$2:$G$1254)</f>
        <v>4896.5244999999995</v>
      </c>
      <c r="I66" s="19">
        <f>SUMIF(OrderItems!$B$2:$B$1254,A66,OrderItems!$K$2:$K$1254)</f>
        <v>2921.84</v>
      </c>
      <c r="J66" s="19">
        <f t="shared" ref="J66:J129" si="3">H66-I66</f>
        <v>1974.6844999999994</v>
      </c>
      <c r="K66" s="10" t="str">
        <f t="shared" ref="K66:K129" si="4">IF(D66="","",TEXT(D66,"YYYY-MM"))</f>
        <v>2023-06</v>
      </c>
      <c r="L66" s="10" t="str">
        <f>IFERROR(INDEX(Customers!$G$2:$G$61,MATCH(B66,Customers!$A$2:$A$61,0)),"")</f>
        <v>Consumer</v>
      </c>
      <c r="M66" s="10" t="str">
        <f>IFERROR(INDEX(Employees!$B$2:$B$37,MATCH(C66,Employees!$A$2:$A$37,0))&amp;" "&amp;INDEX(Employees!$C$2:$C$37,MATCH(C66,Employees!$A$2:$A$37,0)),"")</f>
        <v>William Johnson</v>
      </c>
      <c r="N66" s="10" t="str">
        <f t="shared" ref="N66:N129" si="5">IF(E66="","",E66-D66)</f>
        <v/>
      </c>
    </row>
    <row r="67" spans="1:14" ht="15" customHeight="1" x14ac:dyDescent="0.25">
      <c r="A67" s="10">
        <v>66</v>
      </c>
      <c r="B67" s="10">
        <v>40</v>
      </c>
      <c r="C67" s="10">
        <v>8</v>
      </c>
      <c r="D67" s="10" t="s">
        <v>841</v>
      </c>
      <c r="E67" s="10" t="s">
        <v>842</v>
      </c>
      <c r="F67" s="10" t="s">
        <v>14</v>
      </c>
      <c r="G67" s="10" t="s">
        <v>37</v>
      </c>
      <c r="H67" s="19">
        <f>SUMIF(OrderItems!$B$2:$B$1254,A67,OrderItems!$G$2:$G$1254)</f>
        <v>3939.04</v>
      </c>
      <c r="I67" s="19">
        <f>SUMIF(OrderItems!$B$2:$B$1254,A67,OrderItems!$K$2:$K$1254)</f>
        <v>1808.3</v>
      </c>
      <c r="J67" s="19">
        <f t="shared" si="3"/>
        <v>2130.7399999999998</v>
      </c>
      <c r="K67" s="10" t="str">
        <f t="shared" si="4"/>
        <v>2024-05</v>
      </c>
      <c r="L67" s="10" t="str">
        <f>IFERROR(INDEX(Customers!$G$2:$G$61,MATCH(B67,Customers!$A$2:$A$61,0)),"")</f>
        <v>Corporate</v>
      </c>
      <c r="M67" s="10" t="str">
        <f>IFERROR(INDEX(Employees!$B$2:$B$37,MATCH(C67,Employees!$A$2:$A$37,0))&amp;" "&amp;INDEX(Employees!$C$2:$C$37,MATCH(C67,Employees!$A$2:$A$37,0)),"")</f>
        <v>John Gonzalez</v>
      </c>
      <c r="N67" s="10">
        <f t="shared" si="5"/>
        <v>9</v>
      </c>
    </row>
    <row r="68" spans="1:14" ht="15" customHeight="1" x14ac:dyDescent="0.25">
      <c r="A68" s="10">
        <v>67</v>
      </c>
      <c r="B68" s="10">
        <v>1</v>
      </c>
      <c r="C68" s="10">
        <v>8</v>
      </c>
      <c r="D68" s="10" t="s">
        <v>843</v>
      </c>
      <c r="E68" s="10" t="s">
        <v>844</v>
      </c>
      <c r="F68" s="10" t="s">
        <v>15</v>
      </c>
      <c r="G68" s="10" t="s">
        <v>37</v>
      </c>
      <c r="H68" s="19">
        <f>SUMIF(OrderItems!$B$2:$B$1254,A68,OrderItems!$G$2:$G$1254)</f>
        <v>1874.9830000000002</v>
      </c>
      <c r="I68" s="19">
        <f>SUMIF(OrderItems!$B$2:$B$1254,A68,OrderItems!$K$2:$K$1254)</f>
        <v>1348.18</v>
      </c>
      <c r="J68" s="19">
        <f t="shared" si="3"/>
        <v>526.80300000000011</v>
      </c>
      <c r="K68" s="10" t="str">
        <f t="shared" si="4"/>
        <v>2025-04</v>
      </c>
      <c r="L68" s="10" t="str">
        <f>IFERROR(INDEX(Customers!$G$2:$G$61,MATCH(B68,Customers!$A$2:$A$61,0)),"")</f>
        <v>Corporate</v>
      </c>
      <c r="M68" s="10" t="str">
        <f>IFERROR(INDEX(Employees!$B$2:$B$37,MATCH(C68,Employees!$A$2:$A$37,0))&amp;" "&amp;INDEX(Employees!$C$2:$C$37,MATCH(C68,Employees!$A$2:$A$37,0)),"")</f>
        <v>John Gonzalez</v>
      </c>
      <c r="N68" s="10">
        <f t="shared" si="5"/>
        <v>8</v>
      </c>
    </row>
    <row r="69" spans="1:14" ht="15" customHeight="1" x14ac:dyDescent="0.25">
      <c r="A69" s="10">
        <v>68</v>
      </c>
      <c r="B69" s="10">
        <v>60</v>
      </c>
      <c r="C69" s="10">
        <v>1</v>
      </c>
      <c r="D69" s="10" t="s">
        <v>744</v>
      </c>
      <c r="E69" s="10" t="s">
        <v>845</v>
      </c>
      <c r="F69" s="10" t="s">
        <v>15</v>
      </c>
      <c r="G69" s="10" t="s">
        <v>38</v>
      </c>
      <c r="H69" s="19">
        <f>SUMIF(OrderItems!$B$2:$B$1254,A69,OrderItems!$G$2:$G$1254)</f>
        <v>1289.5650000000001</v>
      </c>
      <c r="I69" s="19">
        <f>SUMIF(OrderItems!$B$2:$B$1254,A69,OrderItems!$K$2:$K$1254)</f>
        <v>679.7</v>
      </c>
      <c r="J69" s="19">
        <f t="shared" si="3"/>
        <v>609.86500000000001</v>
      </c>
      <c r="K69" s="10" t="str">
        <f t="shared" si="4"/>
        <v>2025-03</v>
      </c>
      <c r="L69" s="10" t="str">
        <f>IFERROR(INDEX(Customers!$G$2:$G$61,MATCH(B69,Customers!$A$2:$A$61,0)),"")</f>
        <v>Consumer</v>
      </c>
      <c r="M69" s="10" t="str">
        <f>IFERROR(INDEX(Employees!$B$2:$B$37,MATCH(C69,Employees!$A$2:$A$37,0))&amp;" "&amp;INDEX(Employees!$C$2:$C$37,MATCH(C69,Employees!$A$2:$A$37,0)),"")</f>
        <v>Daniel Brown</v>
      </c>
      <c r="N69" s="10">
        <f t="shared" si="5"/>
        <v>3</v>
      </c>
    </row>
    <row r="70" spans="1:14" ht="15" customHeight="1" x14ac:dyDescent="0.25">
      <c r="A70" s="10">
        <v>69</v>
      </c>
      <c r="B70" s="10">
        <v>42</v>
      </c>
      <c r="C70" s="10">
        <v>10</v>
      </c>
      <c r="D70" s="10" t="s">
        <v>846</v>
      </c>
      <c r="E70" s="10" t="s">
        <v>802</v>
      </c>
      <c r="F70" s="10" t="s">
        <v>15</v>
      </c>
      <c r="G70" s="10" t="s">
        <v>37</v>
      </c>
      <c r="H70" s="19">
        <f>SUMIF(OrderItems!$B$2:$B$1254,A70,OrderItems!$G$2:$G$1254)</f>
        <v>107.43150000000001</v>
      </c>
      <c r="I70" s="19">
        <f>SUMIF(OrderItems!$B$2:$B$1254,A70,OrderItems!$K$2:$K$1254)</f>
        <v>53.64</v>
      </c>
      <c r="J70" s="19">
        <f t="shared" si="3"/>
        <v>53.791500000000013</v>
      </c>
      <c r="K70" s="10" t="str">
        <f t="shared" si="4"/>
        <v>2023-10</v>
      </c>
      <c r="L70" s="10" t="str">
        <f>IFERROR(INDEX(Customers!$G$2:$G$61,MATCH(B70,Customers!$A$2:$A$61,0)),"")</f>
        <v>Small Business</v>
      </c>
      <c r="M70" s="10" t="str">
        <f>IFERROR(INDEX(Employees!$B$2:$B$37,MATCH(C70,Employees!$A$2:$A$37,0))&amp;" "&amp;INDEX(Employees!$C$2:$C$37,MATCH(C70,Employees!$A$2:$A$37,0)),"")</f>
        <v>John Moore</v>
      </c>
      <c r="N70" s="10">
        <f t="shared" si="5"/>
        <v>5</v>
      </c>
    </row>
    <row r="71" spans="1:14" ht="15" customHeight="1" x14ac:dyDescent="0.25">
      <c r="A71" s="10">
        <v>70</v>
      </c>
      <c r="B71" s="10">
        <v>1</v>
      </c>
      <c r="C71" s="10">
        <v>9</v>
      </c>
      <c r="D71" s="10" t="s">
        <v>847</v>
      </c>
      <c r="E71" s="10" t="s">
        <v>848</v>
      </c>
      <c r="F71" s="10" t="s">
        <v>14</v>
      </c>
      <c r="G71" s="10" t="s">
        <v>39</v>
      </c>
      <c r="H71" s="19">
        <f>SUMIF(OrderItems!$B$2:$B$1254,A71,OrderItems!$G$2:$G$1254)</f>
        <v>4931.6264999999994</v>
      </c>
      <c r="I71" s="19">
        <f>SUMIF(OrderItems!$B$2:$B$1254,A71,OrderItems!$K$2:$K$1254)</f>
        <v>2833.62</v>
      </c>
      <c r="J71" s="19">
        <f t="shared" si="3"/>
        <v>2098.0064999999995</v>
      </c>
      <c r="K71" s="10" t="str">
        <f t="shared" si="4"/>
        <v>2024-08</v>
      </c>
      <c r="L71" s="10" t="str">
        <f>IFERROR(INDEX(Customers!$G$2:$G$61,MATCH(B71,Customers!$A$2:$A$61,0)),"")</f>
        <v>Corporate</v>
      </c>
      <c r="M71" s="10" t="str">
        <f>IFERROR(INDEX(Employees!$B$2:$B$37,MATCH(C71,Employees!$A$2:$A$37,0))&amp;" "&amp;INDEX(Employees!$C$2:$C$37,MATCH(C71,Employees!$A$2:$A$37,0)),"")</f>
        <v>William Johnson</v>
      </c>
      <c r="N71" s="10">
        <f t="shared" si="5"/>
        <v>3</v>
      </c>
    </row>
    <row r="72" spans="1:14" ht="15" customHeight="1" x14ac:dyDescent="0.25">
      <c r="A72" s="10">
        <v>71</v>
      </c>
      <c r="B72" s="10">
        <v>25</v>
      </c>
      <c r="C72" s="10">
        <v>8</v>
      </c>
      <c r="D72" s="10" t="s">
        <v>849</v>
      </c>
      <c r="E72" s="10" t="s">
        <v>850</v>
      </c>
      <c r="F72" s="10" t="s">
        <v>18</v>
      </c>
      <c r="G72" s="10" t="s">
        <v>38</v>
      </c>
      <c r="H72" s="19">
        <f>SUMIF(OrderItems!$B$2:$B$1254,A72,OrderItems!$G$2:$G$1254)</f>
        <v>6045.393</v>
      </c>
      <c r="I72" s="19">
        <f>SUMIF(OrderItems!$B$2:$B$1254,A72,OrderItems!$K$2:$K$1254)</f>
        <v>3402.16</v>
      </c>
      <c r="J72" s="19">
        <f t="shared" si="3"/>
        <v>2643.2330000000002</v>
      </c>
      <c r="K72" s="10" t="str">
        <f t="shared" si="4"/>
        <v>2025-07</v>
      </c>
      <c r="L72" s="10" t="str">
        <f>IFERROR(INDEX(Customers!$G$2:$G$61,MATCH(B72,Customers!$A$2:$A$61,0)),"")</f>
        <v>Small Business</v>
      </c>
      <c r="M72" s="10" t="str">
        <f>IFERROR(INDEX(Employees!$B$2:$B$37,MATCH(C72,Employees!$A$2:$A$37,0))&amp;" "&amp;INDEX(Employees!$C$2:$C$37,MATCH(C72,Employees!$A$2:$A$37,0)),"")</f>
        <v>John Gonzalez</v>
      </c>
      <c r="N72" s="10">
        <f t="shared" si="5"/>
        <v>6</v>
      </c>
    </row>
    <row r="73" spans="1:14" ht="15" customHeight="1" x14ac:dyDescent="0.25">
      <c r="A73" s="10">
        <v>72</v>
      </c>
      <c r="B73" s="10">
        <v>45</v>
      </c>
      <c r="C73" s="10">
        <v>1</v>
      </c>
      <c r="D73" s="10" t="s">
        <v>847</v>
      </c>
      <c r="F73" s="10" t="s">
        <v>16</v>
      </c>
      <c r="G73" s="10" t="s">
        <v>39</v>
      </c>
      <c r="H73" s="19">
        <f>SUMIF(OrderItems!$B$2:$B$1254,A73,OrderItems!$G$2:$G$1254)</f>
        <v>2483.6680000000001</v>
      </c>
      <c r="I73" s="19">
        <f>SUMIF(OrderItems!$B$2:$B$1254,A73,OrderItems!$K$2:$K$1254)</f>
        <v>1499.52</v>
      </c>
      <c r="J73" s="19">
        <f t="shared" si="3"/>
        <v>984.14800000000014</v>
      </c>
      <c r="K73" s="10" t="str">
        <f t="shared" si="4"/>
        <v>2024-08</v>
      </c>
      <c r="L73" s="10" t="str">
        <f>IFERROR(INDEX(Customers!$G$2:$G$61,MATCH(B73,Customers!$A$2:$A$61,0)),"")</f>
        <v>Consumer</v>
      </c>
      <c r="M73" s="10" t="str">
        <f>IFERROR(INDEX(Employees!$B$2:$B$37,MATCH(C73,Employees!$A$2:$A$37,0))&amp;" "&amp;INDEX(Employees!$C$2:$C$37,MATCH(C73,Employees!$A$2:$A$37,0)),"")</f>
        <v>Daniel Brown</v>
      </c>
      <c r="N73" s="10" t="str">
        <f t="shared" si="5"/>
        <v/>
      </c>
    </row>
    <row r="74" spans="1:14" ht="15" customHeight="1" x14ac:dyDescent="0.25">
      <c r="A74" s="10">
        <v>73</v>
      </c>
      <c r="B74" s="10">
        <v>49</v>
      </c>
      <c r="C74" s="10">
        <v>8</v>
      </c>
      <c r="D74" s="10" t="s">
        <v>851</v>
      </c>
      <c r="E74" s="10" t="s">
        <v>852</v>
      </c>
      <c r="F74" s="10" t="s">
        <v>14</v>
      </c>
      <c r="G74" s="10" t="s">
        <v>40</v>
      </c>
      <c r="H74" s="19">
        <f>SUMIF(OrderItems!$B$2:$B$1254,A74,OrderItems!$G$2:$G$1254)</f>
        <v>6897.7910000000002</v>
      </c>
      <c r="I74" s="19">
        <f>SUMIF(OrderItems!$B$2:$B$1254,A74,OrderItems!$K$2:$K$1254)</f>
        <v>4017.5</v>
      </c>
      <c r="J74" s="19">
        <f t="shared" si="3"/>
        <v>2880.2910000000002</v>
      </c>
      <c r="K74" s="10" t="str">
        <f t="shared" si="4"/>
        <v>2024-05</v>
      </c>
      <c r="L74" s="10" t="str">
        <f>IFERROR(INDEX(Customers!$G$2:$G$61,MATCH(B74,Customers!$A$2:$A$61,0)),"")</f>
        <v>Corporate</v>
      </c>
      <c r="M74" s="10" t="str">
        <f>IFERROR(INDEX(Employees!$B$2:$B$37,MATCH(C74,Employees!$A$2:$A$37,0))&amp;" "&amp;INDEX(Employees!$C$2:$C$37,MATCH(C74,Employees!$A$2:$A$37,0)),"")</f>
        <v>John Gonzalez</v>
      </c>
      <c r="N74" s="10">
        <f t="shared" si="5"/>
        <v>9</v>
      </c>
    </row>
    <row r="75" spans="1:14" ht="15" customHeight="1" x14ac:dyDescent="0.25">
      <c r="A75" s="10">
        <v>74</v>
      </c>
      <c r="B75" s="10">
        <v>8</v>
      </c>
      <c r="C75" s="10">
        <v>8</v>
      </c>
      <c r="D75" s="10" t="s">
        <v>853</v>
      </c>
      <c r="E75" s="10" t="s">
        <v>854</v>
      </c>
      <c r="F75" s="10" t="s">
        <v>14</v>
      </c>
      <c r="G75" s="10" t="s">
        <v>40</v>
      </c>
      <c r="H75" s="19">
        <f>SUMIF(OrderItems!$B$2:$B$1254,A75,OrderItems!$G$2:$G$1254)</f>
        <v>183.6</v>
      </c>
      <c r="I75" s="19">
        <f>SUMIF(OrderItems!$B$2:$B$1254,A75,OrderItems!$K$2:$K$1254)</f>
        <v>94.89</v>
      </c>
      <c r="J75" s="19">
        <f t="shared" si="3"/>
        <v>88.71</v>
      </c>
      <c r="K75" s="10" t="str">
        <f t="shared" si="4"/>
        <v>2025-09</v>
      </c>
      <c r="L75" s="10" t="str">
        <f>IFERROR(INDEX(Customers!$G$2:$G$61,MATCH(B75,Customers!$A$2:$A$61,0)),"")</f>
        <v>Consumer</v>
      </c>
      <c r="M75" s="10" t="str">
        <f>IFERROR(INDEX(Employees!$B$2:$B$37,MATCH(C75,Employees!$A$2:$A$37,0))&amp;" "&amp;INDEX(Employees!$C$2:$C$37,MATCH(C75,Employees!$A$2:$A$37,0)),"")</f>
        <v>John Gonzalez</v>
      </c>
      <c r="N75" s="10">
        <f t="shared" si="5"/>
        <v>9</v>
      </c>
    </row>
    <row r="76" spans="1:14" ht="15" customHeight="1" x14ac:dyDescent="0.25">
      <c r="A76" s="10">
        <v>75</v>
      </c>
      <c r="B76" s="10">
        <v>37</v>
      </c>
      <c r="C76" s="10">
        <v>1</v>
      </c>
      <c r="D76" s="10" t="s">
        <v>855</v>
      </c>
      <c r="E76" s="10" t="s">
        <v>856</v>
      </c>
      <c r="F76" s="10" t="s">
        <v>18</v>
      </c>
      <c r="G76" s="10" t="s">
        <v>40</v>
      </c>
      <c r="H76" s="19">
        <f>SUMIF(OrderItems!$B$2:$B$1254,A76,OrderItems!$G$2:$G$1254)</f>
        <v>4859.1309999999994</v>
      </c>
      <c r="I76" s="19">
        <f>SUMIF(OrderItems!$B$2:$B$1254,A76,OrderItems!$K$2:$K$1254)</f>
        <v>3203.4500000000007</v>
      </c>
      <c r="J76" s="19">
        <f t="shared" si="3"/>
        <v>1655.6809999999987</v>
      </c>
      <c r="K76" s="10" t="str">
        <f t="shared" si="4"/>
        <v>2025-08</v>
      </c>
      <c r="L76" s="10" t="str">
        <f>IFERROR(INDEX(Customers!$G$2:$G$61,MATCH(B76,Customers!$A$2:$A$61,0)),"")</f>
        <v>Corporate</v>
      </c>
      <c r="M76" s="10" t="str">
        <f>IFERROR(INDEX(Employees!$B$2:$B$37,MATCH(C76,Employees!$A$2:$A$37,0))&amp;" "&amp;INDEX(Employees!$C$2:$C$37,MATCH(C76,Employees!$A$2:$A$37,0)),"")</f>
        <v>Daniel Brown</v>
      </c>
      <c r="N76" s="10">
        <f t="shared" si="5"/>
        <v>1</v>
      </c>
    </row>
    <row r="77" spans="1:14" ht="15" customHeight="1" x14ac:dyDescent="0.25">
      <c r="A77" s="10">
        <v>76</v>
      </c>
      <c r="B77" s="10">
        <v>60</v>
      </c>
      <c r="C77" s="10">
        <v>1</v>
      </c>
      <c r="D77" s="10" t="s">
        <v>857</v>
      </c>
      <c r="E77" s="10" t="s">
        <v>858</v>
      </c>
      <c r="F77" s="10" t="s">
        <v>14</v>
      </c>
      <c r="G77" s="10" t="s">
        <v>40</v>
      </c>
      <c r="H77" s="19">
        <f>SUMIF(OrderItems!$B$2:$B$1254,A77,OrderItems!$G$2:$G$1254)</f>
        <v>3541.4364999999998</v>
      </c>
      <c r="I77" s="19">
        <f>SUMIF(OrderItems!$B$2:$B$1254,A77,OrderItems!$K$2:$K$1254)</f>
        <v>2218.58</v>
      </c>
      <c r="J77" s="19">
        <f t="shared" si="3"/>
        <v>1322.8564999999999</v>
      </c>
      <c r="K77" s="10" t="str">
        <f t="shared" si="4"/>
        <v>2025-08</v>
      </c>
      <c r="L77" s="10" t="str">
        <f>IFERROR(INDEX(Customers!$G$2:$G$61,MATCH(B77,Customers!$A$2:$A$61,0)),"")</f>
        <v>Consumer</v>
      </c>
      <c r="M77" s="10" t="str">
        <f>IFERROR(INDEX(Employees!$B$2:$B$37,MATCH(C77,Employees!$A$2:$A$37,0))&amp;" "&amp;INDEX(Employees!$C$2:$C$37,MATCH(C77,Employees!$A$2:$A$37,0)),"")</f>
        <v>Daniel Brown</v>
      </c>
      <c r="N77" s="10">
        <f t="shared" si="5"/>
        <v>5</v>
      </c>
    </row>
    <row r="78" spans="1:14" ht="15" customHeight="1" x14ac:dyDescent="0.25">
      <c r="A78" s="10">
        <v>77</v>
      </c>
      <c r="B78" s="10">
        <v>6</v>
      </c>
      <c r="C78" s="10">
        <v>8</v>
      </c>
      <c r="D78" s="10" t="s">
        <v>859</v>
      </c>
      <c r="E78" s="10" t="s">
        <v>860</v>
      </c>
      <c r="F78" s="10" t="s">
        <v>14</v>
      </c>
      <c r="G78" s="10" t="s">
        <v>39</v>
      </c>
      <c r="H78" s="19">
        <f>SUMIF(OrderItems!$B$2:$B$1254,A78,OrderItems!$G$2:$G$1254)</f>
        <v>3845.1940000000004</v>
      </c>
      <c r="I78" s="19">
        <f>SUMIF(OrderItems!$B$2:$B$1254,A78,OrderItems!$K$2:$K$1254)</f>
        <v>2654.94</v>
      </c>
      <c r="J78" s="19">
        <f t="shared" si="3"/>
        <v>1190.2540000000004</v>
      </c>
      <c r="K78" s="10" t="str">
        <f t="shared" si="4"/>
        <v>2024-12</v>
      </c>
      <c r="L78" s="10" t="str">
        <f>IFERROR(INDEX(Customers!$G$2:$G$61,MATCH(B78,Customers!$A$2:$A$61,0)),"")</f>
        <v>Consumer</v>
      </c>
      <c r="M78" s="10" t="str">
        <f>IFERROR(INDEX(Employees!$B$2:$B$37,MATCH(C78,Employees!$A$2:$A$37,0))&amp;" "&amp;INDEX(Employees!$C$2:$C$37,MATCH(C78,Employees!$A$2:$A$37,0)),"")</f>
        <v>John Gonzalez</v>
      </c>
      <c r="N78" s="10">
        <f t="shared" si="5"/>
        <v>3</v>
      </c>
    </row>
    <row r="79" spans="1:14" ht="15" customHeight="1" x14ac:dyDescent="0.25">
      <c r="A79" s="10">
        <v>78</v>
      </c>
      <c r="B79" s="10">
        <v>53</v>
      </c>
      <c r="C79" s="10">
        <v>8</v>
      </c>
      <c r="D79" s="10" t="s">
        <v>851</v>
      </c>
      <c r="E79" s="10" t="s">
        <v>861</v>
      </c>
      <c r="F79" s="10" t="s">
        <v>15</v>
      </c>
      <c r="G79" s="10" t="s">
        <v>37</v>
      </c>
      <c r="H79" s="19">
        <f>SUMIF(OrderItems!$B$2:$B$1254,A79,OrderItems!$G$2:$G$1254)</f>
        <v>2554.36</v>
      </c>
      <c r="I79" s="19">
        <f>SUMIF(OrderItems!$B$2:$B$1254,A79,OrderItems!$K$2:$K$1254)</f>
        <v>1315.59</v>
      </c>
      <c r="J79" s="19">
        <f t="shared" si="3"/>
        <v>1238.7700000000002</v>
      </c>
      <c r="K79" s="10" t="str">
        <f t="shared" si="4"/>
        <v>2024-05</v>
      </c>
      <c r="L79" s="10" t="str">
        <f>IFERROR(INDEX(Customers!$G$2:$G$61,MATCH(B79,Customers!$A$2:$A$61,0)),"")</f>
        <v>Corporate</v>
      </c>
      <c r="M79" s="10" t="str">
        <f>IFERROR(INDEX(Employees!$B$2:$B$37,MATCH(C79,Employees!$A$2:$A$37,0))&amp;" "&amp;INDEX(Employees!$C$2:$C$37,MATCH(C79,Employees!$A$2:$A$37,0)),"")</f>
        <v>John Gonzalez</v>
      </c>
      <c r="N79" s="10">
        <f t="shared" si="5"/>
        <v>6</v>
      </c>
    </row>
    <row r="80" spans="1:14" ht="15" customHeight="1" x14ac:dyDescent="0.25">
      <c r="A80" s="10">
        <v>79</v>
      </c>
      <c r="B80" s="10">
        <v>29</v>
      </c>
      <c r="C80" s="10">
        <v>1</v>
      </c>
      <c r="D80" s="10" t="s">
        <v>862</v>
      </c>
      <c r="E80" s="10" t="s">
        <v>751</v>
      </c>
      <c r="F80" s="10" t="s">
        <v>14</v>
      </c>
      <c r="G80" s="10" t="s">
        <v>40</v>
      </c>
      <c r="H80" s="19">
        <f>SUMIF(OrderItems!$B$2:$B$1254,A80,OrderItems!$G$2:$G$1254)</f>
        <v>1499.04</v>
      </c>
      <c r="I80" s="19">
        <f>SUMIF(OrderItems!$B$2:$B$1254,A80,OrderItems!$K$2:$K$1254)</f>
        <v>1100.04</v>
      </c>
      <c r="J80" s="19">
        <f t="shared" si="3"/>
        <v>399</v>
      </c>
      <c r="K80" s="10" t="str">
        <f t="shared" si="4"/>
        <v>2024-05</v>
      </c>
      <c r="L80" s="10" t="str">
        <f>IFERROR(INDEX(Customers!$G$2:$G$61,MATCH(B80,Customers!$A$2:$A$61,0)),"")</f>
        <v>Consumer</v>
      </c>
      <c r="M80" s="10" t="str">
        <f>IFERROR(INDEX(Employees!$B$2:$B$37,MATCH(C80,Employees!$A$2:$A$37,0))&amp;" "&amp;INDEX(Employees!$C$2:$C$37,MATCH(C80,Employees!$A$2:$A$37,0)),"")</f>
        <v>Daniel Brown</v>
      </c>
      <c r="N80" s="10">
        <f t="shared" si="5"/>
        <v>7</v>
      </c>
    </row>
    <row r="81" spans="1:14" ht="15" customHeight="1" x14ac:dyDescent="0.25">
      <c r="A81" s="10">
        <v>80</v>
      </c>
      <c r="B81" s="10">
        <v>37</v>
      </c>
      <c r="C81" s="10">
        <v>9</v>
      </c>
      <c r="D81" s="10" t="s">
        <v>863</v>
      </c>
      <c r="E81" s="10" t="s">
        <v>799</v>
      </c>
      <c r="F81" s="10" t="s">
        <v>18</v>
      </c>
      <c r="G81" s="10" t="s">
        <v>39</v>
      </c>
      <c r="H81" s="19">
        <f>SUMIF(OrderItems!$B$2:$B$1254,A81,OrderItems!$G$2:$G$1254)</f>
        <v>3013.7640000000001</v>
      </c>
      <c r="I81" s="19">
        <f>SUMIF(OrderItems!$B$2:$B$1254,A81,OrderItems!$K$2:$K$1254)</f>
        <v>1394.65</v>
      </c>
      <c r="J81" s="19">
        <f t="shared" si="3"/>
        <v>1619.114</v>
      </c>
      <c r="K81" s="10" t="str">
        <f t="shared" si="4"/>
        <v>2024-04</v>
      </c>
      <c r="L81" s="10" t="str">
        <f>IFERROR(INDEX(Customers!$G$2:$G$61,MATCH(B81,Customers!$A$2:$A$61,0)),"")</f>
        <v>Corporate</v>
      </c>
      <c r="M81" s="10" t="str">
        <f>IFERROR(INDEX(Employees!$B$2:$B$37,MATCH(C81,Employees!$A$2:$A$37,0))&amp;" "&amp;INDEX(Employees!$C$2:$C$37,MATCH(C81,Employees!$A$2:$A$37,0)),"")</f>
        <v>William Johnson</v>
      </c>
      <c r="N81" s="10">
        <f t="shared" si="5"/>
        <v>3</v>
      </c>
    </row>
    <row r="82" spans="1:14" ht="15" customHeight="1" x14ac:dyDescent="0.25">
      <c r="A82" s="10">
        <v>81</v>
      </c>
      <c r="B82" s="10">
        <v>41</v>
      </c>
      <c r="C82" s="10">
        <v>10</v>
      </c>
      <c r="D82" s="10" t="s">
        <v>864</v>
      </c>
      <c r="E82" s="10" t="s">
        <v>865</v>
      </c>
      <c r="F82" s="10" t="s">
        <v>14</v>
      </c>
      <c r="G82" s="10" t="s">
        <v>40</v>
      </c>
      <c r="H82" s="19">
        <f>SUMIF(OrderItems!$B$2:$B$1254,A82,OrderItems!$G$2:$G$1254)</f>
        <v>8073.1829999999991</v>
      </c>
      <c r="I82" s="19">
        <f>SUMIF(OrderItems!$B$2:$B$1254,A82,OrderItems!$K$2:$K$1254)</f>
        <v>4378.03</v>
      </c>
      <c r="J82" s="19">
        <f t="shared" si="3"/>
        <v>3695.1529999999993</v>
      </c>
      <c r="K82" s="10" t="str">
        <f t="shared" si="4"/>
        <v>2025-10</v>
      </c>
      <c r="L82" s="10" t="str">
        <f>IFERROR(INDEX(Customers!$G$2:$G$61,MATCH(B82,Customers!$A$2:$A$61,0)),"")</f>
        <v>Small Business</v>
      </c>
      <c r="M82" s="10" t="str">
        <f>IFERROR(INDEX(Employees!$B$2:$B$37,MATCH(C82,Employees!$A$2:$A$37,0))&amp;" "&amp;INDEX(Employees!$C$2:$C$37,MATCH(C82,Employees!$A$2:$A$37,0)),"")</f>
        <v>John Moore</v>
      </c>
      <c r="N82" s="10">
        <f t="shared" si="5"/>
        <v>6</v>
      </c>
    </row>
    <row r="83" spans="1:14" ht="15" customHeight="1" x14ac:dyDescent="0.25">
      <c r="A83" s="10">
        <v>82</v>
      </c>
      <c r="B83" s="10">
        <v>52</v>
      </c>
      <c r="C83" s="10">
        <v>10</v>
      </c>
      <c r="D83" s="10" t="s">
        <v>866</v>
      </c>
      <c r="F83" s="10" t="s">
        <v>17</v>
      </c>
      <c r="G83" s="10" t="s">
        <v>40</v>
      </c>
      <c r="H83" s="19">
        <f>SUMIF(OrderItems!$B$2:$B$1254,A83,OrderItems!$G$2:$G$1254)</f>
        <v>9381.3020000000015</v>
      </c>
      <c r="I83" s="19">
        <f>SUMIF(OrderItems!$B$2:$B$1254,A83,OrderItems!$K$2:$K$1254)</f>
        <v>5218.83</v>
      </c>
      <c r="J83" s="19">
        <f t="shared" si="3"/>
        <v>4162.4720000000016</v>
      </c>
      <c r="K83" s="10" t="str">
        <f t="shared" si="4"/>
        <v>2023-04</v>
      </c>
      <c r="L83" s="10" t="str">
        <f>IFERROR(INDEX(Customers!$G$2:$G$61,MATCH(B83,Customers!$A$2:$A$61,0)),"")</f>
        <v>Corporate</v>
      </c>
      <c r="M83" s="10" t="str">
        <f>IFERROR(INDEX(Employees!$B$2:$B$37,MATCH(C83,Employees!$A$2:$A$37,0))&amp;" "&amp;INDEX(Employees!$C$2:$C$37,MATCH(C83,Employees!$A$2:$A$37,0)),"")</f>
        <v>John Moore</v>
      </c>
      <c r="N83" s="10" t="str">
        <f t="shared" si="5"/>
        <v/>
      </c>
    </row>
    <row r="84" spans="1:14" ht="15" customHeight="1" x14ac:dyDescent="0.25">
      <c r="A84" s="10">
        <v>83</v>
      </c>
      <c r="B84" s="10">
        <v>18</v>
      </c>
      <c r="C84" s="10">
        <v>10</v>
      </c>
      <c r="D84" s="10" t="s">
        <v>867</v>
      </c>
      <c r="E84" s="10" t="s">
        <v>868</v>
      </c>
      <c r="F84" s="10" t="s">
        <v>14</v>
      </c>
      <c r="G84" s="10" t="s">
        <v>39</v>
      </c>
      <c r="H84" s="19">
        <f>SUMIF(OrderItems!$B$2:$B$1254,A84,OrderItems!$G$2:$G$1254)</f>
        <v>2390.3809999999999</v>
      </c>
      <c r="I84" s="19">
        <f>SUMIF(OrderItems!$B$2:$B$1254,A84,OrderItems!$K$2:$K$1254)</f>
        <v>1271.74</v>
      </c>
      <c r="J84" s="19">
        <f t="shared" si="3"/>
        <v>1118.6409999999998</v>
      </c>
      <c r="K84" s="10" t="str">
        <f t="shared" si="4"/>
        <v>2023-03</v>
      </c>
      <c r="L84" s="10" t="str">
        <f>IFERROR(INDEX(Customers!$G$2:$G$61,MATCH(B84,Customers!$A$2:$A$61,0)),"")</f>
        <v>Small Business</v>
      </c>
      <c r="M84" s="10" t="str">
        <f>IFERROR(INDEX(Employees!$B$2:$B$37,MATCH(C84,Employees!$A$2:$A$37,0))&amp;" "&amp;INDEX(Employees!$C$2:$C$37,MATCH(C84,Employees!$A$2:$A$37,0)),"")</f>
        <v>John Moore</v>
      </c>
      <c r="N84" s="10">
        <f t="shared" si="5"/>
        <v>4</v>
      </c>
    </row>
    <row r="85" spans="1:14" ht="15" customHeight="1" x14ac:dyDescent="0.25">
      <c r="A85" s="10">
        <v>84</v>
      </c>
      <c r="B85" s="10">
        <v>59</v>
      </c>
      <c r="C85" s="10">
        <v>8</v>
      </c>
      <c r="D85" s="10" t="s">
        <v>783</v>
      </c>
      <c r="E85" s="10" t="s">
        <v>759</v>
      </c>
      <c r="F85" s="10" t="s">
        <v>18</v>
      </c>
      <c r="G85" s="10" t="s">
        <v>40</v>
      </c>
      <c r="H85" s="19">
        <f>SUMIF(OrderItems!$B$2:$B$1254,A85,OrderItems!$G$2:$G$1254)</f>
        <v>7938.3640000000005</v>
      </c>
      <c r="I85" s="19">
        <f>SUMIF(OrderItems!$B$2:$B$1254,A85,OrderItems!$K$2:$K$1254)</f>
        <v>5204.5199999999995</v>
      </c>
      <c r="J85" s="19">
        <f t="shared" si="3"/>
        <v>2733.844000000001</v>
      </c>
      <c r="K85" s="10" t="str">
        <f t="shared" si="4"/>
        <v>2024-10</v>
      </c>
      <c r="L85" s="10" t="str">
        <f>IFERROR(INDEX(Customers!$G$2:$G$61,MATCH(B85,Customers!$A$2:$A$61,0)),"")</f>
        <v>Corporate</v>
      </c>
      <c r="M85" s="10" t="str">
        <f>IFERROR(INDEX(Employees!$B$2:$B$37,MATCH(C85,Employees!$A$2:$A$37,0))&amp;" "&amp;INDEX(Employees!$C$2:$C$37,MATCH(C85,Employees!$A$2:$A$37,0)),"")</f>
        <v>John Gonzalez</v>
      </c>
      <c r="N85" s="10">
        <f t="shared" si="5"/>
        <v>7</v>
      </c>
    </row>
    <row r="86" spans="1:14" ht="15" customHeight="1" x14ac:dyDescent="0.25">
      <c r="A86" s="10">
        <v>85</v>
      </c>
      <c r="B86" s="10">
        <v>37</v>
      </c>
      <c r="C86" s="10">
        <v>8</v>
      </c>
      <c r="D86" s="10" t="s">
        <v>869</v>
      </c>
      <c r="E86" s="10" t="s">
        <v>835</v>
      </c>
      <c r="F86" s="10" t="s">
        <v>14</v>
      </c>
      <c r="G86" s="10" t="s">
        <v>39</v>
      </c>
      <c r="H86" s="19">
        <f>SUMIF(OrderItems!$B$2:$B$1254,A86,OrderItems!$G$2:$G$1254)</f>
        <v>8646.8834999999999</v>
      </c>
      <c r="I86" s="19">
        <f>SUMIF(OrderItems!$B$2:$B$1254,A86,OrderItems!$K$2:$K$1254)</f>
        <v>5387.73</v>
      </c>
      <c r="J86" s="19">
        <f t="shared" si="3"/>
        <v>3259.1535000000003</v>
      </c>
      <c r="K86" s="10" t="str">
        <f t="shared" si="4"/>
        <v>2023-10</v>
      </c>
      <c r="L86" s="10" t="str">
        <f>IFERROR(INDEX(Customers!$G$2:$G$61,MATCH(B86,Customers!$A$2:$A$61,0)),"")</f>
        <v>Corporate</v>
      </c>
      <c r="M86" s="10" t="str">
        <f>IFERROR(INDEX(Employees!$B$2:$B$37,MATCH(C86,Employees!$A$2:$A$37,0))&amp;" "&amp;INDEX(Employees!$C$2:$C$37,MATCH(C86,Employees!$A$2:$A$37,0)),"")</f>
        <v>John Gonzalez</v>
      </c>
      <c r="N86" s="10">
        <f t="shared" si="5"/>
        <v>5</v>
      </c>
    </row>
    <row r="87" spans="1:14" ht="15" customHeight="1" x14ac:dyDescent="0.25">
      <c r="A87" s="10">
        <v>86</v>
      </c>
      <c r="B87" s="10">
        <v>17</v>
      </c>
      <c r="C87" s="10">
        <v>10</v>
      </c>
      <c r="D87" s="10" t="s">
        <v>870</v>
      </c>
      <c r="E87" s="10" t="s">
        <v>871</v>
      </c>
      <c r="F87" s="10" t="s">
        <v>15</v>
      </c>
      <c r="G87" s="10" t="s">
        <v>38</v>
      </c>
      <c r="H87" s="19">
        <f>SUMIF(OrderItems!$B$2:$B$1254,A87,OrderItems!$G$2:$G$1254)</f>
        <v>2367.3554999999997</v>
      </c>
      <c r="I87" s="19">
        <f>SUMIF(OrderItems!$B$2:$B$1254,A87,OrderItems!$K$2:$K$1254)</f>
        <v>1356.36</v>
      </c>
      <c r="J87" s="19">
        <f t="shared" si="3"/>
        <v>1010.9954999999998</v>
      </c>
      <c r="K87" s="10" t="str">
        <f t="shared" si="4"/>
        <v>2025-10</v>
      </c>
      <c r="L87" s="10" t="str">
        <f>IFERROR(INDEX(Customers!$G$2:$G$61,MATCH(B87,Customers!$A$2:$A$61,0)),"")</f>
        <v>Small Business</v>
      </c>
      <c r="M87" s="10" t="str">
        <f>IFERROR(INDEX(Employees!$B$2:$B$37,MATCH(C87,Employees!$A$2:$A$37,0))&amp;" "&amp;INDEX(Employees!$C$2:$C$37,MATCH(C87,Employees!$A$2:$A$37,0)),"")</f>
        <v>John Moore</v>
      </c>
      <c r="N87" s="10">
        <f t="shared" si="5"/>
        <v>3</v>
      </c>
    </row>
    <row r="88" spans="1:14" ht="15" customHeight="1" x14ac:dyDescent="0.25">
      <c r="A88" s="10">
        <v>87</v>
      </c>
      <c r="B88" s="10">
        <v>49</v>
      </c>
      <c r="C88" s="10">
        <v>1</v>
      </c>
      <c r="D88" s="10" t="s">
        <v>872</v>
      </c>
      <c r="E88" s="10" t="s">
        <v>873</v>
      </c>
      <c r="F88" s="10" t="s">
        <v>14</v>
      </c>
      <c r="G88" s="10" t="s">
        <v>36</v>
      </c>
      <c r="H88" s="19">
        <f>SUMIF(OrderItems!$B$2:$B$1254,A88,OrderItems!$G$2:$G$1254)</f>
        <v>3349.9934999999996</v>
      </c>
      <c r="I88" s="19">
        <f>SUMIF(OrderItems!$B$2:$B$1254,A88,OrderItems!$K$2:$K$1254)</f>
        <v>1905.66</v>
      </c>
      <c r="J88" s="19">
        <f t="shared" si="3"/>
        <v>1444.3334999999995</v>
      </c>
      <c r="K88" s="10" t="str">
        <f t="shared" si="4"/>
        <v>2025-04</v>
      </c>
      <c r="L88" s="10" t="str">
        <f>IFERROR(INDEX(Customers!$G$2:$G$61,MATCH(B88,Customers!$A$2:$A$61,0)),"")</f>
        <v>Corporate</v>
      </c>
      <c r="M88" s="10" t="str">
        <f>IFERROR(INDEX(Employees!$B$2:$B$37,MATCH(C88,Employees!$A$2:$A$37,0))&amp;" "&amp;INDEX(Employees!$C$2:$C$37,MATCH(C88,Employees!$A$2:$A$37,0)),"")</f>
        <v>Daniel Brown</v>
      </c>
      <c r="N88" s="10">
        <f t="shared" si="5"/>
        <v>4</v>
      </c>
    </row>
    <row r="89" spans="1:14" ht="15" customHeight="1" x14ac:dyDescent="0.25">
      <c r="A89" s="10">
        <v>88</v>
      </c>
      <c r="B89" s="10">
        <v>43</v>
      </c>
      <c r="C89" s="10">
        <v>10</v>
      </c>
      <c r="D89" s="10" t="s">
        <v>874</v>
      </c>
      <c r="E89" s="10" t="s">
        <v>875</v>
      </c>
      <c r="F89" s="10" t="s">
        <v>14</v>
      </c>
      <c r="G89" s="10" t="s">
        <v>39</v>
      </c>
      <c r="H89" s="19">
        <f>SUMIF(OrderItems!$B$2:$B$1254,A89,OrderItems!$G$2:$G$1254)</f>
        <v>5369.4570000000003</v>
      </c>
      <c r="I89" s="19">
        <f>SUMIF(OrderItems!$B$2:$B$1254,A89,OrderItems!$K$2:$K$1254)</f>
        <v>3531.5</v>
      </c>
      <c r="J89" s="19">
        <f t="shared" si="3"/>
        <v>1837.9570000000003</v>
      </c>
      <c r="K89" s="10" t="str">
        <f t="shared" si="4"/>
        <v>2023-02</v>
      </c>
      <c r="L89" s="10" t="str">
        <f>IFERROR(INDEX(Customers!$G$2:$G$61,MATCH(B89,Customers!$A$2:$A$61,0)),"")</f>
        <v>Corporate</v>
      </c>
      <c r="M89" s="10" t="str">
        <f>IFERROR(INDEX(Employees!$B$2:$B$37,MATCH(C89,Employees!$A$2:$A$37,0))&amp;" "&amp;INDEX(Employees!$C$2:$C$37,MATCH(C89,Employees!$A$2:$A$37,0)),"")</f>
        <v>John Moore</v>
      </c>
      <c r="N89" s="10">
        <f t="shared" si="5"/>
        <v>9</v>
      </c>
    </row>
    <row r="90" spans="1:14" ht="15" customHeight="1" x14ac:dyDescent="0.25">
      <c r="A90" s="10">
        <v>89</v>
      </c>
      <c r="B90" s="10">
        <v>59</v>
      </c>
      <c r="C90" s="10">
        <v>1</v>
      </c>
      <c r="D90" s="10" t="s">
        <v>876</v>
      </c>
      <c r="E90" s="10" t="s">
        <v>877</v>
      </c>
      <c r="F90" s="10" t="s">
        <v>14</v>
      </c>
      <c r="G90" s="10" t="s">
        <v>37</v>
      </c>
      <c r="H90" s="19">
        <f>SUMIF(OrderItems!$B$2:$B$1254,A90,OrderItems!$G$2:$G$1254)</f>
        <v>6272.9634999999998</v>
      </c>
      <c r="I90" s="19">
        <f>SUMIF(OrderItems!$B$2:$B$1254,A90,OrderItems!$K$2:$K$1254)</f>
        <v>3261.5499999999997</v>
      </c>
      <c r="J90" s="19">
        <f t="shared" si="3"/>
        <v>3011.4135000000001</v>
      </c>
      <c r="K90" s="10" t="str">
        <f t="shared" si="4"/>
        <v>2025-12</v>
      </c>
      <c r="L90" s="10" t="str">
        <f>IFERROR(INDEX(Customers!$G$2:$G$61,MATCH(B90,Customers!$A$2:$A$61,0)),"")</f>
        <v>Corporate</v>
      </c>
      <c r="M90" s="10" t="str">
        <f>IFERROR(INDEX(Employees!$B$2:$B$37,MATCH(C90,Employees!$A$2:$A$37,0))&amp;" "&amp;INDEX(Employees!$C$2:$C$37,MATCH(C90,Employees!$A$2:$A$37,0)),"")</f>
        <v>Daniel Brown</v>
      </c>
      <c r="N90" s="10">
        <f t="shared" si="5"/>
        <v>4</v>
      </c>
    </row>
    <row r="91" spans="1:14" ht="15" customHeight="1" x14ac:dyDescent="0.25">
      <c r="A91" s="10">
        <v>90</v>
      </c>
      <c r="B91" s="10">
        <v>6</v>
      </c>
      <c r="C91" s="10">
        <v>10</v>
      </c>
      <c r="D91" s="10" t="s">
        <v>878</v>
      </c>
      <c r="F91" s="10" t="s">
        <v>17</v>
      </c>
      <c r="G91" s="10" t="s">
        <v>39</v>
      </c>
      <c r="H91" s="19">
        <f>SUMIF(OrderItems!$B$2:$B$1254,A91,OrderItems!$G$2:$G$1254)</f>
        <v>5732.5575000000008</v>
      </c>
      <c r="I91" s="19">
        <f>SUMIF(OrderItems!$B$2:$B$1254,A91,OrderItems!$K$2:$K$1254)</f>
        <v>3442.1099999999997</v>
      </c>
      <c r="J91" s="19">
        <f t="shared" si="3"/>
        <v>2290.4475000000011</v>
      </c>
      <c r="K91" s="10" t="str">
        <f t="shared" si="4"/>
        <v>2025-02</v>
      </c>
      <c r="L91" s="10" t="str">
        <f>IFERROR(INDEX(Customers!$G$2:$G$61,MATCH(B91,Customers!$A$2:$A$61,0)),"")</f>
        <v>Consumer</v>
      </c>
      <c r="M91" s="10" t="str">
        <f>IFERROR(INDEX(Employees!$B$2:$B$37,MATCH(C91,Employees!$A$2:$A$37,0))&amp;" "&amp;INDEX(Employees!$C$2:$C$37,MATCH(C91,Employees!$A$2:$A$37,0)),"")</f>
        <v>John Moore</v>
      </c>
      <c r="N91" s="10" t="str">
        <f t="shared" si="5"/>
        <v/>
      </c>
    </row>
    <row r="92" spans="1:14" ht="15" customHeight="1" x14ac:dyDescent="0.25">
      <c r="A92" s="10">
        <v>91</v>
      </c>
      <c r="B92" s="10">
        <v>55</v>
      </c>
      <c r="C92" s="10">
        <v>1</v>
      </c>
      <c r="D92" s="10" t="s">
        <v>879</v>
      </c>
      <c r="E92" s="10" t="s">
        <v>880</v>
      </c>
      <c r="F92" s="10" t="s">
        <v>14</v>
      </c>
      <c r="G92" s="10" t="s">
        <v>37</v>
      </c>
      <c r="H92" s="19">
        <f>SUMIF(OrderItems!$B$2:$B$1254,A92,OrderItems!$G$2:$G$1254)</f>
        <v>6425.0860000000002</v>
      </c>
      <c r="I92" s="19">
        <f>SUMIF(OrderItems!$B$2:$B$1254,A92,OrderItems!$K$2:$K$1254)</f>
        <v>3919.2100000000005</v>
      </c>
      <c r="J92" s="19">
        <f t="shared" si="3"/>
        <v>2505.8759999999997</v>
      </c>
      <c r="K92" s="10" t="str">
        <f t="shared" si="4"/>
        <v>2025-12</v>
      </c>
      <c r="L92" s="10" t="str">
        <f>IFERROR(INDEX(Customers!$G$2:$G$61,MATCH(B92,Customers!$A$2:$A$61,0)),"")</f>
        <v>Consumer</v>
      </c>
      <c r="M92" s="10" t="str">
        <f>IFERROR(INDEX(Employees!$B$2:$B$37,MATCH(C92,Employees!$A$2:$A$37,0))&amp;" "&amp;INDEX(Employees!$C$2:$C$37,MATCH(C92,Employees!$A$2:$A$37,0)),"")</f>
        <v>Daniel Brown</v>
      </c>
      <c r="N92" s="10">
        <f t="shared" si="5"/>
        <v>4</v>
      </c>
    </row>
    <row r="93" spans="1:14" ht="15" customHeight="1" x14ac:dyDescent="0.25">
      <c r="A93" s="10">
        <v>92</v>
      </c>
      <c r="B93" s="10">
        <v>60</v>
      </c>
      <c r="C93" s="10">
        <v>1</v>
      </c>
      <c r="D93" s="10" t="s">
        <v>881</v>
      </c>
      <c r="E93" s="10" t="s">
        <v>882</v>
      </c>
      <c r="F93" s="10" t="s">
        <v>14</v>
      </c>
      <c r="G93" s="10" t="s">
        <v>37</v>
      </c>
      <c r="H93" s="19">
        <f>SUMIF(OrderItems!$B$2:$B$1254,A93,OrderItems!$G$2:$G$1254)</f>
        <v>2957.3430000000003</v>
      </c>
      <c r="I93" s="19">
        <f>SUMIF(OrderItems!$B$2:$B$1254,A93,OrderItems!$K$2:$K$1254)</f>
        <v>1779.69</v>
      </c>
      <c r="J93" s="19">
        <f t="shared" si="3"/>
        <v>1177.6530000000002</v>
      </c>
      <c r="K93" s="10" t="str">
        <f t="shared" si="4"/>
        <v>2024-09</v>
      </c>
      <c r="L93" s="10" t="str">
        <f>IFERROR(INDEX(Customers!$G$2:$G$61,MATCH(B93,Customers!$A$2:$A$61,0)),"")</f>
        <v>Consumer</v>
      </c>
      <c r="M93" s="10" t="str">
        <f>IFERROR(INDEX(Employees!$B$2:$B$37,MATCH(C93,Employees!$A$2:$A$37,0))&amp;" "&amp;INDEX(Employees!$C$2:$C$37,MATCH(C93,Employees!$A$2:$A$37,0)),"")</f>
        <v>Daniel Brown</v>
      </c>
      <c r="N93" s="10">
        <f t="shared" si="5"/>
        <v>10</v>
      </c>
    </row>
    <row r="94" spans="1:14" ht="15" customHeight="1" x14ac:dyDescent="0.25">
      <c r="A94" s="10">
        <v>93</v>
      </c>
      <c r="B94" s="10">
        <v>39</v>
      </c>
      <c r="C94" s="10">
        <v>10</v>
      </c>
      <c r="D94" s="10" t="s">
        <v>883</v>
      </c>
      <c r="E94" s="10" t="s">
        <v>884</v>
      </c>
      <c r="F94" s="10" t="s">
        <v>14</v>
      </c>
      <c r="G94" s="10" t="s">
        <v>40</v>
      </c>
      <c r="H94" s="19">
        <f>SUMIF(OrderItems!$B$2:$B$1254,A94,OrderItems!$G$2:$G$1254)</f>
        <v>6291.4049999999997</v>
      </c>
      <c r="I94" s="19">
        <f>SUMIF(OrderItems!$B$2:$B$1254,A94,OrderItems!$K$2:$K$1254)</f>
        <v>3504.5</v>
      </c>
      <c r="J94" s="19">
        <f t="shared" si="3"/>
        <v>2786.9049999999997</v>
      </c>
      <c r="K94" s="10" t="str">
        <f t="shared" si="4"/>
        <v>2024-10</v>
      </c>
      <c r="L94" s="10" t="str">
        <f>IFERROR(INDEX(Customers!$G$2:$G$61,MATCH(B94,Customers!$A$2:$A$61,0)),"")</f>
        <v>Consumer</v>
      </c>
      <c r="M94" s="10" t="str">
        <f>IFERROR(INDEX(Employees!$B$2:$B$37,MATCH(C94,Employees!$A$2:$A$37,0))&amp;" "&amp;INDEX(Employees!$C$2:$C$37,MATCH(C94,Employees!$A$2:$A$37,0)),"")</f>
        <v>John Moore</v>
      </c>
      <c r="N94" s="10">
        <f t="shared" si="5"/>
        <v>5</v>
      </c>
    </row>
    <row r="95" spans="1:14" ht="15" customHeight="1" x14ac:dyDescent="0.25">
      <c r="A95" s="10">
        <v>94</v>
      </c>
      <c r="B95" s="10">
        <v>6</v>
      </c>
      <c r="C95" s="10">
        <v>9</v>
      </c>
      <c r="D95" s="10" t="s">
        <v>821</v>
      </c>
      <c r="F95" s="10" t="s">
        <v>17</v>
      </c>
      <c r="G95" s="10" t="s">
        <v>37</v>
      </c>
      <c r="H95" s="19">
        <f>SUMIF(OrderItems!$B$2:$B$1254,A95,OrderItems!$G$2:$G$1254)</f>
        <v>3472.72</v>
      </c>
      <c r="I95" s="19">
        <f>SUMIF(OrderItems!$B$2:$B$1254,A95,OrderItems!$K$2:$K$1254)</f>
        <v>2271.39</v>
      </c>
      <c r="J95" s="19">
        <f t="shared" si="3"/>
        <v>1201.33</v>
      </c>
      <c r="K95" s="10" t="str">
        <f t="shared" si="4"/>
        <v>2023-11</v>
      </c>
      <c r="L95" s="10" t="str">
        <f>IFERROR(INDEX(Customers!$G$2:$G$61,MATCH(B95,Customers!$A$2:$A$61,0)),"")</f>
        <v>Consumer</v>
      </c>
      <c r="M95" s="10" t="str">
        <f>IFERROR(INDEX(Employees!$B$2:$B$37,MATCH(C95,Employees!$A$2:$A$37,0))&amp;" "&amp;INDEX(Employees!$C$2:$C$37,MATCH(C95,Employees!$A$2:$A$37,0)),"")</f>
        <v>William Johnson</v>
      </c>
      <c r="N95" s="10" t="str">
        <f t="shared" si="5"/>
        <v/>
      </c>
    </row>
    <row r="96" spans="1:14" ht="15" customHeight="1" x14ac:dyDescent="0.25">
      <c r="A96" s="10">
        <v>95</v>
      </c>
      <c r="B96" s="10">
        <v>12</v>
      </c>
      <c r="C96" s="10">
        <v>10</v>
      </c>
      <c r="D96" s="10" t="s">
        <v>885</v>
      </c>
      <c r="F96" s="10" t="s">
        <v>17</v>
      </c>
      <c r="G96" s="10" t="s">
        <v>36</v>
      </c>
      <c r="H96" s="19">
        <f>SUMIF(OrderItems!$B$2:$B$1254,A96,OrderItems!$G$2:$G$1254)</f>
        <v>1183.1940000000002</v>
      </c>
      <c r="I96" s="19">
        <f>SUMIF(OrderItems!$B$2:$B$1254,A96,OrderItems!$K$2:$K$1254)</f>
        <v>853.80000000000007</v>
      </c>
      <c r="J96" s="19">
        <f t="shared" si="3"/>
        <v>329.39400000000012</v>
      </c>
      <c r="K96" s="10" t="str">
        <f t="shared" si="4"/>
        <v>2025-07</v>
      </c>
      <c r="L96" s="10" t="str">
        <f>IFERROR(INDEX(Customers!$G$2:$G$61,MATCH(B96,Customers!$A$2:$A$61,0)),"")</f>
        <v>Small Business</v>
      </c>
      <c r="M96" s="10" t="str">
        <f>IFERROR(INDEX(Employees!$B$2:$B$37,MATCH(C96,Employees!$A$2:$A$37,0))&amp;" "&amp;INDEX(Employees!$C$2:$C$37,MATCH(C96,Employees!$A$2:$A$37,0)),"")</f>
        <v>John Moore</v>
      </c>
      <c r="N96" s="10" t="str">
        <f t="shared" si="5"/>
        <v/>
      </c>
    </row>
    <row r="97" spans="1:14" ht="15" customHeight="1" x14ac:dyDescent="0.25">
      <c r="A97" s="10">
        <v>96</v>
      </c>
      <c r="B97" s="10">
        <v>6</v>
      </c>
      <c r="C97" s="10">
        <v>9</v>
      </c>
      <c r="D97" s="10" t="s">
        <v>886</v>
      </c>
      <c r="E97" s="10" t="s">
        <v>887</v>
      </c>
      <c r="F97" s="10" t="s">
        <v>14</v>
      </c>
      <c r="G97" s="10" t="s">
        <v>40</v>
      </c>
      <c r="H97" s="19">
        <f>SUMIF(OrderItems!$B$2:$B$1254,A97,OrderItems!$G$2:$G$1254)</f>
        <v>8481.1839999999993</v>
      </c>
      <c r="I97" s="19">
        <f>SUMIF(OrderItems!$B$2:$B$1254,A97,OrderItems!$K$2:$K$1254)</f>
        <v>4222.2700000000004</v>
      </c>
      <c r="J97" s="19">
        <f t="shared" si="3"/>
        <v>4258.9139999999989</v>
      </c>
      <c r="K97" s="10" t="str">
        <f t="shared" si="4"/>
        <v>2025-02</v>
      </c>
      <c r="L97" s="10" t="str">
        <f>IFERROR(INDEX(Customers!$G$2:$G$61,MATCH(B97,Customers!$A$2:$A$61,0)),"")</f>
        <v>Consumer</v>
      </c>
      <c r="M97" s="10" t="str">
        <f>IFERROR(INDEX(Employees!$B$2:$B$37,MATCH(C97,Employees!$A$2:$A$37,0))&amp;" "&amp;INDEX(Employees!$C$2:$C$37,MATCH(C97,Employees!$A$2:$A$37,0)),"")</f>
        <v>William Johnson</v>
      </c>
      <c r="N97" s="10">
        <f t="shared" si="5"/>
        <v>5</v>
      </c>
    </row>
    <row r="98" spans="1:14" ht="15" customHeight="1" x14ac:dyDescent="0.25">
      <c r="A98" s="10">
        <v>97</v>
      </c>
      <c r="B98" s="10">
        <v>32</v>
      </c>
      <c r="C98" s="10">
        <v>8</v>
      </c>
      <c r="D98" s="10" t="s">
        <v>888</v>
      </c>
      <c r="E98" s="10" t="s">
        <v>889</v>
      </c>
      <c r="F98" s="10" t="s">
        <v>14</v>
      </c>
      <c r="G98" s="10" t="s">
        <v>38</v>
      </c>
      <c r="H98" s="19">
        <f>SUMIF(OrderItems!$B$2:$B$1254,A98,OrderItems!$G$2:$G$1254)</f>
        <v>7253.28</v>
      </c>
      <c r="I98" s="19">
        <f>SUMIF(OrderItems!$B$2:$B$1254,A98,OrderItems!$K$2:$K$1254)</f>
        <v>3660.66</v>
      </c>
      <c r="J98" s="19">
        <f t="shared" si="3"/>
        <v>3592.62</v>
      </c>
      <c r="K98" s="10" t="str">
        <f t="shared" si="4"/>
        <v>2023-05</v>
      </c>
      <c r="L98" s="10" t="str">
        <f>IFERROR(INDEX(Customers!$G$2:$G$61,MATCH(B98,Customers!$A$2:$A$61,0)),"")</f>
        <v>Small Business</v>
      </c>
      <c r="M98" s="10" t="str">
        <f>IFERROR(INDEX(Employees!$B$2:$B$37,MATCH(C98,Employees!$A$2:$A$37,0))&amp;" "&amp;INDEX(Employees!$C$2:$C$37,MATCH(C98,Employees!$A$2:$A$37,0)),"")</f>
        <v>John Gonzalez</v>
      </c>
      <c r="N98" s="10">
        <f t="shared" si="5"/>
        <v>7</v>
      </c>
    </row>
    <row r="99" spans="1:14" ht="15" customHeight="1" x14ac:dyDescent="0.25">
      <c r="A99" s="10">
        <v>98</v>
      </c>
      <c r="B99" s="10">
        <v>1</v>
      </c>
      <c r="C99" s="10">
        <v>10</v>
      </c>
      <c r="D99" s="10" t="s">
        <v>890</v>
      </c>
      <c r="F99" s="10" t="s">
        <v>17</v>
      </c>
      <c r="G99" s="10" t="s">
        <v>38</v>
      </c>
      <c r="H99" s="19">
        <f>SUMIF(OrderItems!$B$2:$B$1254,A99,OrderItems!$G$2:$G$1254)</f>
        <v>4007.8680000000004</v>
      </c>
      <c r="I99" s="19">
        <f>SUMIF(OrderItems!$B$2:$B$1254,A99,OrderItems!$K$2:$K$1254)</f>
        <v>2276.2600000000002</v>
      </c>
      <c r="J99" s="19">
        <f t="shared" si="3"/>
        <v>1731.6080000000002</v>
      </c>
      <c r="K99" s="10" t="str">
        <f t="shared" si="4"/>
        <v>2024-11</v>
      </c>
      <c r="L99" s="10" t="str">
        <f>IFERROR(INDEX(Customers!$G$2:$G$61,MATCH(B99,Customers!$A$2:$A$61,0)),"")</f>
        <v>Corporate</v>
      </c>
      <c r="M99" s="10" t="str">
        <f>IFERROR(INDEX(Employees!$B$2:$B$37,MATCH(C99,Employees!$A$2:$A$37,0))&amp;" "&amp;INDEX(Employees!$C$2:$C$37,MATCH(C99,Employees!$A$2:$A$37,0)),"")</f>
        <v>John Moore</v>
      </c>
      <c r="N99" s="10" t="str">
        <f t="shared" si="5"/>
        <v/>
      </c>
    </row>
    <row r="100" spans="1:14" ht="15" customHeight="1" x14ac:dyDescent="0.25">
      <c r="A100" s="10">
        <v>99</v>
      </c>
      <c r="B100" s="10">
        <v>26</v>
      </c>
      <c r="C100" s="10">
        <v>9</v>
      </c>
      <c r="D100" s="10" t="s">
        <v>891</v>
      </c>
      <c r="E100" s="10" t="s">
        <v>587</v>
      </c>
      <c r="F100" s="10" t="s">
        <v>15</v>
      </c>
      <c r="G100" s="10" t="s">
        <v>37</v>
      </c>
      <c r="H100" s="19">
        <f>SUMIF(OrderItems!$B$2:$B$1254,A100,OrderItems!$G$2:$G$1254)</f>
        <v>8839.17</v>
      </c>
      <c r="I100" s="19">
        <f>SUMIF(OrderItems!$B$2:$B$1254,A100,OrderItems!$K$2:$K$1254)</f>
        <v>4844.1400000000003</v>
      </c>
      <c r="J100" s="19">
        <f t="shared" si="3"/>
        <v>3995.0299999999997</v>
      </c>
      <c r="K100" s="10" t="str">
        <f t="shared" si="4"/>
        <v>2024-08</v>
      </c>
      <c r="L100" s="10" t="str">
        <f>IFERROR(INDEX(Customers!$G$2:$G$61,MATCH(B100,Customers!$A$2:$A$61,0)),"")</f>
        <v>Small Business</v>
      </c>
      <c r="M100" s="10" t="str">
        <f>IFERROR(INDEX(Employees!$B$2:$B$37,MATCH(C100,Employees!$A$2:$A$37,0))&amp;" "&amp;INDEX(Employees!$C$2:$C$37,MATCH(C100,Employees!$A$2:$A$37,0)),"")</f>
        <v>William Johnson</v>
      </c>
      <c r="N100" s="10">
        <f t="shared" si="5"/>
        <v>10</v>
      </c>
    </row>
    <row r="101" spans="1:14" ht="15" customHeight="1" x14ac:dyDescent="0.25">
      <c r="A101" s="10">
        <v>100</v>
      </c>
      <c r="B101" s="10">
        <v>46</v>
      </c>
      <c r="C101" s="10">
        <v>8</v>
      </c>
      <c r="D101" s="10" t="s">
        <v>892</v>
      </c>
      <c r="E101" s="10" t="s">
        <v>893</v>
      </c>
      <c r="F101" s="10" t="s">
        <v>18</v>
      </c>
      <c r="G101" s="10" t="s">
        <v>40</v>
      </c>
      <c r="H101" s="19">
        <f>SUMIF(OrderItems!$B$2:$B$1254,A101,OrderItems!$G$2:$G$1254)</f>
        <v>2676.6334999999999</v>
      </c>
      <c r="I101" s="19">
        <f>SUMIF(OrderItems!$B$2:$B$1254,A101,OrderItems!$K$2:$K$1254)</f>
        <v>1804.4399999999996</v>
      </c>
      <c r="J101" s="19">
        <f t="shared" si="3"/>
        <v>872.19350000000031</v>
      </c>
      <c r="K101" s="10" t="str">
        <f t="shared" si="4"/>
        <v>2025-06</v>
      </c>
      <c r="L101" s="10" t="str">
        <f>IFERROR(INDEX(Customers!$G$2:$G$61,MATCH(B101,Customers!$A$2:$A$61,0)),"")</f>
        <v>Small Business</v>
      </c>
      <c r="M101" s="10" t="str">
        <f>IFERROR(INDEX(Employees!$B$2:$B$37,MATCH(C101,Employees!$A$2:$A$37,0))&amp;" "&amp;INDEX(Employees!$C$2:$C$37,MATCH(C101,Employees!$A$2:$A$37,0)),"")</f>
        <v>John Gonzalez</v>
      </c>
      <c r="N101" s="10">
        <f t="shared" si="5"/>
        <v>2</v>
      </c>
    </row>
    <row r="102" spans="1:14" ht="15" customHeight="1" x14ac:dyDescent="0.25">
      <c r="A102" s="10">
        <v>101</v>
      </c>
      <c r="B102" s="10">
        <v>38</v>
      </c>
      <c r="C102" s="10">
        <v>10</v>
      </c>
      <c r="D102" s="10" t="s">
        <v>894</v>
      </c>
      <c r="F102" s="10" t="s">
        <v>17</v>
      </c>
      <c r="G102" s="10" t="s">
        <v>39</v>
      </c>
      <c r="H102" s="19">
        <f>SUMIF(OrderItems!$B$2:$B$1254,A102,OrderItems!$G$2:$G$1254)</f>
        <v>781.73099999999999</v>
      </c>
      <c r="I102" s="19">
        <f>SUMIF(OrderItems!$B$2:$B$1254,A102,OrderItems!$K$2:$K$1254)</f>
        <v>545.93999999999994</v>
      </c>
      <c r="J102" s="19">
        <f t="shared" si="3"/>
        <v>235.79100000000005</v>
      </c>
      <c r="K102" s="10" t="str">
        <f t="shared" si="4"/>
        <v>2025-12</v>
      </c>
      <c r="L102" s="10" t="str">
        <f>IFERROR(INDEX(Customers!$G$2:$G$61,MATCH(B102,Customers!$A$2:$A$61,0)),"")</f>
        <v>Small Business</v>
      </c>
      <c r="M102" s="10" t="str">
        <f>IFERROR(INDEX(Employees!$B$2:$B$37,MATCH(C102,Employees!$A$2:$A$37,0))&amp;" "&amp;INDEX(Employees!$C$2:$C$37,MATCH(C102,Employees!$A$2:$A$37,0)),"")</f>
        <v>John Moore</v>
      </c>
      <c r="N102" s="10" t="str">
        <f t="shared" si="5"/>
        <v/>
      </c>
    </row>
    <row r="103" spans="1:14" ht="15" customHeight="1" x14ac:dyDescent="0.25">
      <c r="A103" s="10">
        <v>102</v>
      </c>
      <c r="B103" s="10">
        <v>41</v>
      </c>
      <c r="C103" s="10">
        <v>1</v>
      </c>
      <c r="D103" s="10" t="s">
        <v>895</v>
      </c>
      <c r="E103" s="10" t="s">
        <v>896</v>
      </c>
      <c r="F103" s="10" t="s">
        <v>14</v>
      </c>
      <c r="G103" s="10" t="s">
        <v>37</v>
      </c>
      <c r="H103" s="19">
        <f>SUMIF(OrderItems!$B$2:$B$1254,A103,OrderItems!$G$2:$G$1254)</f>
        <v>9497.7834999999995</v>
      </c>
      <c r="I103" s="19">
        <f>SUMIF(OrderItems!$B$2:$B$1254,A103,OrderItems!$K$2:$K$1254)</f>
        <v>5684.12</v>
      </c>
      <c r="J103" s="19">
        <f t="shared" si="3"/>
        <v>3813.6634999999997</v>
      </c>
      <c r="K103" s="10" t="str">
        <f t="shared" si="4"/>
        <v>2023-08</v>
      </c>
      <c r="L103" s="10" t="str">
        <f>IFERROR(INDEX(Customers!$G$2:$G$61,MATCH(B103,Customers!$A$2:$A$61,0)),"")</f>
        <v>Small Business</v>
      </c>
      <c r="M103" s="10" t="str">
        <f>IFERROR(INDEX(Employees!$B$2:$B$37,MATCH(C103,Employees!$A$2:$A$37,0))&amp;" "&amp;INDEX(Employees!$C$2:$C$37,MATCH(C103,Employees!$A$2:$A$37,0)),"")</f>
        <v>Daniel Brown</v>
      </c>
      <c r="N103" s="10">
        <f t="shared" si="5"/>
        <v>6</v>
      </c>
    </row>
    <row r="104" spans="1:14" ht="15" customHeight="1" x14ac:dyDescent="0.25">
      <c r="A104" s="10">
        <v>103</v>
      </c>
      <c r="B104" s="10">
        <v>29</v>
      </c>
      <c r="C104" s="10">
        <v>9</v>
      </c>
      <c r="D104" s="10" t="s">
        <v>897</v>
      </c>
      <c r="E104" s="10" t="s">
        <v>898</v>
      </c>
      <c r="F104" s="10" t="s">
        <v>15</v>
      </c>
      <c r="G104" s="10" t="s">
        <v>39</v>
      </c>
      <c r="H104" s="19">
        <f>SUMIF(OrderItems!$B$2:$B$1254,A104,OrderItems!$G$2:$G$1254)</f>
        <v>2576.1875</v>
      </c>
      <c r="I104" s="19">
        <f>SUMIF(OrderItems!$B$2:$B$1254,A104,OrderItems!$K$2:$K$1254)</f>
        <v>1333.98</v>
      </c>
      <c r="J104" s="19">
        <f t="shared" si="3"/>
        <v>1242.2075</v>
      </c>
      <c r="K104" s="10" t="str">
        <f t="shared" si="4"/>
        <v>2025-03</v>
      </c>
      <c r="L104" s="10" t="str">
        <f>IFERROR(INDEX(Customers!$G$2:$G$61,MATCH(B104,Customers!$A$2:$A$61,0)),"")</f>
        <v>Consumer</v>
      </c>
      <c r="M104" s="10" t="str">
        <f>IFERROR(INDEX(Employees!$B$2:$B$37,MATCH(C104,Employees!$A$2:$A$37,0))&amp;" "&amp;INDEX(Employees!$C$2:$C$37,MATCH(C104,Employees!$A$2:$A$37,0)),"")</f>
        <v>William Johnson</v>
      </c>
      <c r="N104" s="10">
        <f t="shared" si="5"/>
        <v>10</v>
      </c>
    </row>
    <row r="105" spans="1:14" ht="15" customHeight="1" x14ac:dyDescent="0.25">
      <c r="A105" s="10">
        <v>104</v>
      </c>
      <c r="B105" s="10">
        <v>23</v>
      </c>
      <c r="C105" s="10">
        <v>9</v>
      </c>
      <c r="D105" s="10" t="s">
        <v>899</v>
      </c>
      <c r="E105" s="10" t="s">
        <v>900</v>
      </c>
      <c r="F105" s="10" t="s">
        <v>15</v>
      </c>
      <c r="G105" s="10" t="s">
        <v>39</v>
      </c>
      <c r="H105" s="19">
        <f>SUMIF(OrderItems!$B$2:$B$1254,A105,OrderItems!$G$2:$G$1254)</f>
        <v>2165.4119999999998</v>
      </c>
      <c r="I105" s="19">
        <f>SUMIF(OrderItems!$B$2:$B$1254,A105,OrderItems!$K$2:$K$1254)</f>
        <v>1229.2399999999998</v>
      </c>
      <c r="J105" s="19">
        <f t="shared" si="3"/>
        <v>936.17200000000003</v>
      </c>
      <c r="K105" s="10" t="str">
        <f t="shared" si="4"/>
        <v>2024-12</v>
      </c>
      <c r="L105" s="10" t="str">
        <f>IFERROR(INDEX(Customers!$G$2:$G$61,MATCH(B105,Customers!$A$2:$A$61,0)),"")</f>
        <v>Small Business</v>
      </c>
      <c r="M105" s="10" t="str">
        <f>IFERROR(INDEX(Employees!$B$2:$B$37,MATCH(C105,Employees!$A$2:$A$37,0))&amp;" "&amp;INDEX(Employees!$C$2:$C$37,MATCH(C105,Employees!$A$2:$A$37,0)),"")</f>
        <v>William Johnson</v>
      </c>
      <c r="N105" s="10">
        <f t="shared" si="5"/>
        <v>4</v>
      </c>
    </row>
    <row r="106" spans="1:14" ht="15" customHeight="1" x14ac:dyDescent="0.25">
      <c r="A106" s="10">
        <v>105</v>
      </c>
      <c r="B106" s="10">
        <v>60</v>
      </c>
      <c r="C106" s="10">
        <v>8</v>
      </c>
      <c r="D106" s="10" t="s">
        <v>901</v>
      </c>
      <c r="E106" s="10" t="s">
        <v>902</v>
      </c>
      <c r="F106" s="10" t="s">
        <v>14</v>
      </c>
      <c r="G106" s="10" t="s">
        <v>37</v>
      </c>
      <c r="H106" s="19">
        <f>SUMIF(OrderItems!$B$2:$B$1254,A106,OrderItems!$G$2:$G$1254)</f>
        <v>4877.6064999999999</v>
      </c>
      <c r="I106" s="19">
        <f>SUMIF(OrderItems!$B$2:$B$1254,A106,OrderItems!$K$2:$K$1254)</f>
        <v>2577.4</v>
      </c>
      <c r="J106" s="19">
        <f t="shared" si="3"/>
        <v>2300.2064999999998</v>
      </c>
      <c r="K106" s="10" t="str">
        <f t="shared" si="4"/>
        <v>2025-11</v>
      </c>
      <c r="L106" s="10" t="str">
        <f>IFERROR(INDEX(Customers!$G$2:$G$61,MATCH(B106,Customers!$A$2:$A$61,0)),"")</f>
        <v>Consumer</v>
      </c>
      <c r="M106" s="10" t="str">
        <f>IFERROR(INDEX(Employees!$B$2:$B$37,MATCH(C106,Employees!$A$2:$A$37,0))&amp;" "&amp;INDEX(Employees!$C$2:$C$37,MATCH(C106,Employees!$A$2:$A$37,0)),"")</f>
        <v>John Gonzalez</v>
      </c>
      <c r="N106" s="10">
        <f t="shared" si="5"/>
        <v>9</v>
      </c>
    </row>
    <row r="107" spans="1:14" ht="15" customHeight="1" x14ac:dyDescent="0.25">
      <c r="A107" s="10">
        <v>106</v>
      </c>
      <c r="B107" s="10">
        <v>26</v>
      </c>
      <c r="C107" s="10">
        <v>1</v>
      </c>
      <c r="D107" s="10" t="s">
        <v>903</v>
      </c>
      <c r="E107" s="10" t="s">
        <v>904</v>
      </c>
      <c r="F107" s="10" t="s">
        <v>15</v>
      </c>
      <c r="G107" s="10" t="s">
        <v>40</v>
      </c>
      <c r="H107" s="19">
        <f>SUMIF(OrderItems!$B$2:$B$1254,A107,OrderItems!$G$2:$G$1254)</f>
        <v>4476.348</v>
      </c>
      <c r="I107" s="19">
        <f>SUMIF(OrderItems!$B$2:$B$1254,A107,OrderItems!$K$2:$K$1254)</f>
        <v>2671.6600000000003</v>
      </c>
      <c r="J107" s="19">
        <f t="shared" si="3"/>
        <v>1804.6879999999996</v>
      </c>
      <c r="K107" s="10" t="str">
        <f t="shared" si="4"/>
        <v>2024-02</v>
      </c>
      <c r="L107" s="10" t="str">
        <f>IFERROR(INDEX(Customers!$G$2:$G$61,MATCH(B107,Customers!$A$2:$A$61,0)),"")</f>
        <v>Small Business</v>
      </c>
      <c r="M107" s="10" t="str">
        <f>IFERROR(INDEX(Employees!$B$2:$B$37,MATCH(C107,Employees!$A$2:$A$37,0))&amp;" "&amp;INDEX(Employees!$C$2:$C$37,MATCH(C107,Employees!$A$2:$A$37,0)),"")</f>
        <v>Daniel Brown</v>
      </c>
      <c r="N107" s="10">
        <f t="shared" si="5"/>
        <v>10</v>
      </c>
    </row>
    <row r="108" spans="1:14" ht="15" customHeight="1" x14ac:dyDescent="0.25">
      <c r="A108" s="10">
        <v>107</v>
      </c>
      <c r="B108" s="10">
        <v>8</v>
      </c>
      <c r="C108" s="10">
        <v>9</v>
      </c>
      <c r="D108" s="10" t="s">
        <v>905</v>
      </c>
      <c r="F108" s="10" t="s">
        <v>16</v>
      </c>
      <c r="G108" s="10" t="s">
        <v>39</v>
      </c>
      <c r="H108" s="19">
        <f>SUMIF(OrderItems!$B$2:$B$1254,A108,OrderItems!$G$2:$G$1254)</f>
        <v>8050.5570000000007</v>
      </c>
      <c r="I108" s="19">
        <f>SUMIF(OrderItems!$B$2:$B$1254,A108,OrderItems!$K$2:$K$1254)</f>
        <v>4971.4699999999993</v>
      </c>
      <c r="J108" s="19">
        <f t="shared" si="3"/>
        <v>3079.0870000000014</v>
      </c>
      <c r="K108" s="10" t="str">
        <f t="shared" si="4"/>
        <v>2025-09</v>
      </c>
      <c r="L108" s="10" t="str">
        <f>IFERROR(INDEX(Customers!$G$2:$G$61,MATCH(B108,Customers!$A$2:$A$61,0)),"")</f>
        <v>Consumer</v>
      </c>
      <c r="M108" s="10" t="str">
        <f>IFERROR(INDEX(Employees!$B$2:$B$37,MATCH(C108,Employees!$A$2:$A$37,0))&amp;" "&amp;INDEX(Employees!$C$2:$C$37,MATCH(C108,Employees!$A$2:$A$37,0)),"")</f>
        <v>William Johnson</v>
      </c>
      <c r="N108" s="10" t="str">
        <f t="shared" si="5"/>
        <v/>
      </c>
    </row>
    <row r="109" spans="1:14" ht="15" customHeight="1" x14ac:dyDescent="0.25">
      <c r="A109" s="10">
        <v>108</v>
      </c>
      <c r="B109" s="10">
        <v>21</v>
      </c>
      <c r="C109" s="10">
        <v>1</v>
      </c>
      <c r="D109" s="10" t="s">
        <v>799</v>
      </c>
      <c r="E109" s="10" t="s">
        <v>906</v>
      </c>
      <c r="F109" s="10" t="s">
        <v>18</v>
      </c>
      <c r="G109" s="10" t="s">
        <v>37</v>
      </c>
      <c r="H109" s="19">
        <f>SUMIF(OrderItems!$B$2:$B$1254,A109,OrderItems!$G$2:$G$1254)</f>
        <v>6479.6139999999987</v>
      </c>
      <c r="I109" s="19">
        <f>SUMIF(OrderItems!$B$2:$B$1254,A109,OrderItems!$K$2:$K$1254)</f>
        <v>4026.6699999999996</v>
      </c>
      <c r="J109" s="19">
        <f t="shared" si="3"/>
        <v>2452.9439999999991</v>
      </c>
      <c r="K109" s="10" t="str">
        <f t="shared" si="4"/>
        <v>2024-05</v>
      </c>
      <c r="L109" s="10" t="str">
        <f>IFERROR(INDEX(Customers!$G$2:$G$61,MATCH(B109,Customers!$A$2:$A$61,0)),"")</f>
        <v>Corporate</v>
      </c>
      <c r="M109" s="10" t="str">
        <f>IFERROR(INDEX(Employees!$B$2:$B$37,MATCH(C109,Employees!$A$2:$A$37,0))&amp;" "&amp;INDEX(Employees!$C$2:$C$37,MATCH(C109,Employees!$A$2:$A$37,0)),"")</f>
        <v>Daniel Brown</v>
      </c>
      <c r="N109" s="10">
        <f t="shared" si="5"/>
        <v>2</v>
      </c>
    </row>
    <row r="110" spans="1:14" ht="15" customHeight="1" x14ac:dyDescent="0.25">
      <c r="A110" s="10">
        <v>109</v>
      </c>
      <c r="B110" s="10">
        <v>32</v>
      </c>
      <c r="C110" s="10">
        <v>8</v>
      </c>
      <c r="D110" s="10" t="s">
        <v>808</v>
      </c>
      <c r="E110" s="10" t="s">
        <v>907</v>
      </c>
      <c r="F110" s="10" t="s">
        <v>15</v>
      </c>
      <c r="G110" s="10" t="s">
        <v>37</v>
      </c>
      <c r="H110" s="19">
        <f>SUMIF(OrderItems!$B$2:$B$1254,A110,OrderItems!$G$2:$G$1254)</f>
        <v>5645.9</v>
      </c>
      <c r="I110" s="19">
        <f>SUMIF(OrderItems!$B$2:$B$1254,A110,OrderItems!$K$2:$K$1254)</f>
        <v>2751.2999999999997</v>
      </c>
      <c r="J110" s="19">
        <f t="shared" si="3"/>
        <v>2894.6</v>
      </c>
      <c r="K110" s="10" t="str">
        <f t="shared" si="4"/>
        <v>2023-12</v>
      </c>
      <c r="L110" s="10" t="str">
        <f>IFERROR(INDEX(Customers!$G$2:$G$61,MATCH(B110,Customers!$A$2:$A$61,0)),"")</f>
        <v>Small Business</v>
      </c>
      <c r="M110" s="10" t="str">
        <f>IFERROR(INDEX(Employees!$B$2:$B$37,MATCH(C110,Employees!$A$2:$A$37,0))&amp;" "&amp;INDEX(Employees!$C$2:$C$37,MATCH(C110,Employees!$A$2:$A$37,0)),"")</f>
        <v>John Gonzalez</v>
      </c>
      <c r="N110" s="10">
        <f t="shared" si="5"/>
        <v>5</v>
      </c>
    </row>
    <row r="111" spans="1:14" ht="15" customHeight="1" x14ac:dyDescent="0.25">
      <c r="A111" s="10">
        <v>110</v>
      </c>
      <c r="B111" s="10">
        <v>36</v>
      </c>
      <c r="C111" s="10">
        <v>10</v>
      </c>
      <c r="D111" s="10" t="s">
        <v>908</v>
      </c>
      <c r="E111" s="10" t="s">
        <v>872</v>
      </c>
      <c r="F111" s="10" t="s">
        <v>15</v>
      </c>
      <c r="G111" s="10" t="s">
        <v>40</v>
      </c>
      <c r="H111" s="19">
        <f>SUMIF(OrderItems!$B$2:$B$1254,A111,OrderItems!$G$2:$G$1254)</f>
        <v>4855.9220000000005</v>
      </c>
      <c r="I111" s="19">
        <f>SUMIF(OrderItems!$B$2:$B$1254,A111,OrderItems!$K$2:$K$1254)</f>
        <v>2666.1099999999997</v>
      </c>
      <c r="J111" s="19">
        <f t="shared" si="3"/>
        <v>2189.8120000000008</v>
      </c>
      <c r="K111" s="10" t="str">
        <f t="shared" si="4"/>
        <v>2025-04</v>
      </c>
      <c r="L111" s="10" t="str">
        <f>IFERROR(INDEX(Customers!$G$2:$G$61,MATCH(B111,Customers!$A$2:$A$61,0)),"")</f>
        <v>Corporate</v>
      </c>
      <c r="M111" s="10" t="str">
        <f>IFERROR(INDEX(Employees!$B$2:$B$37,MATCH(C111,Employees!$A$2:$A$37,0))&amp;" "&amp;INDEX(Employees!$C$2:$C$37,MATCH(C111,Employees!$A$2:$A$37,0)),"")</f>
        <v>John Moore</v>
      </c>
      <c r="N111" s="10">
        <f t="shared" si="5"/>
        <v>7</v>
      </c>
    </row>
    <row r="112" spans="1:14" ht="15" customHeight="1" x14ac:dyDescent="0.25">
      <c r="A112" s="10">
        <v>111</v>
      </c>
      <c r="B112" s="10">
        <v>37</v>
      </c>
      <c r="C112" s="10">
        <v>1</v>
      </c>
      <c r="D112" s="10" t="s">
        <v>909</v>
      </c>
      <c r="F112" s="10" t="s">
        <v>16</v>
      </c>
      <c r="G112" s="10" t="s">
        <v>39</v>
      </c>
      <c r="H112" s="19">
        <f>SUMIF(OrderItems!$B$2:$B$1254,A112,OrderItems!$G$2:$G$1254)</f>
        <v>485.85600000000005</v>
      </c>
      <c r="I112" s="19">
        <f>SUMIF(OrderItems!$B$2:$B$1254,A112,OrderItems!$K$2:$K$1254)</f>
        <v>285.12</v>
      </c>
      <c r="J112" s="19">
        <f t="shared" si="3"/>
        <v>200.73600000000005</v>
      </c>
      <c r="K112" s="10" t="str">
        <f t="shared" si="4"/>
        <v>2024-07</v>
      </c>
      <c r="L112" s="10" t="str">
        <f>IFERROR(INDEX(Customers!$G$2:$G$61,MATCH(B112,Customers!$A$2:$A$61,0)),"")</f>
        <v>Corporate</v>
      </c>
      <c r="M112" s="10" t="str">
        <f>IFERROR(INDEX(Employees!$B$2:$B$37,MATCH(C112,Employees!$A$2:$A$37,0))&amp;" "&amp;INDEX(Employees!$C$2:$C$37,MATCH(C112,Employees!$A$2:$A$37,0)),"")</f>
        <v>Daniel Brown</v>
      </c>
      <c r="N112" s="10" t="str">
        <f t="shared" si="5"/>
        <v/>
      </c>
    </row>
    <row r="113" spans="1:14" ht="15" customHeight="1" x14ac:dyDescent="0.25">
      <c r="A113" s="10">
        <v>112</v>
      </c>
      <c r="B113" s="10">
        <v>48</v>
      </c>
      <c r="C113" s="10">
        <v>8</v>
      </c>
      <c r="D113" s="10" t="s">
        <v>242</v>
      </c>
      <c r="E113" s="10" t="s">
        <v>910</v>
      </c>
      <c r="F113" s="10" t="s">
        <v>14</v>
      </c>
      <c r="G113" s="10" t="s">
        <v>38</v>
      </c>
      <c r="H113" s="19">
        <f>SUMIF(OrderItems!$B$2:$B$1254,A113,OrderItems!$G$2:$G$1254)</f>
        <v>5571.2510000000002</v>
      </c>
      <c r="I113" s="19">
        <f>SUMIF(OrderItems!$B$2:$B$1254,A113,OrderItems!$K$2:$K$1254)</f>
        <v>3759.28</v>
      </c>
      <c r="J113" s="19">
        <f t="shared" si="3"/>
        <v>1811.971</v>
      </c>
      <c r="K113" s="10" t="str">
        <f t="shared" si="4"/>
        <v>2024-09</v>
      </c>
      <c r="L113" s="10" t="str">
        <f>IFERROR(INDEX(Customers!$G$2:$G$61,MATCH(B113,Customers!$A$2:$A$61,0)),"")</f>
        <v>Corporate</v>
      </c>
      <c r="M113" s="10" t="str">
        <f>IFERROR(INDEX(Employees!$B$2:$B$37,MATCH(C113,Employees!$A$2:$A$37,0))&amp;" "&amp;INDEX(Employees!$C$2:$C$37,MATCH(C113,Employees!$A$2:$A$37,0)),"")</f>
        <v>John Gonzalez</v>
      </c>
      <c r="N113" s="10">
        <f t="shared" si="5"/>
        <v>8</v>
      </c>
    </row>
    <row r="114" spans="1:14" ht="15" customHeight="1" x14ac:dyDescent="0.25">
      <c r="A114" s="10">
        <v>113</v>
      </c>
      <c r="B114" s="10">
        <v>11</v>
      </c>
      <c r="C114" s="10">
        <v>8</v>
      </c>
      <c r="D114" s="10" t="s">
        <v>911</v>
      </c>
      <c r="E114" s="10" t="s">
        <v>838</v>
      </c>
      <c r="F114" s="10" t="s">
        <v>14</v>
      </c>
      <c r="G114" s="10" t="s">
        <v>39</v>
      </c>
      <c r="H114" s="19">
        <f>SUMIF(OrderItems!$B$2:$B$1254,A114,OrderItems!$G$2:$G$1254)</f>
        <v>4542.4470000000001</v>
      </c>
      <c r="I114" s="19">
        <f>SUMIF(OrderItems!$B$2:$B$1254,A114,OrderItems!$K$2:$K$1254)</f>
        <v>2392.7400000000002</v>
      </c>
      <c r="J114" s="19">
        <f t="shared" si="3"/>
        <v>2149.7069999999999</v>
      </c>
      <c r="K114" s="10" t="str">
        <f t="shared" si="4"/>
        <v>2024-02</v>
      </c>
      <c r="L114" s="10" t="str">
        <f>IFERROR(INDEX(Customers!$G$2:$G$61,MATCH(B114,Customers!$A$2:$A$61,0)),"")</f>
        <v>Consumer</v>
      </c>
      <c r="M114" s="10" t="str">
        <f>IFERROR(INDEX(Employees!$B$2:$B$37,MATCH(C114,Employees!$A$2:$A$37,0))&amp;" "&amp;INDEX(Employees!$C$2:$C$37,MATCH(C114,Employees!$A$2:$A$37,0)),"")</f>
        <v>John Gonzalez</v>
      </c>
      <c r="N114" s="10">
        <f t="shared" si="5"/>
        <v>1</v>
      </c>
    </row>
    <row r="115" spans="1:14" ht="15" customHeight="1" x14ac:dyDescent="0.25">
      <c r="A115" s="10">
        <v>114</v>
      </c>
      <c r="B115" s="10">
        <v>55</v>
      </c>
      <c r="C115" s="10">
        <v>1</v>
      </c>
      <c r="D115" s="10" t="s">
        <v>912</v>
      </c>
      <c r="F115" s="10" t="s">
        <v>17</v>
      </c>
      <c r="G115" s="10" t="s">
        <v>36</v>
      </c>
      <c r="H115" s="19">
        <f>SUMIF(OrderItems!$B$2:$B$1254,A115,OrderItems!$G$2:$G$1254)</f>
        <v>1569.1020000000001</v>
      </c>
      <c r="I115" s="19">
        <f>SUMIF(OrderItems!$B$2:$B$1254,A115,OrderItems!$K$2:$K$1254)</f>
        <v>1032.54</v>
      </c>
      <c r="J115" s="19">
        <f t="shared" si="3"/>
        <v>536.56200000000013</v>
      </c>
      <c r="K115" s="10" t="str">
        <f t="shared" si="4"/>
        <v>2023-10</v>
      </c>
      <c r="L115" s="10" t="str">
        <f>IFERROR(INDEX(Customers!$G$2:$G$61,MATCH(B115,Customers!$A$2:$A$61,0)),"")</f>
        <v>Consumer</v>
      </c>
      <c r="M115" s="10" t="str">
        <f>IFERROR(INDEX(Employees!$B$2:$B$37,MATCH(C115,Employees!$A$2:$A$37,0))&amp;" "&amp;INDEX(Employees!$C$2:$C$37,MATCH(C115,Employees!$A$2:$A$37,0)),"")</f>
        <v>Daniel Brown</v>
      </c>
      <c r="N115" s="10" t="str">
        <f t="shared" si="5"/>
        <v/>
      </c>
    </row>
    <row r="116" spans="1:14" ht="15" customHeight="1" x14ac:dyDescent="0.25">
      <c r="A116" s="10">
        <v>115</v>
      </c>
      <c r="B116" s="10">
        <v>16</v>
      </c>
      <c r="C116" s="10">
        <v>10</v>
      </c>
      <c r="D116" s="10" t="s">
        <v>905</v>
      </c>
      <c r="E116" s="10" t="s">
        <v>913</v>
      </c>
      <c r="F116" s="10" t="s">
        <v>14</v>
      </c>
      <c r="G116" s="10" t="s">
        <v>38</v>
      </c>
      <c r="H116" s="19">
        <f>SUMIF(OrderItems!$B$2:$B$1254,A116,OrderItems!$G$2:$G$1254)</f>
        <v>6937.5355</v>
      </c>
      <c r="I116" s="19">
        <f>SUMIF(OrderItems!$B$2:$B$1254,A116,OrderItems!$K$2:$K$1254)</f>
        <v>4167.8100000000004</v>
      </c>
      <c r="J116" s="19">
        <f t="shared" si="3"/>
        <v>2769.7254999999996</v>
      </c>
      <c r="K116" s="10" t="str">
        <f t="shared" si="4"/>
        <v>2025-09</v>
      </c>
      <c r="L116" s="10" t="str">
        <f>IFERROR(INDEX(Customers!$G$2:$G$61,MATCH(B116,Customers!$A$2:$A$61,0)),"")</f>
        <v>Small Business</v>
      </c>
      <c r="M116" s="10" t="str">
        <f>IFERROR(INDEX(Employees!$B$2:$B$37,MATCH(C116,Employees!$A$2:$A$37,0))&amp;" "&amp;INDEX(Employees!$C$2:$C$37,MATCH(C116,Employees!$A$2:$A$37,0)),"")</f>
        <v>John Moore</v>
      </c>
      <c r="N116" s="10">
        <f t="shared" si="5"/>
        <v>10</v>
      </c>
    </row>
    <row r="117" spans="1:14" ht="15" customHeight="1" x14ac:dyDescent="0.25">
      <c r="A117" s="10">
        <v>116</v>
      </c>
      <c r="B117" s="10">
        <v>38</v>
      </c>
      <c r="C117" s="10">
        <v>1</v>
      </c>
      <c r="D117" s="10" t="s">
        <v>914</v>
      </c>
      <c r="E117" s="10" t="s">
        <v>915</v>
      </c>
      <c r="F117" s="10" t="s">
        <v>15</v>
      </c>
      <c r="G117" s="10" t="s">
        <v>36</v>
      </c>
      <c r="H117" s="19">
        <f>SUMIF(OrderItems!$B$2:$B$1254,A117,OrderItems!$G$2:$G$1254)</f>
        <v>8008.0439999999999</v>
      </c>
      <c r="I117" s="19">
        <f>SUMIF(OrderItems!$B$2:$B$1254,A117,OrderItems!$K$2:$K$1254)</f>
        <v>4955.4399999999996</v>
      </c>
      <c r="J117" s="19">
        <f t="shared" si="3"/>
        <v>3052.6040000000003</v>
      </c>
      <c r="K117" s="10" t="str">
        <f t="shared" si="4"/>
        <v>2023-07</v>
      </c>
      <c r="L117" s="10" t="str">
        <f>IFERROR(INDEX(Customers!$G$2:$G$61,MATCH(B117,Customers!$A$2:$A$61,0)),"")</f>
        <v>Small Business</v>
      </c>
      <c r="M117" s="10" t="str">
        <f>IFERROR(INDEX(Employees!$B$2:$B$37,MATCH(C117,Employees!$A$2:$A$37,0))&amp;" "&amp;INDEX(Employees!$C$2:$C$37,MATCH(C117,Employees!$A$2:$A$37,0)),"")</f>
        <v>Daniel Brown</v>
      </c>
      <c r="N117" s="10">
        <f t="shared" si="5"/>
        <v>6</v>
      </c>
    </row>
    <row r="118" spans="1:14" ht="15" customHeight="1" x14ac:dyDescent="0.25">
      <c r="A118" s="10">
        <v>117</v>
      </c>
      <c r="B118" s="10">
        <v>41</v>
      </c>
      <c r="C118" s="10">
        <v>10</v>
      </c>
      <c r="D118" s="10" t="s">
        <v>916</v>
      </c>
      <c r="E118" s="10" t="s">
        <v>917</v>
      </c>
      <c r="F118" s="10" t="s">
        <v>14</v>
      </c>
      <c r="G118" s="10" t="s">
        <v>40</v>
      </c>
      <c r="H118" s="19">
        <f>SUMIF(OrderItems!$B$2:$B$1254,A118,OrderItems!$G$2:$G$1254)</f>
        <v>6057.7394999999997</v>
      </c>
      <c r="I118" s="19">
        <f>SUMIF(OrderItems!$B$2:$B$1254,A118,OrderItems!$K$2:$K$1254)</f>
        <v>3269.64</v>
      </c>
      <c r="J118" s="19">
        <f t="shared" si="3"/>
        <v>2788.0994999999998</v>
      </c>
      <c r="K118" s="10" t="str">
        <f t="shared" si="4"/>
        <v>2023-02</v>
      </c>
      <c r="L118" s="10" t="str">
        <f>IFERROR(INDEX(Customers!$G$2:$G$61,MATCH(B118,Customers!$A$2:$A$61,0)),"")</f>
        <v>Small Business</v>
      </c>
      <c r="M118" s="10" t="str">
        <f>IFERROR(INDEX(Employees!$B$2:$B$37,MATCH(C118,Employees!$A$2:$A$37,0))&amp;" "&amp;INDEX(Employees!$C$2:$C$37,MATCH(C118,Employees!$A$2:$A$37,0)),"")</f>
        <v>John Moore</v>
      </c>
      <c r="N118" s="10">
        <f t="shared" si="5"/>
        <v>3</v>
      </c>
    </row>
    <row r="119" spans="1:14" ht="15" customHeight="1" x14ac:dyDescent="0.25">
      <c r="A119" s="10">
        <v>118</v>
      </c>
      <c r="B119" s="10">
        <v>43</v>
      </c>
      <c r="C119" s="10">
        <v>8</v>
      </c>
      <c r="D119" s="10" t="s">
        <v>918</v>
      </c>
      <c r="F119" s="10" t="s">
        <v>17</v>
      </c>
      <c r="G119" s="10" t="s">
        <v>38</v>
      </c>
      <c r="H119" s="19">
        <f>SUMIF(OrderItems!$B$2:$B$1254,A119,OrderItems!$G$2:$G$1254)</f>
        <v>1159.059</v>
      </c>
      <c r="I119" s="19">
        <f>SUMIF(OrderItems!$B$2:$B$1254,A119,OrderItems!$K$2:$K$1254)</f>
        <v>596.24</v>
      </c>
      <c r="J119" s="19">
        <f t="shared" si="3"/>
        <v>562.81899999999996</v>
      </c>
      <c r="K119" s="10" t="str">
        <f t="shared" si="4"/>
        <v>2023-04</v>
      </c>
      <c r="L119" s="10" t="str">
        <f>IFERROR(INDEX(Customers!$G$2:$G$61,MATCH(B119,Customers!$A$2:$A$61,0)),"")</f>
        <v>Corporate</v>
      </c>
      <c r="M119" s="10" t="str">
        <f>IFERROR(INDEX(Employees!$B$2:$B$37,MATCH(C119,Employees!$A$2:$A$37,0))&amp;" "&amp;INDEX(Employees!$C$2:$C$37,MATCH(C119,Employees!$A$2:$A$37,0)),"")</f>
        <v>John Gonzalez</v>
      </c>
      <c r="N119" s="10" t="str">
        <f t="shared" si="5"/>
        <v/>
      </c>
    </row>
    <row r="120" spans="1:14" ht="15" customHeight="1" x14ac:dyDescent="0.25">
      <c r="A120" s="10">
        <v>119</v>
      </c>
      <c r="B120" s="10">
        <v>14</v>
      </c>
      <c r="C120" s="10">
        <v>10</v>
      </c>
      <c r="D120" s="10" t="s">
        <v>919</v>
      </c>
      <c r="E120" s="10" t="s">
        <v>807</v>
      </c>
      <c r="F120" s="10" t="s">
        <v>14</v>
      </c>
      <c r="G120" s="10" t="s">
        <v>37</v>
      </c>
      <c r="H120" s="19">
        <f>SUMIF(OrderItems!$B$2:$B$1254,A120,OrderItems!$G$2:$G$1254)</f>
        <v>4126.6570000000002</v>
      </c>
      <c r="I120" s="19">
        <f>SUMIF(OrderItems!$B$2:$B$1254,A120,OrderItems!$K$2:$K$1254)</f>
        <v>2580.58</v>
      </c>
      <c r="J120" s="19">
        <f t="shared" si="3"/>
        <v>1546.0770000000002</v>
      </c>
      <c r="K120" s="10" t="str">
        <f t="shared" si="4"/>
        <v>2023-06</v>
      </c>
      <c r="L120" s="10" t="str">
        <f>IFERROR(INDEX(Customers!$G$2:$G$61,MATCH(B120,Customers!$A$2:$A$61,0)),"")</f>
        <v>Small Business</v>
      </c>
      <c r="M120" s="10" t="str">
        <f>IFERROR(INDEX(Employees!$B$2:$B$37,MATCH(C120,Employees!$A$2:$A$37,0))&amp;" "&amp;INDEX(Employees!$C$2:$C$37,MATCH(C120,Employees!$A$2:$A$37,0)),"")</f>
        <v>John Moore</v>
      </c>
      <c r="N120" s="10">
        <f t="shared" si="5"/>
        <v>10</v>
      </c>
    </row>
    <row r="121" spans="1:14" ht="15" customHeight="1" x14ac:dyDescent="0.25">
      <c r="A121" s="10">
        <v>120</v>
      </c>
      <c r="B121" s="10">
        <v>7</v>
      </c>
      <c r="C121" s="10">
        <v>9</v>
      </c>
      <c r="D121" s="10" t="s">
        <v>920</v>
      </c>
      <c r="E121" s="10" t="s">
        <v>921</v>
      </c>
      <c r="F121" s="10" t="s">
        <v>18</v>
      </c>
      <c r="G121" s="10" t="s">
        <v>40</v>
      </c>
      <c r="H121" s="19">
        <f>SUMIF(OrderItems!$B$2:$B$1254,A121,OrderItems!$G$2:$G$1254)</f>
        <v>3641.94</v>
      </c>
      <c r="I121" s="19">
        <f>SUMIF(OrderItems!$B$2:$B$1254,A121,OrderItems!$K$2:$K$1254)</f>
        <v>2274.63</v>
      </c>
      <c r="J121" s="19">
        <f t="shared" si="3"/>
        <v>1367.31</v>
      </c>
      <c r="K121" s="10" t="str">
        <f t="shared" si="4"/>
        <v>2025-01</v>
      </c>
      <c r="L121" s="10" t="str">
        <f>IFERROR(INDEX(Customers!$G$2:$G$61,MATCH(B121,Customers!$A$2:$A$61,0)),"")</f>
        <v>Small Business</v>
      </c>
      <c r="M121" s="10" t="str">
        <f>IFERROR(INDEX(Employees!$B$2:$B$37,MATCH(C121,Employees!$A$2:$A$37,0))&amp;" "&amp;INDEX(Employees!$C$2:$C$37,MATCH(C121,Employees!$A$2:$A$37,0)),"")</f>
        <v>William Johnson</v>
      </c>
      <c r="N121" s="10">
        <f t="shared" si="5"/>
        <v>3</v>
      </c>
    </row>
    <row r="122" spans="1:14" ht="15" customHeight="1" x14ac:dyDescent="0.25">
      <c r="A122" s="10">
        <v>121</v>
      </c>
      <c r="B122" s="10">
        <v>29</v>
      </c>
      <c r="C122" s="10">
        <v>9</v>
      </c>
      <c r="D122" s="10" t="s">
        <v>922</v>
      </c>
      <c r="E122" s="10" t="s">
        <v>548</v>
      </c>
      <c r="F122" s="10" t="s">
        <v>14</v>
      </c>
      <c r="G122" s="10" t="s">
        <v>39</v>
      </c>
      <c r="H122" s="19">
        <f>SUMIF(OrderItems!$B$2:$B$1254,A122,OrderItems!$G$2:$G$1254)</f>
        <v>4883.1760000000004</v>
      </c>
      <c r="I122" s="19">
        <f>SUMIF(OrderItems!$B$2:$B$1254,A122,OrderItems!$K$2:$K$1254)</f>
        <v>2618.5499999999997</v>
      </c>
      <c r="J122" s="19">
        <f t="shared" si="3"/>
        <v>2264.6260000000007</v>
      </c>
      <c r="K122" s="10" t="str">
        <f t="shared" si="4"/>
        <v>2024-03</v>
      </c>
      <c r="L122" s="10" t="str">
        <f>IFERROR(INDEX(Customers!$G$2:$G$61,MATCH(B122,Customers!$A$2:$A$61,0)),"")</f>
        <v>Consumer</v>
      </c>
      <c r="M122" s="10" t="str">
        <f>IFERROR(INDEX(Employees!$B$2:$B$37,MATCH(C122,Employees!$A$2:$A$37,0))&amp;" "&amp;INDEX(Employees!$C$2:$C$37,MATCH(C122,Employees!$A$2:$A$37,0)),"")</f>
        <v>William Johnson</v>
      </c>
      <c r="N122" s="10">
        <f t="shared" si="5"/>
        <v>7</v>
      </c>
    </row>
    <row r="123" spans="1:14" ht="15" customHeight="1" x14ac:dyDescent="0.25">
      <c r="A123" s="10">
        <v>122</v>
      </c>
      <c r="B123" s="10">
        <v>16</v>
      </c>
      <c r="C123" s="10">
        <v>9</v>
      </c>
      <c r="D123" s="10" t="s">
        <v>795</v>
      </c>
      <c r="E123" s="10" t="s">
        <v>923</v>
      </c>
      <c r="F123" s="10" t="s">
        <v>18</v>
      </c>
      <c r="G123" s="10" t="s">
        <v>39</v>
      </c>
      <c r="H123" s="19">
        <f>SUMIF(OrderItems!$B$2:$B$1254,A123,OrderItems!$G$2:$G$1254)</f>
        <v>6392.3019999999997</v>
      </c>
      <c r="I123" s="19">
        <f>SUMIF(OrderItems!$B$2:$B$1254,A123,OrderItems!$K$2:$K$1254)</f>
        <v>3610.84</v>
      </c>
      <c r="J123" s="19">
        <f t="shared" si="3"/>
        <v>2781.4619999999995</v>
      </c>
      <c r="K123" s="10" t="str">
        <f t="shared" si="4"/>
        <v>2023-02</v>
      </c>
      <c r="L123" s="10" t="str">
        <f>IFERROR(INDEX(Customers!$G$2:$G$61,MATCH(B123,Customers!$A$2:$A$61,0)),"")</f>
        <v>Small Business</v>
      </c>
      <c r="M123" s="10" t="str">
        <f>IFERROR(INDEX(Employees!$B$2:$B$37,MATCH(C123,Employees!$A$2:$A$37,0))&amp;" "&amp;INDEX(Employees!$C$2:$C$37,MATCH(C123,Employees!$A$2:$A$37,0)),"")</f>
        <v>William Johnson</v>
      </c>
      <c r="N123" s="10">
        <f t="shared" si="5"/>
        <v>4</v>
      </c>
    </row>
    <row r="124" spans="1:14" ht="15" customHeight="1" x14ac:dyDescent="0.25">
      <c r="A124" s="10">
        <v>123</v>
      </c>
      <c r="B124" s="10">
        <v>24</v>
      </c>
      <c r="C124" s="10">
        <v>9</v>
      </c>
      <c r="D124" s="10" t="s">
        <v>924</v>
      </c>
      <c r="F124" s="10" t="s">
        <v>17</v>
      </c>
      <c r="G124" s="10" t="s">
        <v>39</v>
      </c>
      <c r="H124" s="19">
        <f>SUMIF(OrderItems!$B$2:$B$1254,A124,OrderItems!$G$2:$G$1254)</f>
        <v>3146.0940000000001</v>
      </c>
      <c r="I124" s="19">
        <f>SUMIF(OrderItems!$B$2:$B$1254,A124,OrderItems!$K$2:$K$1254)</f>
        <v>1980.62</v>
      </c>
      <c r="J124" s="19">
        <f t="shared" si="3"/>
        <v>1165.4740000000002</v>
      </c>
      <c r="K124" s="10" t="str">
        <f t="shared" si="4"/>
        <v>2023-09</v>
      </c>
      <c r="L124" s="10" t="str">
        <f>IFERROR(INDEX(Customers!$G$2:$G$61,MATCH(B124,Customers!$A$2:$A$61,0)),"")</f>
        <v>Consumer</v>
      </c>
      <c r="M124" s="10" t="str">
        <f>IFERROR(INDEX(Employees!$B$2:$B$37,MATCH(C124,Employees!$A$2:$A$37,0))&amp;" "&amp;INDEX(Employees!$C$2:$C$37,MATCH(C124,Employees!$A$2:$A$37,0)),"")</f>
        <v>William Johnson</v>
      </c>
      <c r="N124" s="10" t="str">
        <f t="shared" si="5"/>
        <v/>
      </c>
    </row>
    <row r="125" spans="1:14" ht="15" customHeight="1" x14ac:dyDescent="0.25">
      <c r="A125" s="10">
        <v>124</v>
      </c>
      <c r="B125" s="10">
        <v>14</v>
      </c>
      <c r="C125" s="10">
        <v>1</v>
      </c>
      <c r="D125" s="10" t="s">
        <v>925</v>
      </c>
      <c r="F125" s="10" t="s">
        <v>17</v>
      </c>
      <c r="G125" s="10" t="s">
        <v>39</v>
      </c>
      <c r="H125" s="19">
        <f>SUMIF(OrderItems!$B$2:$B$1254,A125,OrderItems!$G$2:$G$1254)</f>
        <v>8142.2790000000005</v>
      </c>
      <c r="I125" s="19">
        <f>SUMIF(OrderItems!$B$2:$B$1254,A125,OrderItems!$K$2:$K$1254)</f>
        <v>4315.03</v>
      </c>
      <c r="J125" s="19">
        <f t="shared" si="3"/>
        <v>3827.2490000000007</v>
      </c>
      <c r="K125" s="10" t="str">
        <f t="shared" si="4"/>
        <v>2023-05</v>
      </c>
      <c r="L125" s="10" t="str">
        <f>IFERROR(INDEX(Customers!$G$2:$G$61,MATCH(B125,Customers!$A$2:$A$61,0)),"")</f>
        <v>Small Business</v>
      </c>
      <c r="M125" s="10" t="str">
        <f>IFERROR(INDEX(Employees!$B$2:$B$37,MATCH(C125,Employees!$A$2:$A$37,0))&amp;" "&amp;INDEX(Employees!$C$2:$C$37,MATCH(C125,Employees!$A$2:$A$37,0)),"")</f>
        <v>Daniel Brown</v>
      </c>
      <c r="N125" s="10" t="str">
        <f t="shared" si="5"/>
        <v/>
      </c>
    </row>
    <row r="126" spans="1:14" ht="15" customHeight="1" x14ac:dyDescent="0.25">
      <c r="A126" s="10">
        <v>125</v>
      </c>
      <c r="B126" s="10">
        <v>40</v>
      </c>
      <c r="C126" s="10">
        <v>8</v>
      </c>
      <c r="D126" s="10" t="s">
        <v>926</v>
      </c>
      <c r="E126" s="10" t="s">
        <v>927</v>
      </c>
      <c r="F126" s="10" t="s">
        <v>14</v>
      </c>
      <c r="G126" s="10" t="s">
        <v>36</v>
      </c>
      <c r="H126" s="19">
        <f>SUMIF(OrderItems!$B$2:$B$1254,A126,OrderItems!$G$2:$G$1254)</f>
        <v>7222.2860000000001</v>
      </c>
      <c r="I126" s="19">
        <f>SUMIF(OrderItems!$B$2:$B$1254,A126,OrderItems!$K$2:$K$1254)</f>
        <v>4053.8300000000004</v>
      </c>
      <c r="J126" s="19">
        <f t="shared" si="3"/>
        <v>3168.4559999999997</v>
      </c>
      <c r="K126" s="10" t="str">
        <f t="shared" si="4"/>
        <v>2024-07</v>
      </c>
      <c r="L126" s="10" t="str">
        <f>IFERROR(INDEX(Customers!$G$2:$G$61,MATCH(B126,Customers!$A$2:$A$61,0)),"")</f>
        <v>Corporate</v>
      </c>
      <c r="M126" s="10" t="str">
        <f>IFERROR(INDEX(Employees!$B$2:$B$37,MATCH(C126,Employees!$A$2:$A$37,0))&amp;" "&amp;INDEX(Employees!$C$2:$C$37,MATCH(C126,Employees!$A$2:$A$37,0)),"")</f>
        <v>John Gonzalez</v>
      </c>
      <c r="N126" s="10">
        <f t="shared" si="5"/>
        <v>5</v>
      </c>
    </row>
    <row r="127" spans="1:14" ht="15" customHeight="1" x14ac:dyDescent="0.25">
      <c r="A127" s="10">
        <v>126</v>
      </c>
      <c r="B127" s="10">
        <v>30</v>
      </c>
      <c r="C127" s="10">
        <v>1</v>
      </c>
      <c r="D127" s="10" t="s">
        <v>791</v>
      </c>
      <c r="E127" s="10" t="s">
        <v>928</v>
      </c>
      <c r="F127" s="10" t="s">
        <v>14</v>
      </c>
      <c r="G127" s="10" t="s">
        <v>36</v>
      </c>
      <c r="H127" s="19">
        <f>SUMIF(OrderItems!$B$2:$B$1254,A127,OrderItems!$G$2:$G$1254)</f>
        <v>1691.2605000000001</v>
      </c>
      <c r="I127" s="19">
        <f>SUMIF(OrderItems!$B$2:$B$1254,A127,OrderItems!$K$2:$K$1254)</f>
        <v>903.66</v>
      </c>
      <c r="J127" s="19">
        <f t="shared" si="3"/>
        <v>787.60050000000012</v>
      </c>
      <c r="K127" s="10" t="str">
        <f t="shared" si="4"/>
        <v>2024-09</v>
      </c>
      <c r="L127" s="10" t="str">
        <f>IFERROR(INDEX(Customers!$G$2:$G$61,MATCH(B127,Customers!$A$2:$A$61,0)),"")</f>
        <v>Consumer</v>
      </c>
      <c r="M127" s="10" t="str">
        <f>IFERROR(INDEX(Employees!$B$2:$B$37,MATCH(C127,Employees!$A$2:$A$37,0))&amp;" "&amp;INDEX(Employees!$C$2:$C$37,MATCH(C127,Employees!$A$2:$A$37,0)),"")</f>
        <v>Daniel Brown</v>
      </c>
      <c r="N127" s="10">
        <f t="shared" si="5"/>
        <v>2</v>
      </c>
    </row>
    <row r="128" spans="1:14" ht="15" customHeight="1" x14ac:dyDescent="0.25">
      <c r="A128" s="10">
        <v>127</v>
      </c>
      <c r="B128" s="10">
        <v>11</v>
      </c>
      <c r="C128" s="10">
        <v>9</v>
      </c>
      <c r="D128" s="10" t="s">
        <v>929</v>
      </c>
      <c r="E128" s="10" t="s">
        <v>930</v>
      </c>
      <c r="F128" s="10" t="s">
        <v>18</v>
      </c>
      <c r="G128" s="10" t="s">
        <v>36</v>
      </c>
      <c r="H128" s="19">
        <f>SUMIF(OrderItems!$B$2:$B$1254,A128,OrderItems!$G$2:$G$1254)</f>
        <v>3109.7139999999995</v>
      </c>
      <c r="I128" s="19">
        <f>SUMIF(OrderItems!$B$2:$B$1254,A128,OrderItems!$K$2:$K$1254)</f>
        <v>2051.8000000000002</v>
      </c>
      <c r="J128" s="19">
        <f t="shared" si="3"/>
        <v>1057.9139999999993</v>
      </c>
      <c r="K128" s="10" t="str">
        <f t="shared" si="4"/>
        <v>2023-09</v>
      </c>
      <c r="L128" s="10" t="str">
        <f>IFERROR(INDEX(Customers!$G$2:$G$61,MATCH(B128,Customers!$A$2:$A$61,0)),"")</f>
        <v>Consumer</v>
      </c>
      <c r="M128" s="10" t="str">
        <f>IFERROR(INDEX(Employees!$B$2:$B$37,MATCH(C128,Employees!$A$2:$A$37,0))&amp;" "&amp;INDEX(Employees!$C$2:$C$37,MATCH(C128,Employees!$A$2:$A$37,0)),"")</f>
        <v>William Johnson</v>
      </c>
      <c r="N128" s="10">
        <f t="shared" si="5"/>
        <v>2</v>
      </c>
    </row>
    <row r="129" spans="1:14" ht="15" customHeight="1" x14ac:dyDescent="0.25">
      <c r="A129" s="10">
        <v>128</v>
      </c>
      <c r="B129" s="10">
        <v>4</v>
      </c>
      <c r="C129" s="10">
        <v>10</v>
      </c>
      <c r="D129" s="10" t="s">
        <v>808</v>
      </c>
      <c r="F129" s="10" t="s">
        <v>16</v>
      </c>
      <c r="G129" s="10" t="s">
        <v>37</v>
      </c>
      <c r="H129" s="19">
        <f>SUMIF(OrderItems!$B$2:$B$1254,A129,OrderItems!$G$2:$G$1254)</f>
        <v>3899.8740000000003</v>
      </c>
      <c r="I129" s="19">
        <f>SUMIF(OrderItems!$B$2:$B$1254,A129,OrderItems!$K$2:$K$1254)</f>
        <v>2686.23</v>
      </c>
      <c r="J129" s="19">
        <f t="shared" si="3"/>
        <v>1213.6440000000002</v>
      </c>
      <c r="K129" s="10" t="str">
        <f t="shared" si="4"/>
        <v>2023-12</v>
      </c>
      <c r="L129" s="10" t="str">
        <f>IFERROR(INDEX(Customers!$G$2:$G$61,MATCH(B129,Customers!$A$2:$A$61,0)),"")</f>
        <v>Small Business</v>
      </c>
      <c r="M129" s="10" t="str">
        <f>IFERROR(INDEX(Employees!$B$2:$B$37,MATCH(C129,Employees!$A$2:$A$37,0))&amp;" "&amp;INDEX(Employees!$C$2:$C$37,MATCH(C129,Employees!$A$2:$A$37,0)),"")</f>
        <v>John Moore</v>
      </c>
      <c r="N129" s="10" t="str">
        <f t="shared" si="5"/>
        <v/>
      </c>
    </row>
    <row r="130" spans="1:14" ht="15" customHeight="1" x14ac:dyDescent="0.25">
      <c r="A130" s="10">
        <v>129</v>
      </c>
      <c r="B130" s="10">
        <v>31</v>
      </c>
      <c r="C130" s="10">
        <v>9</v>
      </c>
      <c r="D130" s="10" t="s">
        <v>931</v>
      </c>
      <c r="E130" s="10" t="s">
        <v>772</v>
      </c>
      <c r="F130" s="10" t="s">
        <v>14</v>
      </c>
      <c r="G130" s="10" t="s">
        <v>36</v>
      </c>
      <c r="H130" s="19">
        <f>SUMIF(OrderItems!$B$2:$B$1254,A130,OrderItems!$G$2:$G$1254)</f>
        <v>8330.4600000000009</v>
      </c>
      <c r="I130" s="19">
        <f>SUMIF(OrderItems!$B$2:$B$1254,A130,OrderItems!$K$2:$K$1254)</f>
        <v>4336.7699999999995</v>
      </c>
      <c r="J130" s="19">
        <f t="shared" ref="J130:J193" si="6">H130-I130</f>
        <v>3993.6900000000014</v>
      </c>
      <c r="K130" s="10" t="str">
        <f t="shared" ref="K130:K193" si="7">IF(D130="","",TEXT(D130,"YYYY-MM"))</f>
        <v>2025-02</v>
      </c>
      <c r="L130" s="10" t="str">
        <f>IFERROR(INDEX(Customers!$G$2:$G$61,MATCH(B130,Customers!$A$2:$A$61,0)),"")</f>
        <v>Consumer</v>
      </c>
      <c r="M130" s="10" t="str">
        <f>IFERROR(INDEX(Employees!$B$2:$B$37,MATCH(C130,Employees!$A$2:$A$37,0))&amp;" "&amp;INDEX(Employees!$C$2:$C$37,MATCH(C130,Employees!$A$2:$A$37,0)),"")</f>
        <v>William Johnson</v>
      </c>
      <c r="N130" s="10">
        <f t="shared" ref="N130:N193" si="8">IF(E130="","",E130-D130)</f>
        <v>3</v>
      </c>
    </row>
    <row r="131" spans="1:14" ht="15" customHeight="1" x14ac:dyDescent="0.25">
      <c r="A131" s="10">
        <v>130</v>
      </c>
      <c r="B131" s="10">
        <v>12</v>
      </c>
      <c r="C131" s="10">
        <v>8</v>
      </c>
      <c r="D131" s="10" t="s">
        <v>901</v>
      </c>
      <c r="E131" s="10" t="s">
        <v>932</v>
      </c>
      <c r="F131" s="10" t="s">
        <v>14</v>
      </c>
      <c r="G131" s="10" t="s">
        <v>36</v>
      </c>
      <c r="H131" s="19">
        <f>SUMIF(OrderItems!$B$2:$B$1254,A131,OrderItems!$G$2:$G$1254)</f>
        <v>6631.3620000000001</v>
      </c>
      <c r="I131" s="19">
        <f>SUMIF(OrderItems!$B$2:$B$1254,A131,OrderItems!$K$2:$K$1254)</f>
        <v>4350.3599999999997</v>
      </c>
      <c r="J131" s="19">
        <f t="shared" si="6"/>
        <v>2281.0020000000004</v>
      </c>
      <c r="K131" s="10" t="str">
        <f t="shared" si="7"/>
        <v>2025-11</v>
      </c>
      <c r="L131" s="10" t="str">
        <f>IFERROR(INDEX(Customers!$G$2:$G$61,MATCH(B131,Customers!$A$2:$A$61,0)),"")</f>
        <v>Small Business</v>
      </c>
      <c r="M131" s="10" t="str">
        <f>IFERROR(INDEX(Employees!$B$2:$B$37,MATCH(C131,Employees!$A$2:$A$37,0))&amp;" "&amp;INDEX(Employees!$C$2:$C$37,MATCH(C131,Employees!$A$2:$A$37,0)),"")</f>
        <v>John Gonzalez</v>
      </c>
      <c r="N131" s="10">
        <f t="shared" si="8"/>
        <v>7</v>
      </c>
    </row>
    <row r="132" spans="1:14" ht="15" customHeight="1" x14ac:dyDescent="0.25">
      <c r="A132" s="10">
        <v>131</v>
      </c>
      <c r="B132" s="10">
        <v>30</v>
      </c>
      <c r="C132" s="10">
        <v>9</v>
      </c>
      <c r="D132" s="10" t="s">
        <v>854</v>
      </c>
      <c r="E132" s="10" t="s">
        <v>823</v>
      </c>
      <c r="F132" s="10" t="s">
        <v>14</v>
      </c>
      <c r="G132" s="10" t="s">
        <v>37</v>
      </c>
      <c r="H132" s="19">
        <f>SUMIF(OrderItems!$B$2:$B$1254,A132,OrderItems!$G$2:$G$1254)</f>
        <v>5190.09</v>
      </c>
      <c r="I132" s="19">
        <f>SUMIF(OrderItems!$B$2:$B$1254,A132,OrderItems!$K$2:$K$1254)</f>
        <v>2401.17</v>
      </c>
      <c r="J132" s="19">
        <f t="shared" si="6"/>
        <v>2788.92</v>
      </c>
      <c r="K132" s="10" t="str">
        <f t="shared" si="7"/>
        <v>2025-10</v>
      </c>
      <c r="L132" s="10" t="str">
        <f>IFERROR(INDEX(Customers!$G$2:$G$61,MATCH(B132,Customers!$A$2:$A$61,0)),"")</f>
        <v>Consumer</v>
      </c>
      <c r="M132" s="10" t="str">
        <f>IFERROR(INDEX(Employees!$B$2:$B$37,MATCH(C132,Employees!$A$2:$A$37,0))&amp;" "&amp;INDEX(Employees!$C$2:$C$37,MATCH(C132,Employees!$A$2:$A$37,0)),"")</f>
        <v>William Johnson</v>
      </c>
      <c r="N132" s="10">
        <f t="shared" si="8"/>
        <v>9</v>
      </c>
    </row>
    <row r="133" spans="1:14" ht="15" customHeight="1" x14ac:dyDescent="0.25">
      <c r="A133" s="10">
        <v>132</v>
      </c>
      <c r="B133" s="10">
        <v>22</v>
      </c>
      <c r="C133" s="10">
        <v>1</v>
      </c>
      <c r="D133" s="10" t="s">
        <v>933</v>
      </c>
      <c r="E133" s="10" t="s">
        <v>934</v>
      </c>
      <c r="F133" s="10" t="s">
        <v>18</v>
      </c>
      <c r="G133" s="10" t="s">
        <v>37</v>
      </c>
      <c r="H133" s="19">
        <f>SUMIF(OrderItems!$B$2:$B$1254,A133,OrderItems!$G$2:$G$1254)</f>
        <v>3945.7065000000002</v>
      </c>
      <c r="I133" s="19">
        <f>SUMIF(OrderItems!$B$2:$B$1254,A133,OrderItems!$K$2:$K$1254)</f>
        <v>2167.3000000000002</v>
      </c>
      <c r="J133" s="19">
        <f t="shared" si="6"/>
        <v>1778.4065000000001</v>
      </c>
      <c r="K133" s="10" t="str">
        <f t="shared" si="7"/>
        <v>2025-02</v>
      </c>
      <c r="L133" s="10" t="str">
        <f>IFERROR(INDEX(Customers!$G$2:$G$61,MATCH(B133,Customers!$A$2:$A$61,0)),"")</f>
        <v>Small Business</v>
      </c>
      <c r="M133" s="10" t="str">
        <f>IFERROR(INDEX(Employees!$B$2:$B$37,MATCH(C133,Employees!$A$2:$A$37,0))&amp;" "&amp;INDEX(Employees!$C$2:$C$37,MATCH(C133,Employees!$A$2:$A$37,0)),"")</f>
        <v>Daniel Brown</v>
      </c>
      <c r="N133" s="10">
        <f t="shared" si="8"/>
        <v>2</v>
      </c>
    </row>
    <row r="134" spans="1:14" ht="15" customHeight="1" x14ac:dyDescent="0.25">
      <c r="A134" s="10">
        <v>133</v>
      </c>
      <c r="B134" s="10">
        <v>41</v>
      </c>
      <c r="C134" s="10">
        <v>10</v>
      </c>
      <c r="D134" s="10" t="s">
        <v>935</v>
      </c>
      <c r="E134" s="10" t="s">
        <v>936</v>
      </c>
      <c r="F134" s="10" t="s">
        <v>14</v>
      </c>
      <c r="G134" s="10" t="s">
        <v>37</v>
      </c>
      <c r="H134" s="19">
        <f>SUMIF(OrderItems!$B$2:$B$1254,A134,OrderItems!$G$2:$G$1254)</f>
        <v>2723.7534999999998</v>
      </c>
      <c r="I134" s="19">
        <f>SUMIF(OrderItems!$B$2:$B$1254,A134,OrderItems!$K$2:$K$1254)</f>
        <v>1852.7799999999997</v>
      </c>
      <c r="J134" s="19">
        <f t="shared" si="6"/>
        <v>870.97350000000006</v>
      </c>
      <c r="K134" s="10" t="str">
        <f t="shared" si="7"/>
        <v>2023-06</v>
      </c>
      <c r="L134" s="10" t="str">
        <f>IFERROR(INDEX(Customers!$G$2:$G$61,MATCH(B134,Customers!$A$2:$A$61,0)),"")</f>
        <v>Small Business</v>
      </c>
      <c r="M134" s="10" t="str">
        <f>IFERROR(INDEX(Employees!$B$2:$B$37,MATCH(C134,Employees!$A$2:$A$37,0))&amp;" "&amp;INDEX(Employees!$C$2:$C$37,MATCH(C134,Employees!$A$2:$A$37,0)),"")</f>
        <v>John Moore</v>
      </c>
      <c r="N134" s="10">
        <f t="shared" si="8"/>
        <v>7</v>
      </c>
    </row>
    <row r="135" spans="1:14" ht="15" customHeight="1" x14ac:dyDescent="0.25">
      <c r="A135" s="10">
        <v>134</v>
      </c>
      <c r="B135" s="10">
        <v>21</v>
      </c>
      <c r="C135" s="10">
        <v>10</v>
      </c>
      <c r="D135" s="10" t="s">
        <v>937</v>
      </c>
      <c r="E135" s="10" t="s">
        <v>938</v>
      </c>
      <c r="F135" s="10" t="s">
        <v>14</v>
      </c>
      <c r="G135" s="10" t="s">
        <v>37</v>
      </c>
      <c r="H135" s="19">
        <f>SUMIF(OrderItems!$B$2:$B$1254,A135,OrderItems!$G$2:$G$1254)</f>
        <v>4122.6000000000004</v>
      </c>
      <c r="I135" s="19">
        <f>SUMIF(OrderItems!$B$2:$B$1254,A135,OrderItems!$K$2:$K$1254)</f>
        <v>2498.39</v>
      </c>
      <c r="J135" s="19">
        <f t="shared" si="6"/>
        <v>1624.2100000000005</v>
      </c>
      <c r="K135" s="10" t="str">
        <f t="shared" si="7"/>
        <v>2024-07</v>
      </c>
      <c r="L135" s="10" t="str">
        <f>IFERROR(INDEX(Customers!$G$2:$G$61,MATCH(B135,Customers!$A$2:$A$61,0)),"")</f>
        <v>Corporate</v>
      </c>
      <c r="M135" s="10" t="str">
        <f>IFERROR(INDEX(Employees!$B$2:$B$37,MATCH(C135,Employees!$A$2:$A$37,0))&amp;" "&amp;INDEX(Employees!$C$2:$C$37,MATCH(C135,Employees!$A$2:$A$37,0)),"")</f>
        <v>John Moore</v>
      </c>
      <c r="N135" s="10">
        <f t="shared" si="8"/>
        <v>2</v>
      </c>
    </row>
    <row r="136" spans="1:14" ht="15" customHeight="1" x14ac:dyDescent="0.25">
      <c r="A136" s="10">
        <v>135</v>
      </c>
      <c r="B136" s="10">
        <v>30</v>
      </c>
      <c r="C136" s="10">
        <v>9</v>
      </c>
      <c r="D136" s="10" t="s">
        <v>939</v>
      </c>
      <c r="E136" s="10" t="s">
        <v>844</v>
      </c>
      <c r="F136" s="10" t="s">
        <v>14</v>
      </c>
      <c r="G136" s="10" t="s">
        <v>38</v>
      </c>
      <c r="H136" s="19">
        <f>SUMIF(OrderItems!$B$2:$B$1254,A136,OrderItems!$G$2:$G$1254)</f>
        <v>3770.2200000000003</v>
      </c>
      <c r="I136" s="19">
        <f>SUMIF(OrderItems!$B$2:$B$1254,A136,OrderItems!$K$2:$K$1254)</f>
        <v>2106.46</v>
      </c>
      <c r="J136" s="19">
        <f t="shared" si="6"/>
        <v>1663.7600000000002</v>
      </c>
      <c r="K136" s="10" t="str">
        <f t="shared" si="7"/>
        <v>2025-04</v>
      </c>
      <c r="L136" s="10" t="str">
        <f>IFERROR(INDEX(Customers!$G$2:$G$61,MATCH(B136,Customers!$A$2:$A$61,0)),"")</f>
        <v>Consumer</v>
      </c>
      <c r="M136" s="10" t="str">
        <f>IFERROR(INDEX(Employees!$B$2:$B$37,MATCH(C136,Employees!$A$2:$A$37,0))&amp;" "&amp;INDEX(Employees!$C$2:$C$37,MATCH(C136,Employees!$A$2:$A$37,0)),"")</f>
        <v>William Johnson</v>
      </c>
      <c r="N136" s="10">
        <f t="shared" si="8"/>
        <v>9</v>
      </c>
    </row>
    <row r="137" spans="1:14" ht="15" customHeight="1" x14ac:dyDescent="0.25">
      <c r="A137" s="10">
        <v>136</v>
      </c>
      <c r="B137" s="10">
        <v>53</v>
      </c>
      <c r="C137" s="10">
        <v>1</v>
      </c>
      <c r="D137" s="10" t="s">
        <v>940</v>
      </c>
      <c r="F137" s="10" t="s">
        <v>16</v>
      </c>
      <c r="G137" s="10" t="s">
        <v>37</v>
      </c>
      <c r="H137" s="19">
        <f>SUMIF(OrderItems!$B$2:$B$1254,A137,OrderItems!$G$2:$G$1254)</f>
        <v>1868.68</v>
      </c>
      <c r="I137" s="19">
        <f>SUMIF(OrderItems!$B$2:$B$1254,A137,OrderItems!$K$2:$K$1254)</f>
        <v>866.68</v>
      </c>
      <c r="J137" s="19">
        <f t="shared" si="6"/>
        <v>1002.0000000000001</v>
      </c>
      <c r="K137" s="10" t="str">
        <f t="shared" si="7"/>
        <v>2024-03</v>
      </c>
      <c r="L137" s="10" t="str">
        <f>IFERROR(INDEX(Customers!$G$2:$G$61,MATCH(B137,Customers!$A$2:$A$61,0)),"")</f>
        <v>Corporate</v>
      </c>
      <c r="M137" s="10" t="str">
        <f>IFERROR(INDEX(Employees!$B$2:$B$37,MATCH(C137,Employees!$A$2:$A$37,0))&amp;" "&amp;INDEX(Employees!$C$2:$C$37,MATCH(C137,Employees!$A$2:$A$37,0)),"")</f>
        <v>Daniel Brown</v>
      </c>
      <c r="N137" s="10" t="str">
        <f t="shared" si="8"/>
        <v/>
      </c>
    </row>
    <row r="138" spans="1:14" ht="15" customHeight="1" x14ac:dyDescent="0.25">
      <c r="A138" s="10">
        <v>137</v>
      </c>
      <c r="B138" s="10">
        <v>44</v>
      </c>
      <c r="C138" s="10">
        <v>9</v>
      </c>
      <c r="D138" s="10" t="s">
        <v>941</v>
      </c>
      <c r="E138" s="10" t="s">
        <v>942</v>
      </c>
      <c r="F138" s="10" t="s">
        <v>14</v>
      </c>
      <c r="G138" s="10" t="s">
        <v>40</v>
      </c>
      <c r="H138" s="19">
        <f>SUMIF(OrderItems!$B$2:$B$1254,A138,OrderItems!$G$2:$G$1254)</f>
        <v>2602.7420000000002</v>
      </c>
      <c r="I138" s="19">
        <f>SUMIF(OrderItems!$B$2:$B$1254,A138,OrderItems!$K$2:$K$1254)</f>
        <v>1438.08</v>
      </c>
      <c r="J138" s="19">
        <f t="shared" si="6"/>
        <v>1164.6620000000003</v>
      </c>
      <c r="K138" s="10" t="str">
        <f t="shared" si="7"/>
        <v>2024-06</v>
      </c>
      <c r="L138" s="10" t="str">
        <f>IFERROR(INDEX(Customers!$G$2:$G$61,MATCH(B138,Customers!$A$2:$A$61,0)),"")</f>
        <v>Corporate</v>
      </c>
      <c r="M138" s="10" t="str">
        <f>IFERROR(INDEX(Employees!$B$2:$B$37,MATCH(C138,Employees!$A$2:$A$37,0))&amp;" "&amp;INDEX(Employees!$C$2:$C$37,MATCH(C138,Employees!$A$2:$A$37,0)),"")</f>
        <v>William Johnson</v>
      </c>
      <c r="N138" s="10">
        <f t="shared" si="8"/>
        <v>1</v>
      </c>
    </row>
    <row r="139" spans="1:14" ht="15" customHeight="1" x14ac:dyDescent="0.25">
      <c r="A139" s="10">
        <v>138</v>
      </c>
      <c r="B139" s="10">
        <v>13</v>
      </c>
      <c r="C139" s="10">
        <v>10</v>
      </c>
      <c r="D139" s="10" t="s">
        <v>943</v>
      </c>
      <c r="E139" s="10" t="s">
        <v>934</v>
      </c>
      <c r="F139" s="10" t="s">
        <v>14</v>
      </c>
      <c r="G139" s="10" t="s">
        <v>39</v>
      </c>
      <c r="H139" s="19">
        <f>SUMIF(OrderItems!$B$2:$B$1254,A139,OrderItems!$G$2:$G$1254)</f>
        <v>2760.748</v>
      </c>
      <c r="I139" s="19">
        <f>SUMIF(OrderItems!$B$2:$B$1254,A139,OrderItems!$K$2:$K$1254)</f>
        <v>1805.47</v>
      </c>
      <c r="J139" s="19">
        <f t="shared" si="6"/>
        <v>955.27800000000002</v>
      </c>
      <c r="K139" s="10" t="str">
        <f t="shared" si="7"/>
        <v>2025-02</v>
      </c>
      <c r="L139" s="10" t="str">
        <f>IFERROR(INDEX(Customers!$G$2:$G$61,MATCH(B139,Customers!$A$2:$A$61,0)),"")</f>
        <v>Small Business</v>
      </c>
      <c r="M139" s="10" t="str">
        <f>IFERROR(INDEX(Employees!$B$2:$B$37,MATCH(C139,Employees!$A$2:$A$37,0))&amp;" "&amp;INDEX(Employees!$C$2:$C$37,MATCH(C139,Employees!$A$2:$A$37,0)),"")</f>
        <v>John Moore</v>
      </c>
      <c r="N139" s="10">
        <f t="shared" si="8"/>
        <v>10</v>
      </c>
    </row>
    <row r="140" spans="1:14" ht="15" customHeight="1" x14ac:dyDescent="0.25">
      <c r="A140" s="10">
        <v>139</v>
      </c>
      <c r="B140" s="10">
        <v>3</v>
      </c>
      <c r="C140" s="10">
        <v>10</v>
      </c>
      <c r="D140" s="10" t="s">
        <v>944</v>
      </c>
      <c r="E140" s="10" t="s">
        <v>945</v>
      </c>
      <c r="F140" s="10" t="s">
        <v>14</v>
      </c>
      <c r="G140" s="10" t="s">
        <v>40</v>
      </c>
      <c r="H140" s="19">
        <f>SUMIF(OrderItems!$B$2:$B$1254,A140,OrderItems!$G$2:$G$1254)</f>
        <v>5360.92</v>
      </c>
      <c r="I140" s="19">
        <f>SUMIF(OrderItems!$B$2:$B$1254,A140,OrderItems!$K$2:$K$1254)</f>
        <v>2796.7300000000005</v>
      </c>
      <c r="J140" s="19">
        <f t="shared" si="6"/>
        <v>2564.1899999999996</v>
      </c>
      <c r="K140" s="10" t="str">
        <f t="shared" si="7"/>
        <v>2023-04</v>
      </c>
      <c r="L140" s="10" t="str">
        <f>IFERROR(INDEX(Customers!$G$2:$G$61,MATCH(B140,Customers!$A$2:$A$61,0)),"")</f>
        <v>Consumer</v>
      </c>
      <c r="M140" s="10" t="str">
        <f>IFERROR(INDEX(Employees!$B$2:$B$37,MATCH(C140,Employees!$A$2:$A$37,0))&amp;" "&amp;INDEX(Employees!$C$2:$C$37,MATCH(C140,Employees!$A$2:$A$37,0)),"")</f>
        <v>John Moore</v>
      </c>
      <c r="N140" s="10">
        <f t="shared" si="8"/>
        <v>10</v>
      </c>
    </row>
    <row r="141" spans="1:14" ht="15" customHeight="1" x14ac:dyDescent="0.25">
      <c r="A141" s="10">
        <v>140</v>
      </c>
      <c r="B141" s="10">
        <v>40</v>
      </c>
      <c r="C141" s="10">
        <v>8</v>
      </c>
      <c r="D141" s="10" t="s">
        <v>847</v>
      </c>
      <c r="E141" s="10" t="s">
        <v>946</v>
      </c>
      <c r="F141" s="10" t="s">
        <v>15</v>
      </c>
      <c r="G141" s="10" t="s">
        <v>39</v>
      </c>
      <c r="H141" s="19">
        <f>SUMIF(OrderItems!$B$2:$B$1254,A141,OrderItems!$G$2:$G$1254)</f>
        <v>9151.0490000000009</v>
      </c>
      <c r="I141" s="19">
        <f>SUMIF(OrderItems!$B$2:$B$1254,A141,OrderItems!$K$2:$K$1254)</f>
        <v>5335.93</v>
      </c>
      <c r="J141" s="19">
        <f t="shared" si="6"/>
        <v>3815.1190000000006</v>
      </c>
      <c r="K141" s="10" t="str">
        <f t="shared" si="7"/>
        <v>2024-08</v>
      </c>
      <c r="L141" s="10" t="str">
        <f>IFERROR(INDEX(Customers!$G$2:$G$61,MATCH(B141,Customers!$A$2:$A$61,0)),"")</f>
        <v>Corporate</v>
      </c>
      <c r="M141" s="10" t="str">
        <f>IFERROR(INDEX(Employees!$B$2:$B$37,MATCH(C141,Employees!$A$2:$A$37,0))&amp;" "&amp;INDEX(Employees!$C$2:$C$37,MATCH(C141,Employees!$A$2:$A$37,0)),"")</f>
        <v>John Gonzalez</v>
      </c>
      <c r="N141" s="10">
        <f t="shared" si="8"/>
        <v>7</v>
      </c>
    </row>
    <row r="142" spans="1:14" ht="15" customHeight="1" x14ac:dyDescent="0.25">
      <c r="A142" s="10">
        <v>141</v>
      </c>
      <c r="B142" s="10">
        <v>31</v>
      </c>
      <c r="C142" s="10">
        <v>10</v>
      </c>
      <c r="D142" s="10" t="s">
        <v>947</v>
      </c>
      <c r="F142" s="10" t="s">
        <v>16</v>
      </c>
      <c r="G142" s="10" t="s">
        <v>40</v>
      </c>
      <c r="H142" s="19">
        <f>SUMIF(OrderItems!$B$2:$B$1254,A142,OrderItems!$G$2:$G$1254)</f>
        <v>3580.288</v>
      </c>
      <c r="I142" s="19">
        <f>SUMIF(OrderItems!$B$2:$B$1254,A142,OrderItems!$K$2:$K$1254)</f>
        <v>1824.84</v>
      </c>
      <c r="J142" s="19">
        <f t="shared" si="6"/>
        <v>1755.4480000000001</v>
      </c>
      <c r="K142" s="10" t="str">
        <f t="shared" si="7"/>
        <v>2024-12</v>
      </c>
      <c r="L142" s="10" t="str">
        <f>IFERROR(INDEX(Customers!$G$2:$G$61,MATCH(B142,Customers!$A$2:$A$61,0)),"")</f>
        <v>Consumer</v>
      </c>
      <c r="M142" s="10" t="str">
        <f>IFERROR(INDEX(Employees!$B$2:$B$37,MATCH(C142,Employees!$A$2:$A$37,0))&amp;" "&amp;INDEX(Employees!$C$2:$C$37,MATCH(C142,Employees!$A$2:$A$37,0)),"")</f>
        <v>John Moore</v>
      </c>
      <c r="N142" s="10" t="str">
        <f t="shared" si="8"/>
        <v/>
      </c>
    </row>
    <row r="143" spans="1:14" ht="15" customHeight="1" x14ac:dyDescent="0.25">
      <c r="A143" s="10">
        <v>142</v>
      </c>
      <c r="B143" s="10">
        <v>50</v>
      </c>
      <c r="C143" s="10">
        <v>8</v>
      </c>
      <c r="D143" s="10" t="s">
        <v>948</v>
      </c>
      <c r="E143" s="10" t="s">
        <v>949</v>
      </c>
      <c r="F143" s="10" t="s">
        <v>14</v>
      </c>
      <c r="G143" s="10" t="s">
        <v>37</v>
      </c>
      <c r="H143" s="19">
        <f>SUMIF(OrderItems!$B$2:$B$1254,A143,OrderItems!$G$2:$G$1254)</f>
        <v>4694.3880000000008</v>
      </c>
      <c r="I143" s="19">
        <f>SUMIF(OrderItems!$B$2:$B$1254,A143,OrderItems!$K$2:$K$1254)</f>
        <v>2262.04</v>
      </c>
      <c r="J143" s="19">
        <f t="shared" si="6"/>
        <v>2432.3480000000009</v>
      </c>
      <c r="K143" s="10" t="str">
        <f t="shared" si="7"/>
        <v>2023-11</v>
      </c>
      <c r="L143" s="10" t="str">
        <f>IFERROR(INDEX(Customers!$G$2:$G$61,MATCH(B143,Customers!$A$2:$A$61,0)),"")</f>
        <v>Consumer</v>
      </c>
      <c r="M143" s="10" t="str">
        <f>IFERROR(INDEX(Employees!$B$2:$B$37,MATCH(C143,Employees!$A$2:$A$37,0))&amp;" "&amp;INDEX(Employees!$C$2:$C$37,MATCH(C143,Employees!$A$2:$A$37,0)),"")</f>
        <v>John Gonzalez</v>
      </c>
      <c r="N143" s="10">
        <f t="shared" si="8"/>
        <v>4</v>
      </c>
    </row>
    <row r="144" spans="1:14" ht="15" customHeight="1" x14ac:dyDescent="0.25">
      <c r="A144" s="10">
        <v>143</v>
      </c>
      <c r="B144" s="10">
        <v>52</v>
      </c>
      <c r="C144" s="10">
        <v>9</v>
      </c>
      <c r="D144" s="10" t="s">
        <v>950</v>
      </c>
      <c r="F144" s="10" t="s">
        <v>16</v>
      </c>
      <c r="G144" s="10" t="s">
        <v>39</v>
      </c>
      <c r="H144" s="19">
        <f>SUMIF(OrderItems!$B$2:$B$1254,A144,OrderItems!$G$2:$G$1254)</f>
        <v>6686.9099999999989</v>
      </c>
      <c r="I144" s="19">
        <f>SUMIF(OrderItems!$B$2:$B$1254,A144,OrderItems!$K$2:$K$1254)</f>
        <v>4009.4399999999996</v>
      </c>
      <c r="J144" s="19">
        <f t="shared" si="6"/>
        <v>2677.4699999999993</v>
      </c>
      <c r="K144" s="10" t="str">
        <f t="shared" si="7"/>
        <v>2023-02</v>
      </c>
      <c r="L144" s="10" t="str">
        <f>IFERROR(INDEX(Customers!$G$2:$G$61,MATCH(B144,Customers!$A$2:$A$61,0)),"")</f>
        <v>Corporate</v>
      </c>
      <c r="M144" s="10" t="str">
        <f>IFERROR(INDEX(Employees!$B$2:$B$37,MATCH(C144,Employees!$A$2:$A$37,0))&amp;" "&amp;INDEX(Employees!$C$2:$C$37,MATCH(C144,Employees!$A$2:$A$37,0)),"")</f>
        <v>William Johnson</v>
      </c>
      <c r="N144" s="10" t="str">
        <f t="shared" si="8"/>
        <v/>
      </c>
    </row>
    <row r="145" spans="1:14" ht="15" customHeight="1" x14ac:dyDescent="0.25">
      <c r="A145" s="10">
        <v>144</v>
      </c>
      <c r="B145" s="10">
        <v>59</v>
      </c>
      <c r="C145" s="10">
        <v>8</v>
      </c>
      <c r="D145" s="10" t="s">
        <v>951</v>
      </c>
      <c r="F145" s="10" t="s">
        <v>16</v>
      </c>
      <c r="G145" s="10" t="s">
        <v>37</v>
      </c>
      <c r="H145" s="19">
        <f>SUMIF(OrderItems!$B$2:$B$1254,A145,OrderItems!$G$2:$G$1254)</f>
        <v>4265.1459999999997</v>
      </c>
      <c r="I145" s="19">
        <f>SUMIF(OrderItems!$B$2:$B$1254,A145,OrderItems!$K$2:$K$1254)</f>
        <v>2471.34</v>
      </c>
      <c r="J145" s="19">
        <f t="shared" si="6"/>
        <v>1793.8059999999996</v>
      </c>
      <c r="K145" s="10" t="str">
        <f t="shared" si="7"/>
        <v>2023-09</v>
      </c>
      <c r="L145" s="10" t="str">
        <f>IFERROR(INDEX(Customers!$G$2:$G$61,MATCH(B145,Customers!$A$2:$A$61,0)),"")</f>
        <v>Corporate</v>
      </c>
      <c r="M145" s="10" t="str">
        <f>IFERROR(INDEX(Employees!$B$2:$B$37,MATCH(C145,Employees!$A$2:$A$37,0))&amp;" "&amp;INDEX(Employees!$C$2:$C$37,MATCH(C145,Employees!$A$2:$A$37,0)),"")</f>
        <v>John Gonzalez</v>
      </c>
      <c r="N145" s="10" t="str">
        <f t="shared" si="8"/>
        <v/>
      </c>
    </row>
    <row r="146" spans="1:14" ht="15" customHeight="1" x14ac:dyDescent="0.25">
      <c r="A146" s="10">
        <v>145</v>
      </c>
      <c r="B146" s="10">
        <v>46</v>
      </c>
      <c r="C146" s="10">
        <v>10</v>
      </c>
      <c r="D146" s="10" t="s">
        <v>952</v>
      </c>
      <c r="F146" s="10" t="s">
        <v>16</v>
      </c>
      <c r="G146" s="10" t="s">
        <v>38</v>
      </c>
      <c r="H146" s="19">
        <f>SUMIF(OrderItems!$B$2:$B$1254,A146,OrderItems!$G$2:$G$1254)</f>
        <v>5338.116</v>
      </c>
      <c r="I146" s="19">
        <f>SUMIF(OrderItems!$B$2:$B$1254,A146,OrderItems!$K$2:$K$1254)</f>
        <v>3209.19</v>
      </c>
      <c r="J146" s="19">
        <f t="shared" si="6"/>
        <v>2128.9259999999999</v>
      </c>
      <c r="K146" s="10" t="str">
        <f t="shared" si="7"/>
        <v>2023-07</v>
      </c>
      <c r="L146" s="10" t="str">
        <f>IFERROR(INDEX(Customers!$G$2:$G$61,MATCH(B146,Customers!$A$2:$A$61,0)),"")</f>
        <v>Small Business</v>
      </c>
      <c r="M146" s="10" t="str">
        <f>IFERROR(INDEX(Employees!$B$2:$B$37,MATCH(C146,Employees!$A$2:$A$37,0))&amp;" "&amp;INDEX(Employees!$C$2:$C$37,MATCH(C146,Employees!$A$2:$A$37,0)),"")</f>
        <v>John Moore</v>
      </c>
      <c r="N146" s="10" t="str">
        <f t="shared" si="8"/>
        <v/>
      </c>
    </row>
    <row r="147" spans="1:14" ht="15" customHeight="1" x14ac:dyDescent="0.25">
      <c r="A147" s="10">
        <v>146</v>
      </c>
      <c r="B147" s="10">
        <v>25</v>
      </c>
      <c r="C147" s="10">
        <v>9</v>
      </c>
      <c r="D147" s="10" t="s">
        <v>953</v>
      </c>
      <c r="E147" s="10" t="s">
        <v>587</v>
      </c>
      <c r="F147" s="10" t="s">
        <v>14</v>
      </c>
      <c r="G147" s="10" t="s">
        <v>36</v>
      </c>
      <c r="H147" s="19">
        <f>SUMIF(OrderItems!$B$2:$B$1254,A147,OrderItems!$G$2:$G$1254)</f>
        <v>14704.682999999999</v>
      </c>
      <c r="I147" s="19">
        <f>SUMIF(OrderItems!$B$2:$B$1254,A147,OrderItems!$K$2:$K$1254)</f>
        <v>8180.0800000000008</v>
      </c>
      <c r="J147" s="19">
        <f t="shared" si="6"/>
        <v>6524.6029999999982</v>
      </c>
      <c r="K147" s="10" t="str">
        <f t="shared" si="7"/>
        <v>2024-08</v>
      </c>
      <c r="L147" s="10" t="str">
        <f>IFERROR(INDEX(Customers!$G$2:$G$61,MATCH(B147,Customers!$A$2:$A$61,0)),"")</f>
        <v>Small Business</v>
      </c>
      <c r="M147" s="10" t="str">
        <f>IFERROR(INDEX(Employees!$B$2:$B$37,MATCH(C147,Employees!$A$2:$A$37,0))&amp;" "&amp;INDEX(Employees!$C$2:$C$37,MATCH(C147,Employees!$A$2:$A$37,0)),"")</f>
        <v>William Johnson</v>
      </c>
      <c r="N147" s="10">
        <f t="shared" si="8"/>
        <v>3</v>
      </c>
    </row>
    <row r="148" spans="1:14" ht="15" customHeight="1" x14ac:dyDescent="0.25">
      <c r="A148" s="10">
        <v>147</v>
      </c>
      <c r="B148" s="10">
        <v>23</v>
      </c>
      <c r="C148" s="10">
        <v>9</v>
      </c>
      <c r="D148" s="10" t="s">
        <v>954</v>
      </c>
      <c r="E148" s="10" t="s">
        <v>955</v>
      </c>
      <c r="F148" s="10" t="s">
        <v>14</v>
      </c>
      <c r="G148" s="10" t="s">
        <v>40</v>
      </c>
      <c r="H148" s="19">
        <f>SUMIF(OrderItems!$B$2:$B$1254,A148,OrderItems!$G$2:$G$1254)</f>
        <v>1357</v>
      </c>
      <c r="I148" s="19">
        <f>SUMIF(OrderItems!$B$2:$B$1254,A148,OrderItems!$K$2:$K$1254)</f>
        <v>834.64</v>
      </c>
      <c r="J148" s="19">
        <f t="shared" si="6"/>
        <v>522.36</v>
      </c>
      <c r="K148" s="10" t="str">
        <f t="shared" si="7"/>
        <v>2023-12</v>
      </c>
      <c r="L148" s="10" t="str">
        <f>IFERROR(INDEX(Customers!$G$2:$G$61,MATCH(B148,Customers!$A$2:$A$61,0)),"")</f>
        <v>Small Business</v>
      </c>
      <c r="M148" s="10" t="str">
        <f>IFERROR(INDEX(Employees!$B$2:$B$37,MATCH(C148,Employees!$A$2:$A$37,0))&amp;" "&amp;INDEX(Employees!$C$2:$C$37,MATCH(C148,Employees!$A$2:$A$37,0)),"")</f>
        <v>William Johnson</v>
      </c>
      <c r="N148" s="10">
        <f t="shared" si="8"/>
        <v>6</v>
      </c>
    </row>
    <row r="149" spans="1:14" ht="15" customHeight="1" x14ac:dyDescent="0.25">
      <c r="A149" s="10">
        <v>148</v>
      </c>
      <c r="B149" s="10">
        <v>23</v>
      </c>
      <c r="C149" s="10">
        <v>9</v>
      </c>
      <c r="D149" s="10" t="s">
        <v>956</v>
      </c>
      <c r="E149" s="10" t="s">
        <v>957</v>
      </c>
      <c r="F149" s="10" t="s">
        <v>14</v>
      </c>
      <c r="G149" s="10" t="s">
        <v>40</v>
      </c>
      <c r="H149" s="19">
        <f>SUMIF(OrderItems!$B$2:$B$1254,A149,OrderItems!$G$2:$G$1254)</f>
        <v>9652.1540000000023</v>
      </c>
      <c r="I149" s="19">
        <f>SUMIF(OrderItems!$B$2:$B$1254,A149,OrderItems!$K$2:$K$1254)</f>
        <v>5814.08</v>
      </c>
      <c r="J149" s="19">
        <f t="shared" si="6"/>
        <v>3838.0740000000023</v>
      </c>
      <c r="K149" s="10" t="str">
        <f t="shared" si="7"/>
        <v>2023-08</v>
      </c>
      <c r="L149" s="10" t="str">
        <f>IFERROR(INDEX(Customers!$G$2:$G$61,MATCH(B149,Customers!$A$2:$A$61,0)),"")</f>
        <v>Small Business</v>
      </c>
      <c r="M149" s="10" t="str">
        <f>IFERROR(INDEX(Employees!$B$2:$B$37,MATCH(C149,Employees!$A$2:$A$37,0))&amp;" "&amp;INDEX(Employees!$C$2:$C$37,MATCH(C149,Employees!$A$2:$A$37,0)),"")</f>
        <v>William Johnson</v>
      </c>
      <c r="N149" s="10">
        <f t="shared" si="8"/>
        <v>1</v>
      </c>
    </row>
    <row r="150" spans="1:14" ht="15" customHeight="1" x14ac:dyDescent="0.25">
      <c r="A150" s="10">
        <v>149</v>
      </c>
      <c r="B150" s="10">
        <v>11</v>
      </c>
      <c r="C150" s="10">
        <v>10</v>
      </c>
      <c r="D150" s="10" t="s">
        <v>958</v>
      </c>
      <c r="E150" s="10" t="s">
        <v>959</v>
      </c>
      <c r="F150" s="10" t="s">
        <v>14</v>
      </c>
      <c r="G150" s="10" t="s">
        <v>36</v>
      </c>
      <c r="H150" s="19">
        <f>SUMIF(OrderItems!$B$2:$B$1254,A150,OrderItems!$G$2:$G$1254)</f>
        <v>5143.5219999999999</v>
      </c>
      <c r="I150" s="19">
        <f>SUMIF(OrderItems!$B$2:$B$1254,A150,OrderItems!$K$2:$K$1254)</f>
        <v>3332.91</v>
      </c>
      <c r="J150" s="19">
        <f t="shared" si="6"/>
        <v>1810.6120000000001</v>
      </c>
      <c r="K150" s="10" t="str">
        <f t="shared" si="7"/>
        <v>2023-05</v>
      </c>
      <c r="L150" s="10" t="str">
        <f>IFERROR(INDEX(Customers!$G$2:$G$61,MATCH(B150,Customers!$A$2:$A$61,0)),"")</f>
        <v>Consumer</v>
      </c>
      <c r="M150" s="10" t="str">
        <f>IFERROR(INDEX(Employees!$B$2:$B$37,MATCH(C150,Employees!$A$2:$A$37,0))&amp;" "&amp;INDEX(Employees!$C$2:$C$37,MATCH(C150,Employees!$A$2:$A$37,0)),"")</f>
        <v>John Moore</v>
      </c>
      <c r="N150" s="10">
        <f t="shared" si="8"/>
        <v>5</v>
      </c>
    </row>
    <row r="151" spans="1:14" ht="15" customHeight="1" x14ac:dyDescent="0.25">
      <c r="A151" s="10">
        <v>150</v>
      </c>
      <c r="B151" s="10">
        <v>39</v>
      </c>
      <c r="C151" s="10">
        <v>10</v>
      </c>
      <c r="D151" s="10" t="s">
        <v>960</v>
      </c>
      <c r="F151" s="10" t="s">
        <v>17</v>
      </c>
      <c r="G151" s="10" t="s">
        <v>37</v>
      </c>
      <c r="H151" s="19">
        <f>SUMIF(OrderItems!$B$2:$B$1254,A151,OrderItems!$G$2:$G$1254)</f>
        <v>8503.2540000000008</v>
      </c>
      <c r="I151" s="19">
        <f>SUMIF(OrderItems!$B$2:$B$1254,A151,OrderItems!$K$2:$K$1254)</f>
        <v>4273.43</v>
      </c>
      <c r="J151" s="19">
        <f t="shared" si="6"/>
        <v>4229.8240000000005</v>
      </c>
      <c r="K151" s="10" t="str">
        <f t="shared" si="7"/>
        <v>2023-03</v>
      </c>
      <c r="L151" s="10" t="str">
        <f>IFERROR(INDEX(Customers!$G$2:$G$61,MATCH(B151,Customers!$A$2:$A$61,0)),"")</f>
        <v>Consumer</v>
      </c>
      <c r="M151" s="10" t="str">
        <f>IFERROR(INDEX(Employees!$B$2:$B$37,MATCH(C151,Employees!$A$2:$A$37,0))&amp;" "&amp;INDEX(Employees!$C$2:$C$37,MATCH(C151,Employees!$A$2:$A$37,0)),"")</f>
        <v>John Moore</v>
      </c>
      <c r="N151" s="10" t="str">
        <f t="shared" si="8"/>
        <v/>
      </c>
    </row>
    <row r="152" spans="1:14" ht="15" customHeight="1" x14ac:dyDescent="0.25">
      <c r="A152" s="10">
        <v>151</v>
      </c>
      <c r="B152" s="10">
        <v>16</v>
      </c>
      <c r="C152" s="10">
        <v>1</v>
      </c>
      <c r="D152" s="10" t="s">
        <v>961</v>
      </c>
      <c r="F152" s="10" t="s">
        <v>17</v>
      </c>
      <c r="G152" s="10" t="s">
        <v>39</v>
      </c>
      <c r="H152" s="19">
        <f>SUMIF(OrderItems!$B$2:$B$1254,A152,OrderItems!$G$2:$G$1254)</f>
        <v>3610.1800000000003</v>
      </c>
      <c r="I152" s="19">
        <f>SUMIF(OrderItems!$B$2:$B$1254,A152,OrderItems!$K$2:$K$1254)</f>
        <v>2276.56</v>
      </c>
      <c r="J152" s="19">
        <f t="shared" si="6"/>
        <v>1333.6200000000003</v>
      </c>
      <c r="K152" s="10" t="str">
        <f t="shared" si="7"/>
        <v>2023-04</v>
      </c>
      <c r="L152" s="10" t="str">
        <f>IFERROR(INDEX(Customers!$G$2:$G$61,MATCH(B152,Customers!$A$2:$A$61,0)),"")</f>
        <v>Small Business</v>
      </c>
      <c r="M152" s="10" t="str">
        <f>IFERROR(INDEX(Employees!$B$2:$B$37,MATCH(C152,Employees!$A$2:$A$37,0))&amp;" "&amp;INDEX(Employees!$C$2:$C$37,MATCH(C152,Employees!$A$2:$A$37,0)),"")</f>
        <v>Daniel Brown</v>
      </c>
      <c r="N152" s="10" t="str">
        <f t="shared" si="8"/>
        <v/>
      </c>
    </row>
    <row r="153" spans="1:14" ht="15" customHeight="1" x14ac:dyDescent="0.25">
      <c r="A153" s="10">
        <v>152</v>
      </c>
      <c r="B153" s="10">
        <v>11</v>
      </c>
      <c r="C153" s="10">
        <v>9</v>
      </c>
      <c r="D153" s="10" t="s">
        <v>962</v>
      </c>
      <c r="E153" s="10" t="s">
        <v>807</v>
      </c>
      <c r="F153" s="10" t="s">
        <v>15</v>
      </c>
      <c r="G153" s="10" t="s">
        <v>38</v>
      </c>
      <c r="H153" s="19">
        <f>SUMIF(OrderItems!$B$2:$B$1254,A153,OrderItems!$G$2:$G$1254)</f>
        <v>3832.6644999999999</v>
      </c>
      <c r="I153" s="19">
        <f>SUMIF(OrderItems!$B$2:$B$1254,A153,OrderItems!$K$2:$K$1254)</f>
        <v>2325.9899999999998</v>
      </c>
      <c r="J153" s="19">
        <f t="shared" si="6"/>
        <v>1506.6745000000001</v>
      </c>
      <c r="K153" s="10" t="str">
        <f t="shared" si="7"/>
        <v>2023-06</v>
      </c>
      <c r="L153" s="10" t="str">
        <f>IFERROR(INDEX(Customers!$G$2:$G$61,MATCH(B153,Customers!$A$2:$A$61,0)),"")</f>
        <v>Consumer</v>
      </c>
      <c r="M153" s="10" t="str">
        <f>IFERROR(INDEX(Employees!$B$2:$B$37,MATCH(C153,Employees!$A$2:$A$37,0))&amp;" "&amp;INDEX(Employees!$C$2:$C$37,MATCH(C153,Employees!$A$2:$A$37,0)),"")</f>
        <v>William Johnson</v>
      </c>
      <c r="N153" s="10">
        <f t="shared" si="8"/>
        <v>2</v>
      </c>
    </row>
    <row r="154" spans="1:14" ht="15" customHeight="1" x14ac:dyDescent="0.25">
      <c r="A154" s="10">
        <v>153</v>
      </c>
      <c r="B154" s="10">
        <v>29</v>
      </c>
      <c r="C154" s="10">
        <v>10</v>
      </c>
      <c r="D154" s="10" t="s">
        <v>963</v>
      </c>
      <c r="E154" s="10" t="s">
        <v>964</v>
      </c>
      <c r="F154" s="10" t="s">
        <v>14</v>
      </c>
      <c r="G154" s="10" t="s">
        <v>39</v>
      </c>
      <c r="H154" s="19">
        <f>SUMIF(OrderItems!$B$2:$B$1254,A154,OrderItems!$G$2:$G$1254)</f>
        <v>632.29999999999995</v>
      </c>
      <c r="I154" s="19">
        <f>SUMIF(OrderItems!$B$2:$B$1254,A154,OrderItems!$K$2:$K$1254)</f>
        <v>355.42</v>
      </c>
      <c r="J154" s="19">
        <f t="shared" si="6"/>
        <v>276.87999999999994</v>
      </c>
      <c r="K154" s="10" t="str">
        <f t="shared" si="7"/>
        <v>2024-06</v>
      </c>
      <c r="L154" s="10" t="str">
        <f>IFERROR(INDEX(Customers!$G$2:$G$61,MATCH(B154,Customers!$A$2:$A$61,0)),"")</f>
        <v>Consumer</v>
      </c>
      <c r="M154" s="10" t="str">
        <f>IFERROR(INDEX(Employees!$B$2:$B$37,MATCH(C154,Employees!$A$2:$A$37,0))&amp;" "&amp;INDEX(Employees!$C$2:$C$37,MATCH(C154,Employees!$A$2:$A$37,0)),"")</f>
        <v>John Moore</v>
      </c>
      <c r="N154" s="10">
        <f t="shared" si="8"/>
        <v>5</v>
      </c>
    </row>
    <row r="155" spans="1:14" ht="15" customHeight="1" x14ac:dyDescent="0.25">
      <c r="A155" s="10">
        <v>154</v>
      </c>
      <c r="B155" s="10">
        <v>52</v>
      </c>
      <c r="C155" s="10">
        <v>10</v>
      </c>
      <c r="D155" s="10" t="s">
        <v>965</v>
      </c>
      <c r="E155" s="10" t="s">
        <v>966</v>
      </c>
      <c r="F155" s="10" t="s">
        <v>14</v>
      </c>
      <c r="G155" s="10" t="s">
        <v>39</v>
      </c>
      <c r="H155" s="19">
        <f>SUMIF(OrderItems!$B$2:$B$1254,A155,OrderItems!$G$2:$G$1254)</f>
        <v>3460.2360000000003</v>
      </c>
      <c r="I155" s="19">
        <f>SUMIF(OrderItems!$B$2:$B$1254,A155,OrderItems!$K$2:$K$1254)</f>
        <v>2104.2399999999998</v>
      </c>
      <c r="J155" s="19">
        <f t="shared" si="6"/>
        <v>1355.9960000000005</v>
      </c>
      <c r="K155" s="10" t="str">
        <f t="shared" si="7"/>
        <v>2024-04</v>
      </c>
      <c r="L155" s="10" t="str">
        <f>IFERROR(INDEX(Customers!$G$2:$G$61,MATCH(B155,Customers!$A$2:$A$61,0)),"")</f>
        <v>Corporate</v>
      </c>
      <c r="M155" s="10" t="str">
        <f>IFERROR(INDEX(Employees!$B$2:$B$37,MATCH(C155,Employees!$A$2:$A$37,0))&amp;" "&amp;INDEX(Employees!$C$2:$C$37,MATCH(C155,Employees!$A$2:$A$37,0)),"")</f>
        <v>John Moore</v>
      </c>
      <c r="N155" s="10">
        <f t="shared" si="8"/>
        <v>7</v>
      </c>
    </row>
    <row r="156" spans="1:14" ht="15" customHeight="1" x14ac:dyDescent="0.25">
      <c r="A156" s="10">
        <v>155</v>
      </c>
      <c r="B156" s="10">
        <v>8</v>
      </c>
      <c r="C156" s="10">
        <v>10</v>
      </c>
      <c r="D156" s="10" t="s">
        <v>967</v>
      </c>
      <c r="E156" s="10" t="s">
        <v>968</v>
      </c>
      <c r="F156" s="10" t="s">
        <v>14</v>
      </c>
      <c r="G156" s="10" t="s">
        <v>37</v>
      </c>
      <c r="H156" s="19">
        <f>SUMIF(OrderItems!$B$2:$B$1254,A156,OrderItems!$G$2:$G$1254)</f>
        <v>3046.4209999999998</v>
      </c>
      <c r="I156" s="19">
        <f>SUMIF(OrderItems!$B$2:$B$1254,A156,OrderItems!$K$2:$K$1254)</f>
        <v>1470.9599999999998</v>
      </c>
      <c r="J156" s="19">
        <f t="shared" si="6"/>
        <v>1575.461</v>
      </c>
      <c r="K156" s="10" t="str">
        <f t="shared" si="7"/>
        <v>2023-12</v>
      </c>
      <c r="L156" s="10" t="str">
        <f>IFERROR(INDEX(Customers!$G$2:$G$61,MATCH(B156,Customers!$A$2:$A$61,0)),"")</f>
        <v>Consumer</v>
      </c>
      <c r="M156" s="10" t="str">
        <f>IFERROR(INDEX(Employees!$B$2:$B$37,MATCH(C156,Employees!$A$2:$A$37,0))&amp;" "&amp;INDEX(Employees!$C$2:$C$37,MATCH(C156,Employees!$A$2:$A$37,0)),"")</f>
        <v>John Moore</v>
      </c>
      <c r="N156" s="10">
        <f t="shared" si="8"/>
        <v>4</v>
      </c>
    </row>
    <row r="157" spans="1:14" ht="15" customHeight="1" x14ac:dyDescent="0.25">
      <c r="A157" s="10">
        <v>156</v>
      </c>
      <c r="B157" s="10">
        <v>54</v>
      </c>
      <c r="C157" s="10">
        <v>9</v>
      </c>
      <c r="D157" s="10" t="s">
        <v>969</v>
      </c>
      <c r="E157" s="10" t="s">
        <v>970</v>
      </c>
      <c r="F157" s="10" t="s">
        <v>14</v>
      </c>
      <c r="G157" s="10" t="s">
        <v>40</v>
      </c>
      <c r="H157" s="19">
        <f>SUMIF(OrderItems!$B$2:$B$1254,A157,OrderItems!$G$2:$G$1254)</f>
        <v>10553.240000000002</v>
      </c>
      <c r="I157" s="19">
        <f>SUMIF(OrderItems!$B$2:$B$1254,A157,OrderItems!$K$2:$K$1254)</f>
        <v>6864.86</v>
      </c>
      <c r="J157" s="19">
        <f t="shared" si="6"/>
        <v>3688.3800000000019</v>
      </c>
      <c r="K157" s="10" t="str">
        <f t="shared" si="7"/>
        <v>2024-10</v>
      </c>
      <c r="L157" s="10" t="str">
        <f>IFERROR(INDEX(Customers!$G$2:$G$61,MATCH(B157,Customers!$A$2:$A$61,0)),"")</f>
        <v>Corporate</v>
      </c>
      <c r="M157" s="10" t="str">
        <f>IFERROR(INDEX(Employees!$B$2:$B$37,MATCH(C157,Employees!$A$2:$A$37,0))&amp;" "&amp;INDEX(Employees!$C$2:$C$37,MATCH(C157,Employees!$A$2:$A$37,0)),"")</f>
        <v>William Johnson</v>
      </c>
      <c r="N157" s="10">
        <f t="shared" si="8"/>
        <v>2</v>
      </c>
    </row>
    <row r="158" spans="1:14" ht="15" customHeight="1" x14ac:dyDescent="0.25">
      <c r="A158" s="10">
        <v>157</v>
      </c>
      <c r="B158" s="10">
        <v>10</v>
      </c>
      <c r="C158" s="10">
        <v>1</v>
      </c>
      <c r="D158" s="10" t="s">
        <v>971</v>
      </c>
      <c r="E158" s="10" t="s">
        <v>956</v>
      </c>
      <c r="F158" s="10" t="s">
        <v>14</v>
      </c>
      <c r="G158" s="10" t="s">
        <v>39</v>
      </c>
      <c r="H158" s="19">
        <f>SUMIF(OrderItems!$B$2:$B$1254,A158,OrderItems!$G$2:$G$1254)</f>
        <v>7478.7250000000004</v>
      </c>
      <c r="I158" s="19">
        <f>SUMIF(OrderItems!$B$2:$B$1254,A158,OrderItems!$K$2:$K$1254)</f>
        <v>4241.8499999999995</v>
      </c>
      <c r="J158" s="19">
        <f t="shared" si="6"/>
        <v>3236.8750000000009</v>
      </c>
      <c r="K158" s="10" t="str">
        <f t="shared" si="7"/>
        <v>2023-08</v>
      </c>
      <c r="L158" s="10" t="str">
        <f>IFERROR(INDEX(Customers!$G$2:$G$61,MATCH(B158,Customers!$A$2:$A$61,0)),"")</f>
        <v>Corporate</v>
      </c>
      <c r="M158" s="10" t="str">
        <f>IFERROR(INDEX(Employees!$B$2:$B$37,MATCH(C158,Employees!$A$2:$A$37,0))&amp;" "&amp;INDEX(Employees!$C$2:$C$37,MATCH(C158,Employees!$A$2:$A$37,0)),"")</f>
        <v>Daniel Brown</v>
      </c>
      <c r="N158" s="10">
        <f t="shared" si="8"/>
        <v>5</v>
      </c>
    </row>
    <row r="159" spans="1:14" ht="15" customHeight="1" x14ac:dyDescent="0.25">
      <c r="A159" s="10">
        <v>158</v>
      </c>
      <c r="B159" s="10">
        <v>10</v>
      </c>
      <c r="C159" s="10">
        <v>10</v>
      </c>
      <c r="D159" s="10" t="s">
        <v>804</v>
      </c>
      <c r="F159" s="10" t="s">
        <v>17</v>
      </c>
      <c r="G159" s="10" t="s">
        <v>38</v>
      </c>
      <c r="H159" s="19">
        <f>SUMIF(OrderItems!$B$2:$B$1254,A159,OrderItems!$G$2:$G$1254)</f>
        <v>2808</v>
      </c>
      <c r="I159" s="19">
        <f>SUMIF(OrderItems!$B$2:$B$1254,A159,OrderItems!$K$2:$K$1254)</f>
        <v>1646.7800000000002</v>
      </c>
      <c r="J159" s="19">
        <f t="shared" si="6"/>
        <v>1161.2199999999998</v>
      </c>
      <c r="K159" s="10" t="str">
        <f t="shared" si="7"/>
        <v>2023-03</v>
      </c>
      <c r="L159" s="10" t="str">
        <f>IFERROR(INDEX(Customers!$G$2:$G$61,MATCH(B159,Customers!$A$2:$A$61,0)),"")</f>
        <v>Corporate</v>
      </c>
      <c r="M159" s="10" t="str">
        <f>IFERROR(INDEX(Employees!$B$2:$B$37,MATCH(C159,Employees!$A$2:$A$37,0))&amp;" "&amp;INDEX(Employees!$C$2:$C$37,MATCH(C159,Employees!$A$2:$A$37,0)),"")</f>
        <v>John Moore</v>
      </c>
      <c r="N159" s="10" t="str">
        <f t="shared" si="8"/>
        <v/>
      </c>
    </row>
    <row r="160" spans="1:14" ht="15" customHeight="1" x14ac:dyDescent="0.25">
      <c r="A160" s="10">
        <v>159</v>
      </c>
      <c r="B160" s="10">
        <v>22</v>
      </c>
      <c r="C160" s="10">
        <v>9</v>
      </c>
      <c r="D160" s="10" t="s">
        <v>972</v>
      </c>
      <c r="E160" s="10" t="s">
        <v>973</v>
      </c>
      <c r="F160" s="10" t="s">
        <v>18</v>
      </c>
      <c r="G160" s="10" t="s">
        <v>36</v>
      </c>
      <c r="H160" s="19">
        <f>SUMIF(OrderItems!$B$2:$B$1254,A160,OrderItems!$G$2:$G$1254)</f>
        <v>1443.8240000000001</v>
      </c>
      <c r="I160" s="19">
        <f>SUMIF(OrderItems!$B$2:$B$1254,A160,OrderItems!$K$2:$K$1254)</f>
        <v>998.28</v>
      </c>
      <c r="J160" s="19">
        <f t="shared" si="6"/>
        <v>445.5440000000001</v>
      </c>
      <c r="K160" s="10" t="str">
        <f t="shared" si="7"/>
        <v>2024-09</v>
      </c>
      <c r="L160" s="10" t="str">
        <f>IFERROR(INDEX(Customers!$G$2:$G$61,MATCH(B160,Customers!$A$2:$A$61,0)),"")</f>
        <v>Small Business</v>
      </c>
      <c r="M160" s="10" t="str">
        <f>IFERROR(INDEX(Employees!$B$2:$B$37,MATCH(C160,Employees!$A$2:$A$37,0))&amp;" "&amp;INDEX(Employees!$C$2:$C$37,MATCH(C160,Employees!$A$2:$A$37,0)),"")</f>
        <v>William Johnson</v>
      </c>
      <c r="N160" s="10">
        <f t="shared" si="8"/>
        <v>8</v>
      </c>
    </row>
    <row r="161" spans="1:14" ht="15" customHeight="1" x14ac:dyDescent="0.25">
      <c r="A161" s="10">
        <v>160</v>
      </c>
      <c r="B161" s="10">
        <v>39</v>
      </c>
      <c r="C161" s="10">
        <v>1</v>
      </c>
      <c r="D161" s="10" t="s">
        <v>974</v>
      </c>
      <c r="E161" s="10" t="s">
        <v>975</v>
      </c>
      <c r="F161" s="10" t="s">
        <v>15</v>
      </c>
      <c r="G161" s="10" t="s">
        <v>40</v>
      </c>
      <c r="H161" s="19">
        <f>SUMIF(OrderItems!$B$2:$B$1254,A161,OrderItems!$G$2:$G$1254)</f>
        <v>5293.7685000000001</v>
      </c>
      <c r="I161" s="19">
        <f>SUMIF(OrderItems!$B$2:$B$1254,A161,OrderItems!$K$2:$K$1254)</f>
        <v>2749.16</v>
      </c>
      <c r="J161" s="19">
        <f t="shared" si="6"/>
        <v>2544.6085000000003</v>
      </c>
      <c r="K161" s="10" t="str">
        <f t="shared" si="7"/>
        <v>2024-01</v>
      </c>
      <c r="L161" s="10" t="str">
        <f>IFERROR(INDEX(Customers!$G$2:$G$61,MATCH(B161,Customers!$A$2:$A$61,0)),"")</f>
        <v>Consumer</v>
      </c>
      <c r="M161" s="10" t="str">
        <f>IFERROR(INDEX(Employees!$B$2:$B$37,MATCH(C161,Employees!$A$2:$A$37,0))&amp;" "&amp;INDEX(Employees!$C$2:$C$37,MATCH(C161,Employees!$A$2:$A$37,0)),"")</f>
        <v>Daniel Brown</v>
      </c>
      <c r="N161" s="10">
        <f t="shared" si="8"/>
        <v>4</v>
      </c>
    </row>
    <row r="162" spans="1:14" ht="15" customHeight="1" x14ac:dyDescent="0.25">
      <c r="A162" s="10">
        <v>161</v>
      </c>
      <c r="B162" s="10">
        <v>57</v>
      </c>
      <c r="C162" s="10">
        <v>8</v>
      </c>
      <c r="D162" s="10" t="s">
        <v>866</v>
      </c>
      <c r="E162" s="10" t="s">
        <v>976</v>
      </c>
      <c r="F162" s="10" t="s">
        <v>14</v>
      </c>
      <c r="G162" s="10" t="s">
        <v>40</v>
      </c>
      <c r="H162" s="19">
        <f>SUMIF(OrderItems!$B$2:$B$1254,A162,OrderItems!$G$2:$G$1254)</f>
        <v>386.04</v>
      </c>
      <c r="I162" s="19">
        <f>SUMIF(OrderItems!$B$2:$B$1254,A162,OrderItems!$K$2:$K$1254)</f>
        <v>242.64</v>
      </c>
      <c r="J162" s="19">
        <f t="shared" si="6"/>
        <v>143.40000000000003</v>
      </c>
      <c r="K162" s="10" t="str">
        <f t="shared" si="7"/>
        <v>2023-04</v>
      </c>
      <c r="L162" s="10" t="str">
        <f>IFERROR(INDEX(Customers!$G$2:$G$61,MATCH(B162,Customers!$A$2:$A$61,0)),"")</f>
        <v>Small Business</v>
      </c>
      <c r="M162" s="10" t="str">
        <f>IFERROR(INDEX(Employees!$B$2:$B$37,MATCH(C162,Employees!$A$2:$A$37,0))&amp;" "&amp;INDEX(Employees!$C$2:$C$37,MATCH(C162,Employees!$A$2:$A$37,0)),"")</f>
        <v>John Gonzalez</v>
      </c>
      <c r="N162" s="10">
        <f t="shared" si="8"/>
        <v>1</v>
      </c>
    </row>
    <row r="163" spans="1:14" ht="15" customHeight="1" x14ac:dyDescent="0.25">
      <c r="A163" s="10">
        <v>162</v>
      </c>
      <c r="B163" s="10">
        <v>33</v>
      </c>
      <c r="C163" s="10">
        <v>10</v>
      </c>
      <c r="D163" s="10" t="s">
        <v>977</v>
      </c>
      <c r="E163" s="10" t="s">
        <v>978</v>
      </c>
      <c r="F163" s="10" t="s">
        <v>14</v>
      </c>
      <c r="G163" s="10" t="s">
        <v>38</v>
      </c>
      <c r="H163" s="19">
        <f>SUMIF(OrderItems!$B$2:$B$1254,A163,OrderItems!$G$2:$G$1254)</f>
        <v>5178.4740000000002</v>
      </c>
      <c r="I163" s="19">
        <f>SUMIF(OrderItems!$B$2:$B$1254,A163,OrderItems!$K$2:$K$1254)</f>
        <v>3056.0299999999997</v>
      </c>
      <c r="J163" s="19">
        <f t="shared" si="6"/>
        <v>2122.4440000000004</v>
      </c>
      <c r="K163" s="10" t="str">
        <f t="shared" si="7"/>
        <v>2023-09</v>
      </c>
      <c r="L163" s="10" t="str">
        <f>IFERROR(INDEX(Customers!$G$2:$G$61,MATCH(B163,Customers!$A$2:$A$61,0)),"")</f>
        <v>Consumer</v>
      </c>
      <c r="M163" s="10" t="str">
        <f>IFERROR(INDEX(Employees!$B$2:$B$37,MATCH(C163,Employees!$A$2:$A$37,0))&amp;" "&amp;INDEX(Employees!$C$2:$C$37,MATCH(C163,Employees!$A$2:$A$37,0)),"")</f>
        <v>John Moore</v>
      </c>
      <c r="N163" s="10">
        <f t="shared" si="8"/>
        <v>4</v>
      </c>
    </row>
    <row r="164" spans="1:14" ht="15" customHeight="1" x14ac:dyDescent="0.25">
      <c r="A164" s="10">
        <v>163</v>
      </c>
      <c r="B164" s="10">
        <v>19</v>
      </c>
      <c r="C164" s="10">
        <v>1</v>
      </c>
      <c r="D164" s="10" t="s">
        <v>979</v>
      </c>
      <c r="E164" s="10" t="s">
        <v>980</v>
      </c>
      <c r="F164" s="10" t="s">
        <v>14</v>
      </c>
      <c r="G164" s="10" t="s">
        <v>39</v>
      </c>
      <c r="H164" s="19">
        <f>SUMIF(OrderItems!$B$2:$B$1254,A164,OrderItems!$G$2:$G$1254)</f>
        <v>971.32799999999997</v>
      </c>
      <c r="I164" s="19">
        <f>SUMIF(OrderItems!$B$2:$B$1254,A164,OrderItems!$K$2:$K$1254)</f>
        <v>647</v>
      </c>
      <c r="J164" s="19">
        <f t="shared" si="6"/>
        <v>324.32799999999997</v>
      </c>
      <c r="K164" s="10" t="str">
        <f t="shared" si="7"/>
        <v>2025-03</v>
      </c>
      <c r="L164" s="10" t="str">
        <f>IFERROR(INDEX(Customers!$G$2:$G$61,MATCH(B164,Customers!$A$2:$A$61,0)),"")</f>
        <v>Corporate</v>
      </c>
      <c r="M164" s="10" t="str">
        <f>IFERROR(INDEX(Employees!$B$2:$B$37,MATCH(C164,Employees!$A$2:$A$37,0))&amp;" "&amp;INDEX(Employees!$C$2:$C$37,MATCH(C164,Employees!$A$2:$A$37,0)),"")</f>
        <v>Daniel Brown</v>
      </c>
      <c r="N164" s="10">
        <f t="shared" si="8"/>
        <v>3</v>
      </c>
    </row>
    <row r="165" spans="1:14" ht="15" customHeight="1" x14ac:dyDescent="0.25">
      <c r="A165" s="10">
        <v>164</v>
      </c>
      <c r="B165" s="10">
        <v>33</v>
      </c>
      <c r="C165" s="10">
        <v>1</v>
      </c>
      <c r="D165" s="10" t="s">
        <v>981</v>
      </c>
      <c r="E165" s="10" t="s">
        <v>982</v>
      </c>
      <c r="F165" s="10" t="s">
        <v>15</v>
      </c>
      <c r="G165" s="10" t="s">
        <v>37</v>
      </c>
      <c r="H165" s="19">
        <f>SUMIF(OrderItems!$B$2:$B$1254,A165,OrderItems!$G$2:$G$1254)</f>
        <v>8218.334499999999</v>
      </c>
      <c r="I165" s="19">
        <f>SUMIF(OrderItems!$B$2:$B$1254,A165,OrderItems!$K$2:$K$1254)</f>
        <v>4654.47</v>
      </c>
      <c r="J165" s="19">
        <f t="shared" si="6"/>
        <v>3563.8644999999988</v>
      </c>
      <c r="K165" s="10" t="str">
        <f t="shared" si="7"/>
        <v>2023-01</v>
      </c>
      <c r="L165" s="10" t="str">
        <f>IFERROR(INDEX(Customers!$G$2:$G$61,MATCH(B165,Customers!$A$2:$A$61,0)),"")</f>
        <v>Consumer</v>
      </c>
      <c r="M165" s="10" t="str">
        <f>IFERROR(INDEX(Employees!$B$2:$B$37,MATCH(C165,Employees!$A$2:$A$37,0))&amp;" "&amp;INDEX(Employees!$C$2:$C$37,MATCH(C165,Employees!$A$2:$A$37,0)),"")</f>
        <v>Daniel Brown</v>
      </c>
      <c r="N165" s="10">
        <f t="shared" si="8"/>
        <v>3</v>
      </c>
    </row>
    <row r="166" spans="1:14" ht="15" customHeight="1" x14ac:dyDescent="0.25">
      <c r="A166" s="10">
        <v>165</v>
      </c>
      <c r="B166" s="10">
        <v>36</v>
      </c>
      <c r="C166" s="10">
        <v>9</v>
      </c>
      <c r="D166" s="10" t="s">
        <v>946</v>
      </c>
      <c r="E166" s="10" t="s">
        <v>983</v>
      </c>
      <c r="F166" s="10" t="s">
        <v>14</v>
      </c>
      <c r="G166" s="10" t="s">
        <v>36</v>
      </c>
      <c r="H166" s="19">
        <f>SUMIF(OrderItems!$B$2:$B$1254,A166,OrderItems!$G$2:$G$1254)</f>
        <v>5316.55</v>
      </c>
      <c r="I166" s="19">
        <f>SUMIF(OrderItems!$B$2:$B$1254,A166,OrderItems!$K$2:$K$1254)</f>
        <v>2955.8</v>
      </c>
      <c r="J166" s="19">
        <f t="shared" si="6"/>
        <v>2360.75</v>
      </c>
      <c r="K166" s="10" t="str">
        <f t="shared" si="7"/>
        <v>2024-09</v>
      </c>
      <c r="L166" s="10" t="str">
        <f>IFERROR(INDEX(Customers!$G$2:$G$61,MATCH(B166,Customers!$A$2:$A$61,0)),"")</f>
        <v>Corporate</v>
      </c>
      <c r="M166" s="10" t="str">
        <f>IFERROR(INDEX(Employees!$B$2:$B$37,MATCH(C166,Employees!$A$2:$A$37,0))&amp;" "&amp;INDEX(Employees!$C$2:$C$37,MATCH(C166,Employees!$A$2:$A$37,0)),"")</f>
        <v>William Johnson</v>
      </c>
      <c r="N166" s="10">
        <f t="shared" si="8"/>
        <v>8</v>
      </c>
    </row>
    <row r="167" spans="1:14" ht="15" customHeight="1" x14ac:dyDescent="0.25">
      <c r="A167" s="10">
        <v>166</v>
      </c>
      <c r="B167" s="10">
        <v>52</v>
      </c>
      <c r="C167" s="10">
        <v>10</v>
      </c>
      <c r="D167" s="10" t="s">
        <v>969</v>
      </c>
      <c r="E167" s="10" t="s">
        <v>984</v>
      </c>
      <c r="F167" s="10" t="s">
        <v>14</v>
      </c>
      <c r="G167" s="10" t="s">
        <v>40</v>
      </c>
      <c r="H167" s="19">
        <f>SUMIF(OrderItems!$B$2:$B$1254,A167,OrderItems!$G$2:$G$1254)</f>
        <v>6132.3215</v>
      </c>
      <c r="I167" s="19">
        <f>SUMIF(OrderItems!$B$2:$B$1254,A167,OrderItems!$K$2:$K$1254)</f>
        <v>3893.41</v>
      </c>
      <c r="J167" s="19">
        <f t="shared" si="6"/>
        <v>2238.9115000000002</v>
      </c>
      <c r="K167" s="10" t="str">
        <f t="shared" si="7"/>
        <v>2024-10</v>
      </c>
      <c r="L167" s="10" t="str">
        <f>IFERROR(INDEX(Customers!$G$2:$G$61,MATCH(B167,Customers!$A$2:$A$61,0)),"")</f>
        <v>Corporate</v>
      </c>
      <c r="M167" s="10" t="str">
        <f>IFERROR(INDEX(Employees!$B$2:$B$37,MATCH(C167,Employees!$A$2:$A$37,0))&amp;" "&amp;INDEX(Employees!$C$2:$C$37,MATCH(C167,Employees!$A$2:$A$37,0)),"")</f>
        <v>John Moore</v>
      </c>
      <c r="N167" s="10">
        <f t="shared" si="8"/>
        <v>1</v>
      </c>
    </row>
    <row r="168" spans="1:14" ht="15" customHeight="1" x14ac:dyDescent="0.25">
      <c r="A168" s="10">
        <v>167</v>
      </c>
      <c r="B168" s="10">
        <v>47</v>
      </c>
      <c r="C168" s="10">
        <v>8</v>
      </c>
      <c r="D168" s="10" t="s">
        <v>894</v>
      </c>
      <c r="E168" s="10" t="s">
        <v>985</v>
      </c>
      <c r="F168" s="10" t="s">
        <v>15</v>
      </c>
      <c r="G168" s="10" t="s">
        <v>39</v>
      </c>
      <c r="H168" s="19">
        <f>SUMIF(OrderItems!$B$2:$B$1254,A168,OrderItems!$G$2:$G$1254)</f>
        <v>2586.3539999999998</v>
      </c>
      <c r="I168" s="19">
        <f>SUMIF(OrderItems!$B$2:$B$1254,A168,OrderItems!$K$2:$K$1254)</f>
        <v>1455.33</v>
      </c>
      <c r="J168" s="19">
        <f t="shared" si="6"/>
        <v>1131.0239999999999</v>
      </c>
      <c r="K168" s="10" t="str">
        <f t="shared" si="7"/>
        <v>2025-12</v>
      </c>
      <c r="L168" s="10" t="str">
        <f>IFERROR(INDEX(Customers!$G$2:$G$61,MATCH(B168,Customers!$A$2:$A$61,0)),"")</f>
        <v>Corporate</v>
      </c>
      <c r="M168" s="10" t="str">
        <f>IFERROR(INDEX(Employees!$B$2:$B$37,MATCH(C168,Employees!$A$2:$A$37,0))&amp;" "&amp;INDEX(Employees!$C$2:$C$37,MATCH(C168,Employees!$A$2:$A$37,0)),"")</f>
        <v>John Gonzalez</v>
      </c>
      <c r="N168" s="10">
        <f t="shared" si="8"/>
        <v>6</v>
      </c>
    </row>
    <row r="169" spans="1:14" ht="15" customHeight="1" x14ac:dyDescent="0.25">
      <c r="A169" s="10">
        <v>168</v>
      </c>
      <c r="B169" s="10">
        <v>42</v>
      </c>
      <c r="C169" s="10">
        <v>1</v>
      </c>
      <c r="D169" s="10" t="s">
        <v>986</v>
      </c>
      <c r="F169" s="10" t="s">
        <v>16</v>
      </c>
      <c r="G169" s="10" t="s">
        <v>37</v>
      </c>
      <c r="H169" s="19">
        <f>SUMIF(OrderItems!$B$2:$B$1254,A169,OrderItems!$G$2:$G$1254)</f>
        <v>2381.5465000000004</v>
      </c>
      <c r="I169" s="19">
        <f>SUMIF(OrderItems!$B$2:$B$1254,A169,OrderItems!$K$2:$K$1254)</f>
        <v>1334.87</v>
      </c>
      <c r="J169" s="19">
        <f t="shared" si="6"/>
        <v>1046.6765000000005</v>
      </c>
      <c r="K169" s="10" t="str">
        <f t="shared" si="7"/>
        <v>2024-03</v>
      </c>
      <c r="L169" s="10" t="str">
        <f>IFERROR(INDEX(Customers!$G$2:$G$61,MATCH(B169,Customers!$A$2:$A$61,0)),"")</f>
        <v>Small Business</v>
      </c>
      <c r="M169" s="10" t="str">
        <f>IFERROR(INDEX(Employees!$B$2:$B$37,MATCH(C169,Employees!$A$2:$A$37,0))&amp;" "&amp;INDEX(Employees!$C$2:$C$37,MATCH(C169,Employees!$A$2:$A$37,0)),"")</f>
        <v>Daniel Brown</v>
      </c>
      <c r="N169" s="10" t="str">
        <f t="shared" si="8"/>
        <v/>
      </c>
    </row>
    <row r="170" spans="1:14" ht="15" customHeight="1" x14ac:dyDescent="0.25">
      <c r="A170" s="10">
        <v>169</v>
      </c>
      <c r="B170" s="10">
        <v>31</v>
      </c>
      <c r="C170" s="10">
        <v>8</v>
      </c>
      <c r="D170" s="10" t="s">
        <v>824</v>
      </c>
      <c r="E170" s="10" t="s">
        <v>987</v>
      </c>
      <c r="F170" s="10" t="s">
        <v>14</v>
      </c>
      <c r="G170" s="10" t="s">
        <v>39</v>
      </c>
      <c r="H170" s="19">
        <f>SUMIF(OrderItems!$B$2:$B$1254,A170,OrderItems!$G$2:$G$1254)</f>
        <v>5465.896999999999</v>
      </c>
      <c r="I170" s="19">
        <f>SUMIF(OrderItems!$B$2:$B$1254,A170,OrderItems!$K$2:$K$1254)</f>
        <v>3002.0299999999997</v>
      </c>
      <c r="J170" s="19">
        <f t="shared" si="6"/>
        <v>2463.8669999999993</v>
      </c>
      <c r="K170" s="10" t="str">
        <f t="shared" si="7"/>
        <v>2025-10</v>
      </c>
      <c r="L170" s="10" t="str">
        <f>IFERROR(INDEX(Customers!$G$2:$G$61,MATCH(B170,Customers!$A$2:$A$61,0)),"")</f>
        <v>Consumer</v>
      </c>
      <c r="M170" s="10" t="str">
        <f>IFERROR(INDEX(Employees!$B$2:$B$37,MATCH(C170,Employees!$A$2:$A$37,0))&amp;" "&amp;INDEX(Employees!$C$2:$C$37,MATCH(C170,Employees!$A$2:$A$37,0)),"")</f>
        <v>John Gonzalez</v>
      </c>
      <c r="N170" s="10">
        <f t="shared" si="8"/>
        <v>7</v>
      </c>
    </row>
    <row r="171" spans="1:14" ht="15" customHeight="1" x14ac:dyDescent="0.25">
      <c r="A171" s="10">
        <v>170</v>
      </c>
      <c r="B171" s="10">
        <v>56</v>
      </c>
      <c r="C171" s="10">
        <v>8</v>
      </c>
      <c r="D171" s="10" t="s">
        <v>988</v>
      </c>
      <c r="E171" s="10" t="s">
        <v>989</v>
      </c>
      <c r="F171" s="10" t="s">
        <v>15</v>
      </c>
      <c r="G171" s="10" t="s">
        <v>37</v>
      </c>
      <c r="H171" s="19">
        <f>SUMIF(OrderItems!$B$2:$B$1254,A171,OrderItems!$G$2:$G$1254)</f>
        <v>5500.8829999999998</v>
      </c>
      <c r="I171" s="19">
        <f>SUMIF(OrderItems!$B$2:$B$1254,A171,OrderItems!$K$2:$K$1254)</f>
        <v>3210.8199999999997</v>
      </c>
      <c r="J171" s="19">
        <f t="shared" si="6"/>
        <v>2290.0630000000001</v>
      </c>
      <c r="K171" s="10" t="str">
        <f t="shared" si="7"/>
        <v>2023-06</v>
      </c>
      <c r="L171" s="10" t="str">
        <f>IFERROR(INDEX(Customers!$G$2:$G$61,MATCH(B171,Customers!$A$2:$A$61,0)),"")</f>
        <v>Consumer</v>
      </c>
      <c r="M171" s="10" t="str">
        <f>IFERROR(INDEX(Employees!$B$2:$B$37,MATCH(C171,Employees!$A$2:$A$37,0))&amp;" "&amp;INDEX(Employees!$C$2:$C$37,MATCH(C171,Employees!$A$2:$A$37,0)),"")</f>
        <v>John Gonzalez</v>
      </c>
      <c r="N171" s="10">
        <f t="shared" si="8"/>
        <v>6</v>
      </c>
    </row>
    <row r="172" spans="1:14" ht="15" customHeight="1" x14ac:dyDescent="0.25">
      <c r="A172" s="10">
        <v>171</v>
      </c>
      <c r="B172" s="10">
        <v>40</v>
      </c>
      <c r="C172" s="10">
        <v>10</v>
      </c>
      <c r="D172" s="10" t="s">
        <v>990</v>
      </c>
      <c r="F172" s="10" t="s">
        <v>17</v>
      </c>
      <c r="G172" s="10" t="s">
        <v>40</v>
      </c>
      <c r="H172" s="19">
        <f>SUMIF(OrderItems!$B$2:$B$1254,A172,OrderItems!$G$2:$G$1254)</f>
        <v>6885.6260000000002</v>
      </c>
      <c r="I172" s="19">
        <f>SUMIF(OrderItems!$B$2:$B$1254,A172,OrderItems!$K$2:$K$1254)</f>
        <v>3929.4100000000003</v>
      </c>
      <c r="J172" s="19">
        <f t="shared" si="6"/>
        <v>2956.2159999999999</v>
      </c>
      <c r="K172" s="10" t="str">
        <f t="shared" si="7"/>
        <v>2025-05</v>
      </c>
      <c r="L172" s="10" t="str">
        <f>IFERROR(INDEX(Customers!$G$2:$G$61,MATCH(B172,Customers!$A$2:$A$61,0)),"")</f>
        <v>Corporate</v>
      </c>
      <c r="M172" s="10" t="str">
        <f>IFERROR(INDEX(Employees!$B$2:$B$37,MATCH(C172,Employees!$A$2:$A$37,0))&amp;" "&amp;INDEX(Employees!$C$2:$C$37,MATCH(C172,Employees!$A$2:$A$37,0)),"")</f>
        <v>John Moore</v>
      </c>
      <c r="N172" s="10" t="str">
        <f t="shared" si="8"/>
        <v/>
      </c>
    </row>
    <row r="173" spans="1:14" ht="15" customHeight="1" x14ac:dyDescent="0.25">
      <c r="A173" s="10">
        <v>172</v>
      </c>
      <c r="B173" s="10">
        <v>2</v>
      </c>
      <c r="C173" s="10">
        <v>1</v>
      </c>
      <c r="D173" s="10" t="s">
        <v>991</v>
      </c>
      <c r="E173" s="10" t="s">
        <v>852</v>
      </c>
      <c r="F173" s="10" t="s">
        <v>14</v>
      </c>
      <c r="G173" s="10" t="s">
        <v>38</v>
      </c>
      <c r="H173" s="19">
        <f>SUMIF(OrderItems!$B$2:$B$1254,A173,OrderItems!$G$2:$G$1254)</f>
        <v>4828.4470000000001</v>
      </c>
      <c r="I173" s="19">
        <f>SUMIF(OrderItems!$B$2:$B$1254,A173,OrderItems!$K$2:$K$1254)</f>
        <v>3324.26</v>
      </c>
      <c r="J173" s="19">
        <f t="shared" si="6"/>
        <v>1504.1869999999999</v>
      </c>
      <c r="K173" s="10" t="str">
        <f t="shared" si="7"/>
        <v>2024-05</v>
      </c>
      <c r="L173" s="10" t="str">
        <f>IFERROR(INDEX(Customers!$G$2:$G$61,MATCH(B173,Customers!$A$2:$A$61,0)),"")</f>
        <v>Corporate</v>
      </c>
      <c r="M173" s="10" t="str">
        <f>IFERROR(INDEX(Employees!$B$2:$B$37,MATCH(C173,Employees!$A$2:$A$37,0))&amp;" "&amp;INDEX(Employees!$C$2:$C$37,MATCH(C173,Employees!$A$2:$A$37,0)),"")</f>
        <v>Daniel Brown</v>
      </c>
      <c r="N173" s="10">
        <f t="shared" si="8"/>
        <v>6</v>
      </c>
    </row>
    <row r="174" spans="1:14" ht="15" customHeight="1" x14ac:dyDescent="0.25">
      <c r="A174" s="10">
        <v>173</v>
      </c>
      <c r="B174" s="10">
        <v>20</v>
      </c>
      <c r="C174" s="10">
        <v>9</v>
      </c>
      <c r="D174" s="10" t="s">
        <v>992</v>
      </c>
      <c r="F174" s="10" t="s">
        <v>16</v>
      </c>
      <c r="G174" s="10" t="s">
        <v>40</v>
      </c>
      <c r="H174" s="19">
        <f>SUMIF(OrderItems!$B$2:$B$1254,A174,OrderItems!$G$2:$G$1254)</f>
        <v>616.92000000000007</v>
      </c>
      <c r="I174" s="19">
        <f>SUMIF(OrderItems!$B$2:$B$1254,A174,OrderItems!$K$2:$K$1254)</f>
        <v>371.23999999999995</v>
      </c>
      <c r="J174" s="19">
        <f t="shared" si="6"/>
        <v>245.68000000000012</v>
      </c>
      <c r="K174" s="10" t="str">
        <f t="shared" si="7"/>
        <v>2025-07</v>
      </c>
      <c r="L174" s="10" t="str">
        <f>IFERROR(INDEX(Customers!$G$2:$G$61,MATCH(B174,Customers!$A$2:$A$61,0)),"")</f>
        <v>Corporate</v>
      </c>
      <c r="M174" s="10" t="str">
        <f>IFERROR(INDEX(Employees!$B$2:$B$37,MATCH(C174,Employees!$A$2:$A$37,0))&amp;" "&amp;INDEX(Employees!$C$2:$C$37,MATCH(C174,Employees!$A$2:$A$37,0)),"")</f>
        <v>William Johnson</v>
      </c>
      <c r="N174" s="10" t="str">
        <f t="shared" si="8"/>
        <v/>
      </c>
    </row>
    <row r="175" spans="1:14" ht="15" customHeight="1" x14ac:dyDescent="0.25">
      <c r="A175" s="10">
        <v>174</v>
      </c>
      <c r="B175" s="10">
        <v>15</v>
      </c>
      <c r="C175" s="10">
        <v>8</v>
      </c>
      <c r="D175" s="10" t="s">
        <v>993</v>
      </c>
      <c r="E175" s="10" t="s">
        <v>583</v>
      </c>
      <c r="F175" s="10" t="s">
        <v>14</v>
      </c>
      <c r="G175" s="10" t="s">
        <v>39</v>
      </c>
      <c r="H175" s="19">
        <f>SUMIF(OrderItems!$B$2:$B$1254,A175,OrderItems!$G$2:$G$1254)</f>
        <v>714.18900000000008</v>
      </c>
      <c r="I175" s="19">
        <f>SUMIF(OrderItems!$B$2:$B$1254,A175,OrderItems!$K$2:$K$1254)</f>
        <v>476.88</v>
      </c>
      <c r="J175" s="19">
        <f t="shared" si="6"/>
        <v>237.30900000000008</v>
      </c>
      <c r="K175" s="10" t="str">
        <f t="shared" si="7"/>
        <v>2024-03</v>
      </c>
      <c r="L175" s="10" t="str">
        <f>IFERROR(INDEX(Customers!$G$2:$G$61,MATCH(B175,Customers!$A$2:$A$61,0)),"")</f>
        <v>Small Business</v>
      </c>
      <c r="M175" s="10" t="str">
        <f>IFERROR(INDEX(Employees!$B$2:$B$37,MATCH(C175,Employees!$A$2:$A$37,0))&amp;" "&amp;INDEX(Employees!$C$2:$C$37,MATCH(C175,Employees!$A$2:$A$37,0)),"")</f>
        <v>John Gonzalez</v>
      </c>
      <c r="N175" s="10">
        <f t="shared" si="8"/>
        <v>10</v>
      </c>
    </row>
    <row r="176" spans="1:14" ht="15" customHeight="1" x14ac:dyDescent="0.25">
      <c r="A176" s="10">
        <v>175</v>
      </c>
      <c r="B176" s="10">
        <v>39</v>
      </c>
      <c r="C176" s="10">
        <v>1</v>
      </c>
      <c r="D176" s="10" t="s">
        <v>956</v>
      </c>
      <c r="E176" s="10" t="s">
        <v>957</v>
      </c>
      <c r="F176" s="10" t="s">
        <v>14</v>
      </c>
      <c r="G176" s="10" t="s">
        <v>36</v>
      </c>
      <c r="H176" s="19">
        <f>SUMIF(OrderItems!$B$2:$B$1254,A176,OrderItems!$G$2:$G$1254)</f>
        <v>3493.7084999999997</v>
      </c>
      <c r="I176" s="19">
        <f>SUMIF(OrderItems!$B$2:$B$1254,A176,OrderItems!$K$2:$K$1254)</f>
        <v>2262.0100000000002</v>
      </c>
      <c r="J176" s="19">
        <f t="shared" si="6"/>
        <v>1231.6984999999995</v>
      </c>
      <c r="K176" s="10" t="str">
        <f t="shared" si="7"/>
        <v>2023-08</v>
      </c>
      <c r="L176" s="10" t="str">
        <f>IFERROR(INDEX(Customers!$G$2:$G$61,MATCH(B176,Customers!$A$2:$A$61,0)),"")</f>
        <v>Consumer</v>
      </c>
      <c r="M176" s="10" t="str">
        <f>IFERROR(INDEX(Employees!$B$2:$B$37,MATCH(C176,Employees!$A$2:$A$37,0))&amp;" "&amp;INDEX(Employees!$C$2:$C$37,MATCH(C176,Employees!$A$2:$A$37,0)),"")</f>
        <v>Daniel Brown</v>
      </c>
      <c r="N176" s="10">
        <f t="shared" si="8"/>
        <v>1</v>
      </c>
    </row>
    <row r="177" spans="1:14" ht="15" customHeight="1" x14ac:dyDescent="0.25">
      <c r="A177" s="10">
        <v>176</v>
      </c>
      <c r="B177" s="10">
        <v>40</v>
      </c>
      <c r="C177" s="10">
        <v>8</v>
      </c>
      <c r="D177" s="10" t="s">
        <v>774</v>
      </c>
      <c r="E177" s="10" t="s">
        <v>994</v>
      </c>
      <c r="F177" s="10" t="s">
        <v>14</v>
      </c>
      <c r="G177" s="10" t="s">
        <v>39</v>
      </c>
      <c r="H177" s="19">
        <f>SUMIF(OrderItems!$B$2:$B$1254,A177,OrderItems!$G$2:$G$1254)</f>
        <v>420.78400000000005</v>
      </c>
      <c r="I177" s="19">
        <f>SUMIF(OrderItems!$B$2:$B$1254,A177,OrderItems!$K$2:$K$1254)</f>
        <v>289.58</v>
      </c>
      <c r="J177" s="19">
        <f t="shared" si="6"/>
        <v>131.20400000000006</v>
      </c>
      <c r="K177" s="10" t="str">
        <f t="shared" si="7"/>
        <v>2025-05</v>
      </c>
      <c r="L177" s="10" t="str">
        <f>IFERROR(INDEX(Customers!$G$2:$G$61,MATCH(B177,Customers!$A$2:$A$61,0)),"")</f>
        <v>Corporate</v>
      </c>
      <c r="M177" s="10" t="str">
        <f>IFERROR(INDEX(Employees!$B$2:$B$37,MATCH(C177,Employees!$A$2:$A$37,0))&amp;" "&amp;INDEX(Employees!$C$2:$C$37,MATCH(C177,Employees!$A$2:$A$37,0)),"")</f>
        <v>John Gonzalez</v>
      </c>
      <c r="N177" s="10">
        <f t="shared" si="8"/>
        <v>9</v>
      </c>
    </row>
    <row r="178" spans="1:14" ht="15" customHeight="1" x14ac:dyDescent="0.25">
      <c r="A178" s="10">
        <v>177</v>
      </c>
      <c r="B178" s="10">
        <v>13</v>
      </c>
      <c r="C178" s="10">
        <v>8</v>
      </c>
      <c r="D178" s="10" t="s">
        <v>995</v>
      </c>
      <c r="E178" s="10" t="s">
        <v>964</v>
      </c>
      <c r="F178" s="10" t="s">
        <v>14</v>
      </c>
      <c r="G178" s="10" t="s">
        <v>40</v>
      </c>
      <c r="H178" s="19">
        <f>SUMIF(OrderItems!$B$2:$B$1254,A178,OrderItems!$G$2:$G$1254)</f>
        <v>5658.16</v>
      </c>
      <c r="I178" s="19">
        <f>SUMIF(OrderItems!$B$2:$B$1254,A178,OrderItems!$K$2:$K$1254)</f>
        <v>3079.24</v>
      </c>
      <c r="J178" s="19">
        <f t="shared" si="6"/>
        <v>2578.92</v>
      </c>
      <c r="K178" s="10" t="str">
        <f t="shared" si="7"/>
        <v>2024-06</v>
      </c>
      <c r="L178" s="10" t="str">
        <f>IFERROR(INDEX(Customers!$G$2:$G$61,MATCH(B178,Customers!$A$2:$A$61,0)),"")</f>
        <v>Small Business</v>
      </c>
      <c r="M178" s="10" t="str">
        <f>IFERROR(INDEX(Employees!$B$2:$B$37,MATCH(C178,Employees!$A$2:$A$37,0))&amp;" "&amp;INDEX(Employees!$C$2:$C$37,MATCH(C178,Employees!$A$2:$A$37,0)),"")</f>
        <v>John Gonzalez</v>
      </c>
      <c r="N178" s="10">
        <f t="shared" si="8"/>
        <v>6</v>
      </c>
    </row>
    <row r="179" spans="1:14" ht="15" customHeight="1" x14ac:dyDescent="0.25">
      <c r="A179" s="10">
        <v>178</v>
      </c>
      <c r="B179" s="10">
        <v>59</v>
      </c>
      <c r="C179" s="10">
        <v>1</v>
      </c>
      <c r="D179" s="10" t="s">
        <v>996</v>
      </c>
      <c r="E179" s="10" t="s">
        <v>997</v>
      </c>
      <c r="F179" s="10" t="s">
        <v>14</v>
      </c>
      <c r="G179" s="10" t="s">
        <v>39</v>
      </c>
      <c r="H179" s="19">
        <f>SUMIF(OrderItems!$B$2:$B$1254,A179,OrderItems!$G$2:$G$1254)</f>
        <v>576.79999999999995</v>
      </c>
      <c r="I179" s="19">
        <f>SUMIF(OrderItems!$B$2:$B$1254,A179,OrderItems!$K$2:$K$1254)</f>
        <v>251.38</v>
      </c>
      <c r="J179" s="19">
        <f t="shared" si="6"/>
        <v>325.41999999999996</v>
      </c>
      <c r="K179" s="10" t="str">
        <f t="shared" si="7"/>
        <v>2025-10</v>
      </c>
      <c r="L179" s="10" t="str">
        <f>IFERROR(INDEX(Customers!$G$2:$G$61,MATCH(B179,Customers!$A$2:$A$61,0)),"")</f>
        <v>Corporate</v>
      </c>
      <c r="M179" s="10" t="str">
        <f>IFERROR(INDEX(Employees!$B$2:$B$37,MATCH(C179,Employees!$A$2:$A$37,0))&amp;" "&amp;INDEX(Employees!$C$2:$C$37,MATCH(C179,Employees!$A$2:$A$37,0)),"")</f>
        <v>Daniel Brown</v>
      </c>
      <c r="N179" s="10">
        <f t="shared" si="8"/>
        <v>2</v>
      </c>
    </row>
    <row r="180" spans="1:14" ht="15" customHeight="1" x14ac:dyDescent="0.25">
      <c r="A180" s="10">
        <v>179</v>
      </c>
      <c r="B180" s="10">
        <v>30</v>
      </c>
      <c r="C180" s="10">
        <v>9</v>
      </c>
      <c r="D180" s="10" t="s">
        <v>998</v>
      </c>
      <c r="E180" s="10" t="s">
        <v>999</v>
      </c>
      <c r="F180" s="10" t="s">
        <v>15</v>
      </c>
      <c r="G180" s="10" t="s">
        <v>36</v>
      </c>
      <c r="H180" s="19">
        <f>SUMIF(OrderItems!$B$2:$B$1254,A180,OrderItems!$G$2:$G$1254)</f>
        <v>1962.7079999999999</v>
      </c>
      <c r="I180" s="19">
        <f>SUMIF(OrderItems!$B$2:$B$1254,A180,OrderItems!$K$2:$K$1254)</f>
        <v>1362.7199999999998</v>
      </c>
      <c r="J180" s="19">
        <f t="shared" si="6"/>
        <v>599.98800000000006</v>
      </c>
      <c r="K180" s="10" t="str">
        <f t="shared" si="7"/>
        <v>2024-06</v>
      </c>
      <c r="L180" s="10" t="str">
        <f>IFERROR(INDEX(Customers!$G$2:$G$61,MATCH(B180,Customers!$A$2:$A$61,0)),"")</f>
        <v>Consumer</v>
      </c>
      <c r="M180" s="10" t="str">
        <f>IFERROR(INDEX(Employees!$B$2:$B$37,MATCH(C180,Employees!$A$2:$A$37,0))&amp;" "&amp;INDEX(Employees!$C$2:$C$37,MATCH(C180,Employees!$A$2:$A$37,0)),"")</f>
        <v>William Johnson</v>
      </c>
      <c r="N180" s="10">
        <f t="shared" si="8"/>
        <v>1</v>
      </c>
    </row>
    <row r="181" spans="1:14" ht="15" customHeight="1" x14ac:dyDescent="0.25">
      <c r="A181" s="10">
        <v>180</v>
      </c>
      <c r="B181" s="10">
        <v>55</v>
      </c>
      <c r="C181" s="10">
        <v>8</v>
      </c>
      <c r="D181" s="10" t="s">
        <v>955</v>
      </c>
      <c r="F181" s="10" t="s">
        <v>16</v>
      </c>
      <c r="G181" s="10" t="s">
        <v>38</v>
      </c>
      <c r="H181" s="19">
        <f>SUMIF(OrderItems!$B$2:$B$1254,A181,OrderItems!$G$2:$G$1254)</f>
        <v>4747.2365</v>
      </c>
      <c r="I181" s="19">
        <f>SUMIF(OrderItems!$B$2:$B$1254,A181,OrderItems!$K$2:$K$1254)</f>
        <v>3518.7200000000003</v>
      </c>
      <c r="J181" s="19">
        <f t="shared" si="6"/>
        <v>1228.5164999999997</v>
      </c>
      <c r="K181" s="10" t="str">
        <f t="shared" si="7"/>
        <v>2023-12</v>
      </c>
      <c r="L181" s="10" t="str">
        <f>IFERROR(INDEX(Customers!$G$2:$G$61,MATCH(B181,Customers!$A$2:$A$61,0)),"")</f>
        <v>Consumer</v>
      </c>
      <c r="M181" s="10" t="str">
        <f>IFERROR(INDEX(Employees!$B$2:$B$37,MATCH(C181,Employees!$A$2:$A$37,0))&amp;" "&amp;INDEX(Employees!$C$2:$C$37,MATCH(C181,Employees!$A$2:$A$37,0)),"")</f>
        <v>John Gonzalez</v>
      </c>
      <c r="N181" s="10" t="str">
        <f t="shared" si="8"/>
        <v/>
      </c>
    </row>
    <row r="182" spans="1:14" ht="15" customHeight="1" x14ac:dyDescent="0.25">
      <c r="A182" s="10">
        <v>181</v>
      </c>
      <c r="B182" s="10">
        <v>52</v>
      </c>
      <c r="C182" s="10">
        <v>10</v>
      </c>
      <c r="D182" s="10" t="s">
        <v>808</v>
      </c>
      <c r="E182" s="10" t="s">
        <v>1000</v>
      </c>
      <c r="F182" s="10" t="s">
        <v>14</v>
      </c>
      <c r="G182" s="10" t="s">
        <v>36</v>
      </c>
      <c r="H182" s="19">
        <f>SUMIF(OrderItems!$B$2:$B$1254,A182,OrderItems!$G$2:$G$1254)</f>
        <v>6636.875</v>
      </c>
      <c r="I182" s="19">
        <f>SUMIF(OrderItems!$B$2:$B$1254,A182,OrderItems!$K$2:$K$1254)</f>
        <v>4471.7999999999993</v>
      </c>
      <c r="J182" s="19">
        <f t="shared" si="6"/>
        <v>2165.0750000000007</v>
      </c>
      <c r="K182" s="10" t="str">
        <f t="shared" si="7"/>
        <v>2023-12</v>
      </c>
      <c r="L182" s="10" t="str">
        <f>IFERROR(INDEX(Customers!$G$2:$G$61,MATCH(B182,Customers!$A$2:$A$61,0)),"")</f>
        <v>Corporate</v>
      </c>
      <c r="M182" s="10" t="str">
        <f>IFERROR(INDEX(Employees!$B$2:$B$37,MATCH(C182,Employees!$A$2:$A$37,0))&amp;" "&amp;INDEX(Employees!$C$2:$C$37,MATCH(C182,Employees!$A$2:$A$37,0)),"")</f>
        <v>John Moore</v>
      </c>
      <c r="N182" s="10">
        <f t="shared" si="8"/>
        <v>3</v>
      </c>
    </row>
    <row r="183" spans="1:14" ht="15" customHeight="1" x14ac:dyDescent="0.25">
      <c r="A183" s="10">
        <v>182</v>
      </c>
      <c r="B183" s="10">
        <v>40</v>
      </c>
      <c r="C183" s="10">
        <v>10</v>
      </c>
      <c r="D183" s="10" t="s">
        <v>748</v>
      </c>
      <c r="E183" s="10" t="s">
        <v>1001</v>
      </c>
      <c r="F183" s="10" t="s">
        <v>14</v>
      </c>
      <c r="G183" s="10" t="s">
        <v>40</v>
      </c>
      <c r="H183" s="19">
        <f>SUMIF(OrderItems!$B$2:$B$1254,A183,OrderItems!$G$2:$G$1254)</f>
        <v>8547.5789999999997</v>
      </c>
      <c r="I183" s="19">
        <f>SUMIF(OrderItems!$B$2:$B$1254,A183,OrderItems!$K$2:$K$1254)</f>
        <v>5449.4400000000005</v>
      </c>
      <c r="J183" s="19">
        <f t="shared" si="6"/>
        <v>3098.1389999999992</v>
      </c>
      <c r="K183" s="10" t="str">
        <f t="shared" si="7"/>
        <v>2025-01</v>
      </c>
      <c r="L183" s="10" t="str">
        <f>IFERROR(INDEX(Customers!$G$2:$G$61,MATCH(B183,Customers!$A$2:$A$61,0)),"")</f>
        <v>Corporate</v>
      </c>
      <c r="M183" s="10" t="str">
        <f>IFERROR(INDEX(Employees!$B$2:$B$37,MATCH(C183,Employees!$A$2:$A$37,0))&amp;" "&amp;INDEX(Employees!$C$2:$C$37,MATCH(C183,Employees!$A$2:$A$37,0)),"")</f>
        <v>John Moore</v>
      </c>
      <c r="N183" s="10">
        <f t="shared" si="8"/>
        <v>3</v>
      </c>
    </row>
    <row r="184" spans="1:14" ht="15" customHeight="1" x14ac:dyDescent="0.25">
      <c r="A184" s="10">
        <v>183</v>
      </c>
      <c r="B184" s="10">
        <v>43</v>
      </c>
      <c r="C184" s="10">
        <v>9</v>
      </c>
      <c r="D184" s="10" t="s">
        <v>932</v>
      </c>
      <c r="E184" s="10" t="s">
        <v>1002</v>
      </c>
      <c r="F184" s="10" t="s">
        <v>14</v>
      </c>
      <c r="G184" s="10" t="s">
        <v>37</v>
      </c>
      <c r="H184" s="19">
        <f>SUMIF(OrderItems!$B$2:$B$1254,A184,OrderItems!$G$2:$G$1254)</f>
        <v>3363.5739999999996</v>
      </c>
      <c r="I184" s="19">
        <f>SUMIF(OrderItems!$B$2:$B$1254,A184,OrderItems!$K$2:$K$1254)</f>
        <v>2147.87</v>
      </c>
      <c r="J184" s="19">
        <f t="shared" si="6"/>
        <v>1215.7039999999997</v>
      </c>
      <c r="K184" s="10" t="str">
        <f t="shared" si="7"/>
        <v>2025-11</v>
      </c>
      <c r="L184" s="10" t="str">
        <f>IFERROR(INDEX(Customers!$G$2:$G$61,MATCH(B184,Customers!$A$2:$A$61,0)),"")</f>
        <v>Corporate</v>
      </c>
      <c r="M184" s="10" t="str">
        <f>IFERROR(INDEX(Employees!$B$2:$B$37,MATCH(C184,Employees!$A$2:$A$37,0))&amp;" "&amp;INDEX(Employees!$C$2:$C$37,MATCH(C184,Employees!$A$2:$A$37,0)),"")</f>
        <v>William Johnson</v>
      </c>
      <c r="N184" s="10">
        <f t="shared" si="8"/>
        <v>7</v>
      </c>
    </row>
    <row r="185" spans="1:14" ht="15" customHeight="1" x14ac:dyDescent="0.25">
      <c r="A185" s="10">
        <v>184</v>
      </c>
      <c r="B185" s="10">
        <v>56</v>
      </c>
      <c r="C185" s="10">
        <v>8</v>
      </c>
      <c r="D185" s="10" t="s">
        <v>935</v>
      </c>
      <c r="E185" s="10" t="s">
        <v>919</v>
      </c>
      <c r="F185" s="10" t="s">
        <v>15</v>
      </c>
      <c r="G185" s="10" t="s">
        <v>37</v>
      </c>
      <c r="H185" s="19">
        <f>SUMIF(OrderItems!$B$2:$B$1254,A185,OrderItems!$G$2:$G$1254)</f>
        <v>3374.616</v>
      </c>
      <c r="I185" s="19">
        <f>SUMIF(OrderItems!$B$2:$B$1254,A185,OrderItems!$K$2:$K$1254)</f>
        <v>1999.7</v>
      </c>
      <c r="J185" s="19">
        <f t="shared" si="6"/>
        <v>1374.9159999999999</v>
      </c>
      <c r="K185" s="10" t="str">
        <f t="shared" si="7"/>
        <v>2023-06</v>
      </c>
      <c r="L185" s="10" t="str">
        <f>IFERROR(INDEX(Customers!$G$2:$G$61,MATCH(B185,Customers!$A$2:$A$61,0)),"")</f>
        <v>Consumer</v>
      </c>
      <c r="M185" s="10" t="str">
        <f>IFERROR(INDEX(Employees!$B$2:$B$37,MATCH(C185,Employees!$A$2:$A$37,0))&amp;" "&amp;INDEX(Employees!$C$2:$C$37,MATCH(C185,Employees!$A$2:$A$37,0)),"")</f>
        <v>John Gonzalez</v>
      </c>
      <c r="N185" s="10">
        <f t="shared" si="8"/>
        <v>6</v>
      </c>
    </row>
    <row r="186" spans="1:14" ht="15" customHeight="1" x14ac:dyDescent="0.25">
      <c r="A186" s="10">
        <v>185</v>
      </c>
      <c r="B186" s="10">
        <v>6</v>
      </c>
      <c r="C186" s="10">
        <v>10</v>
      </c>
      <c r="D186" s="10" t="s">
        <v>1003</v>
      </c>
      <c r="F186" s="10" t="s">
        <v>16</v>
      </c>
      <c r="G186" s="10" t="s">
        <v>36</v>
      </c>
      <c r="H186" s="19">
        <f>SUMIF(OrderItems!$B$2:$B$1254,A186,OrderItems!$G$2:$G$1254)</f>
        <v>3469.7000000000003</v>
      </c>
      <c r="I186" s="19">
        <f>SUMIF(OrderItems!$B$2:$B$1254,A186,OrderItems!$K$2:$K$1254)</f>
        <v>2270.13</v>
      </c>
      <c r="J186" s="19">
        <f t="shared" si="6"/>
        <v>1199.5700000000002</v>
      </c>
      <c r="K186" s="10" t="str">
        <f t="shared" si="7"/>
        <v>2025-07</v>
      </c>
      <c r="L186" s="10" t="str">
        <f>IFERROR(INDEX(Customers!$G$2:$G$61,MATCH(B186,Customers!$A$2:$A$61,0)),"")</f>
        <v>Consumer</v>
      </c>
      <c r="M186" s="10" t="str">
        <f>IFERROR(INDEX(Employees!$B$2:$B$37,MATCH(C186,Employees!$A$2:$A$37,0))&amp;" "&amp;INDEX(Employees!$C$2:$C$37,MATCH(C186,Employees!$A$2:$A$37,0)),"")</f>
        <v>John Moore</v>
      </c>
      <c r="N186" s="10" t="str">
        <f t="shared" si="8"/>
        <v/>
      </c>
    </row>
    <row r="187" spans="1:14" ht="15" customHeight="1" x14ac:dyDescent="0.25">
      <c r="A187" s="10">
        <v>186</v>
      </c>
      <c r="B187" s="10">
        <v>42</v>
      </c>
      <c r="C187" s="10">
        <v>10</v>
      </c>
      <c r="D187" s="10" t="s">
        <v>1004</v>
      </c>
      <c r="F187" s="10" t="s">
        <v>16</v>
      </c>
      <c r="G187" s="10" t="s">
        <v>36</v>
      </c>
      <c r="H187" s="19">
        <f>SUMIF(OrderItems!$B$2:$B$1254,A187,OrderItems!$G$2:$G$1254)</f>
        <v>868.77</v>
      </c>
      <c r="I187" s="19">
        <f>SUMIF(OrderItems!$B$2:$B$1254,A187,OrderItems!$K$2:$K$1254)</f>
        <v>463.47</v>
      </c>
      <c r="J187" s="19">
        <f t="shared" si="6"/>
        <v>405.29999999999995</v>
      </c>
      <c r="K187" s="10" t="str">
        <f t="shared" si="7"/>
        <v>2024-11</v>
      </c>
      <c r="L187" s="10" t="str">
        <f>IFERROR(INDEX(Customers!$G$2:$G$61,MATCH(B187,Customers!$A$2:$A$61,0)),"")</f>
        <v>Small Business</v>
      </c>
      <c r="M187" s="10" t="str">
        <f>IFERROR(INDEX(Employees!$B$2:$B$37,MATCH(C187,Employees!$A$2:$A$37,0))&amp;" "&amp;INDEX(Employees!$C$2:$C$37,MATCH(C187,Employees!$A$2:$A$37,0)),"")</f>
        <v>John Moore</v>
      </c>
      <c r="N187" s="10" t="str">
        <f t="shared" si="8"/>
        <v/>
      </c>
    </row>
    <row r="188" spans="1:14" ht="15" customHeight="1" x14ac:dyDescent="0.25">
      <c r="A188" s="10">
        <v>187</v>
      </c>
      <c r="B188" s="10">
        <v>46</v>
      </c>
      <c r="C188" s="10">
        <v>10</v>
      </c>
      <c r="D188" s="10" t="s">
        <v>1005</v>
      </c>
      <c r="E188" s="10" t="s">
        <v>1006</v>
      </c>
      <c r="F188" s="10" t="s">
        <v>14</v>
      </c>
      <c r="G188" s="10" t="s">
        <v>36</v>
      </c>
      <c r="H188" s="19">
        <f>SUMIF(OrderItems!$B$2:$B$1254,A188,OrderItems!$G$2:$G$1254)</f>
        <v>3299.1950000000002</v>
      </c>
      <c r="I188" s="19">
        <f>SUMIF(OrderItems!$B$2:$B$1254,A188,OrderItems!$K$2:$K$1254)</f>
        <v>1983.43</v>
      </c>
      <c r="J188" s="19">
        <f t="shared" si="6"/>
        <v>1315.7650000000001</v>
      </c>
      <c r="K188" s="10" t="str">
        <f t="shared" si="7"/>
        <v>2023-08</v>
      </c>
      <c r="L188" s="10" t="str">
        <f>IFERROR(INDEX(Customers!$G$2:$G$61,MATCH(B188,Customers!$A$2:$A$61,0)),"")</f>
        <v>Small Business</v>
      </c>
      <c r="M188" s="10" t="str">
        <f>IFERROR(INDEX(Employees!$B$2:$B$37,MATCH(C188,Employees!$A$2:$A$37,0))&amp;" "&amp;INDEX(Employees!$C$2:$C$37,MATCH(C188,Employees!$A$2:$A$37,0)),"")</f>
        <v>John Moore</v>
      </c>
      <c r="N188" s="10">
        <f t="shared" si="8"/>
        <v>4</v>
      </c>
    </row>
    <row r="189" spans="1:14" ht="15" customHeight="1" x14ac:dyDescent="0.25">
      <c r="A189" s="10">
        <v>188</v>
      </c>
      <c r="B189" s="10">
        <v>9</v>
      </c>
      <c r="C189" s="10">
        <v>10</v>
      </c>
      <c r="D189" s="10" t="s">
        <v>1007</v>
      </c>
      <c r="E189" s="10" t="s">
        <v>896</v>
      </c>
      <c r="F189" s="10" t="s">
        <v>18</v>
      </c>
      <c r="G189" s="10" t="s">
        <v>37</v>
      </c>
      <c r="H189" s="19">
        <f>SUMIF(OrderItems!$B$2:$B$1254,A189,OrderItems!$G$2:$G$1254)</f>
        <v>2796.4580000000001</v>
      </c>
      <c r="I189" s="19">
        <f>SUMIF(OrderItems!$B$2:$B$1254,A189,OrderItems!$K$2:$K$1254)</f>
        <v>1637.68</v>
      </c>
      <c r="J189" s="19">
        <f t="shared" si="6"/>
        <v>1158.778</v>
      </c>
      <c r="K189" s="10" t="str">
        <f t="shared" si="7"/>
        <v>2023-08</v>
      </c>
      <c r="L189" s="10" t="str">
        <f>IFERROR(INDEX(Customers!$G$2:$G$61,MATCH(B189,Customers!$A$2:$A$61,0)),"")</f>
        <v>Consumer</v>
      </c>
      <c r="M189" s="10" t="str">
        <f>IFERROR(INDEX(Employees!$B$2:$B$37,MATCH(C189,Employees!$A$2:$A$37,0))&amp;" "&amp;INDEX(Employees!$C$2:$C$37,MATCH(C189,Employees!$A$2:$A$37,0)),"")</f>
        <v>John Moore</v>
      </c>
      <c r="N189" s="10">
        <f t="shared" si="8"/>
        <v>10</v>
      </c>
    </row>
    <row r="190" spans="1:14" ht="15" customHeight="1" x14ac:dyDescent="0.25">
      <c r="A190" s="10">
        <v>189</v>
      </c>
      <c r="B190" s="10">
        <v>49</v>
      </c>
      <c r="C190" s="10">
        <v>10</v>
      </c>
      <c r="D190" s="10" t="s">
        <v>1008</v>
      </c>
      <c r="E190" s="10" t="s">
        <v>944</v>
      </c>
      <c r="F190" s="10" t="s">
        <v>14</v>
      </c>
      <c r="G190" s="10" t="s">
        <v>40</v>
      </c>
      <c r="H190" s="19">
        <f>SUMIF(OrderItems!$B$2:$B$1254,A190,OrderItems!$G$2:$G$1254)</f>
        <v>7169.0630000000001</v>
      </c>
      <c r="I190" s="19">
        <f>SUMIF(OrderItems!$B$2:$B$1254,A190,OrderItems!$K$2:$K$1254)</f>
        <v>4953.9799999999996</v>
      </c>
      <c r="J190" s="19">
        <f t="shared" si="6"/>
        <v>2215.0830000000005</v>
      </c>
      <c r="K190" s="10" t="str">
        <f t="shared" si="7"/>
        <v>2023-04</v>
      </c>
      <c r="L190" s="10" t="str">
        <f>IFERROR(INDEX(Customers!$G$2:$G$61,MATCH(B190,Customers!$A$2:$A$61,0)),"")</f>
        <v>Corporate</v>
      </c>
      <c r="M190" s="10" t="str">
        <f>IFERROR(INDEX(Employees!$B$2:$B$37,MATCH(C190,Employees!$A$2:$A$37,0))&amp;" "&amp;INDEX(Employees!$C$2:$C$37,MATCH(C190,Employees!$A$2:$A$37,0)),"")</f>
        <v>John Moore</v>
      </c>
      <c r="N190" s="10">
        <f t="shared" si="8"/>
        <v>8</v>
      </c>
    </row>
    <row r="191" spans="1:14" ht="15" customHeight="1" x14ac:dyDescent="0.25">
      <c r="A191" s="10">
        <v>190</v>
      </c>
      <c r="B191" s="10">
        <v>47</v>
      </c>
      <c r="C191" s="10">
        <v>8</v>
      </c>
      <c r="D191" s="10" t="s">
        <v>1009</v>
      </c>
      <c r="F191" s="10" t="s">
        <v>17</v>
      </c>
      <c r="G191" s="10" t="s">
        <v>39</v>
      </c>
      <c r="H191" s="19">
        <f>SUMIF(OrderItems!$B$2:$B$1254,A191,OrderItems!$G$2:$G$1254)</f>
        <v>6922.540500000001</v>
      </c>
      <c r="I191" s="19">
        <f>SUMIF(OrderItems!$B$2:$B$1254,A191,OrderItems!$K$2:$K$1254)</f>
        <v>4105.12</v>
      </c>
      <c r="J191" s="19">
        <f t="shared" si="6"/>
        <v>2817.4205000000011</v>
      </c>
      <c r="K191" s="10" t="str">
        <f t="shared" si="7"/>
        <v>2023-08</v>
      </c>
      <c r="L191" s="10" t="str">
        <f>IFERROR(INDEX(Customers!$G$2:$G$61,MATCH(B191,Customers!$A$2:$A$61,0)),"")</f>
        <v>Corporate</v>
      </c>
      <c r="M191" s="10" t="str">
        <f>IFERROR(INDEX(Employees!$B$2:$B$37,MATCH(C191,Employees!$A$2:$A$37,0))&amp;" "&amp;INDEX(Employees!$C$2:$C$37,MATCH(C191,Employees!$A$2:$A$37,0)),"")</f>
        <v>John Gonzalez</v>
      </c>
      <c r="N191" s="10" t="str">
        <f t="shared" si="8"/>
        <v/>
      </c>
    </row>
    <row r="192" spans="1:14" ht="15" customHeight="1" x14ac:dyDescent="0.25">
      <c r="A192" s="10">
        <v>191</v>
      </c>
      <c r="B192" s="10">
        <v>45</v>
      </c>
      <c r="C192" s="10">
        <v>9</v>
      </c>
      <c r="D192" s="10" t="s">
        <v>1010</v>
      </c>
      <c r="E192" s="10" t="s">
        <v>1011</v>
      </c>
      <c r="F192" s="10" t="s">
        <v>14</v>
      </c>
      <c r="G192" s="10" t="s">
        <v>37</v>
      </c>
      <c r="H192" s="19">
        <f>SUMIF(OrderItems!$B$2:$B$1254,A192,OrderItems!$G$2:$G$1254)</f>
        <v>4052.9295000000006</v>
      </c>
      <c r="I192" s="19">
        <f>SUMIF(OrderItems!$B$2:$B$1254,A192,OrderItems!$K$2:$K$1254)</f>
        <v>2555.1</v>
      </c>
      <c r="J192" s="19">
        <f t="shared" si="6"/>
        <v>1497.8295000000007</v>
      </c>
      <c r="K192" s="10" t="str">
        <f t="shared" si="7"/>
        <v>2024-10</v>
      </c>
      <c r="L192" s="10" t="str">
        <f>IFERROR(INDEX(Customers!$G$2:$G$61,MATCH(B192,Customers!$A$2:$A$61,0)),"")</f>
        <v>Consumer</v>
      </c>
      <c r="M192" s="10" t="str">
        <f>IFERROR(INDEX(Employees!$B$2:$B$37,MATCH(C192,Employees!$A$2:$A$37,0))&amp;" "&amp;INDEX(Employees!$C$2:$C$37,MATCH(C192,Employees!$A$2:$A$37,0)),"")</f>
        <v>William Johnson</v>
      </c>
      <c r="N192" s="10">
        <f t="shared" si="8"/>
        <v>4</v>
      </c>
    </row>
    <row r="193" spans="1:14" ht="15" customHeight="1" x14ac:dyDescent="0.25">
      <c r="A193" s="10">
        <v>192</v>
      </c>
      <c r="B193" s="10">
        <v>38</v>
      </c>
      <c r="C193" s="10">
        <v>10</v>
      </c>
      <c r="D193" s="10" t="s">
        <v>1012</v>
      </c>
      <c r="E193" s="10" t="s">
        <v>985</v>
      </c>
      <c r="F193" s="10" t="s">
        <v>18</v>
      </c>
      <c r="G193" s="10" t="s">
        <v>36</v>
      </c>
      <c r="H193" s="19">
        <f>SUMIF(OrderItems!$B$2:$B$1254,A193,OrderItems!$G$2:$G$1254)</f>
        <v>3700.3760000000002</v>
      </c>
      <c r="I193" s="19">
        <f>SUMIF(OrderItems!$B$2:$B$1254,A193,OrderItems!$K$2:$K$1254)</f>
        <v>2418.3700000000003</v>
      </c>
      <c r="J193" s="19">
        <f t="shared" si="6"/>
        <v>1282.0059999999999</v>
      </c>
      <c r="K193" s="10" t="str">
        <f t="shared" si="7"/>
        <v>2025-12</v>
      </c>
      <c r="L193" s="10" t="str">
        <f>IFERROR(INDEX(Customers!$G$2:$G$61,MATCH(B193,Customers!$A$2:$A$61,0)),"")</f>
        <v>Small Business</v>
      </c>
      <c r="M193" s="10" t="str">
        <f>IFERROR(INDEX(Employees!$B$2:$B$37,MATCH(C193,Employees!$A$2:$A$37,0))&amp;" "&amp;INDEX(Employees!$C$2:$C$37,MATCH(C193,Employees!$A$2:$A$37,0)),"")</f>
        <v>John Moore</v>
      </c>
      <c r="N193" s="10">
        <f t="shared" si="8"/>
        <v>7</v>
      </c>
    </row>
    <row r="194" spans="1:14" ht="15" customHeight="1" x14ac:dyDescent="0.25">
      <c r="A194" s="10">
        <v>193</v>
      </c>
      <c r="B194" s="10">
        <v>49</v>
      </c>
      <c r="C194" s="10">
        <v>1</v>
      </c>
      <c r="D194" s="10" t="s">
        <v>748</v>
      </c>
      <c r="E194" s="10" t="s">
        <v>1013</v>
      </c>
      <c r="F194" s="10" t="s">
        <v>15</v>
      </c>
      <c r="G194" s="10" t="s">
        <v>39</v>
      </c>
      <c r="H194" s="19">
        <f>SUMIF(OrderItems!$B$2:$B$1254,A194,OrderItems!$G$2:$G$1254)</f>
        <v>7512.3875000000007</v>
      </c>
      <c r="I194" s="19">
        <f>SUMIF(OrderItems!$B$2:$B$1254,A194,OrderItems!$K$2:$K$1254)</f>
        <v>4227.9399999999996</v>
      </c>
      <c r="J194" s="19">
        <f t="shared" ref="J194:J257" si="9">H194-I194</f>
        <v>3284.4475000000011</v>
      </c>
      <c r="K194" s="10" t="str">
        <f t="shared" ref="K194:K257" si="10">IF(D194="","",TEXT(D194,"YYYY-MM"))</f>
        <v>2025-01</v>
      </c>
      <c r="L194" s="10" t="str">
        <f>IFERROR(INDEX(Customers!$G$2:$G$61,MATCH(B194,Customers!$A$2:$A$61,0)),"")</f>
        <v>Corporate</v>
      </c>
      <c r="M194" s="10" t="str">
        <f>IFERROR(INDEX(Employees!$B$2:$B$37,MATCH(C194,Employees!$A$2:$A$37,0))&amp;" "&amp;INDEX(Employees!$C$2:$C$37,MATCH(C194,Employees!$A$2:$A$37,0)),"")</f>
        <v>Daniel Brown</v>
      </c>
      <c r="N194" s="10">
        <f t="shared" ref="N194:N257" si="11">IF(E194="","",E194-D194)</f>
        <v>2</v>
      </c>
    </row>
    <row r="195" spans="1:14" ht="15" customHeight="1" x14ac:dyDescent="0.25">
      <c r="A195" s="10">
        <v>194</v>
      </c>
      <c r="B195" s="10">
        <v>13</v>
      </c>
      <c r="C195" s="10">
        <v>10</v>
      </c>
      <c r="D195" s="10" t="s">
        <v>746</v>
      </c>
      <c r="F195" s="10" t="s">
        <v>16</v>
      </c>
      <c r="G195" s="10" t="s">
        <v>39</v>
      </c>
      <c r="H195" s="19">
        <f>SUMIF(OrderItems!$B$2:$B$1254,A195,OrderItems!$G$2:$G$1254)</f>
        <v>6926.152</v>
      </c>
      <c r="I195" s="19">
        <f>SUMIF(OrderItems!$B$2:$B$1254,A195,OrderItems!$K$2:$K$1254)</f>
        <v>3437.21</v>
      </c>
      <c r="J195" s="19">
        <f t="shared" si="9"/>
        <v>3488.942</v>
      </c>
      <c r="K195" s="10" t="str">
        <f t="shared" si="10"/>
        <v>2024-04</v>
      </c>
      <c r="L195" s="10" t="str">
        <f>IFERROR(INDEX(Customers!$G$2:$G$61,MATCH(B195,Customers!$A$2:$A$61,0)),"")</f>
        <v>Small Business</v>
      </c>
      <c r="M195" s="10" t="str">
        <f>IFERROR(INDEX(Employees!$B$2:$B$37,MATCH(C195,Employees!$A$2:$A$37,0))&amp;" "&amp;INDEX(Employees!$C$2:$C$37,MATCH(C195,Employees!$A$2:$A$37,0)),"")</f>
        <v>John Moore</v>
      </c>
      <c r="N195" s="10" t="str">
        <f t="shared" si="11"/>
        <v/>
      </c>
    </row>
    <row r="196" spans="1:14" ht="15" customHeight="1" x14ac:dyDescent="0.25">
      <c r="A196" s="10">
        <v>195</v>
      </c>
      <c r="B196" s="10">
        <v>18</v>
      </c>
      <c r="C196" s="10">
        <v>9</v>
      </c>
      <c r="D196" s="10" t="s">
        <v>1014</v>
      </c>
      <c r="E196" s="10" t="s">
        <v>1015</v>
      </c>
      <c r="F196" s="10" t="s">
        <v>14</v>
      </c>
      <c r="G196" s="10" t="s">
        <v>38</v>
      </c>
      <c r="H196" s="19">
        <f>SUMIF(OrderItems!$B$2:$B$1254,A196,OrderItems!$G$2:$G$1254)</f>
        <v>286.48400000000004</v>
      </c>
      <c r="I196" s="19">
        <f>SUMIF(OrderItems!$B$2:$B$1254,A196,OrderItems!$K$2:$K$1254)</f>
        <v>143.04</v>
      </c>
      <c r="J196" s="19">
        <f t="shared" si="9"/>
        <v>143.44400000000005</v>
      </c>
      <c r="K196" s="10" t="str">
        <f t="shared" si="10"/>
        <v>2023-09</v>
      </c>
      <c r="L196" s="10" t="str">
        <f>IFERROR(INDEX(Customers!$G$2:$G$61,MATCH(B196,Customers!$A$2:$A$61,0)),"")</f>
        <v>Small Business</v>
      </c>
      <c r="M196" s="10" t="str">
        <f>IFERROR(INDEX(Employees!$B$2:$B$37,MATCH(C196,Employees!$A$2:$A$37,0))&amp;" "&amp;INDEX(Employees!$C$2:$C$37,MATCH(C196,Employees!$A$2:$A$37,0)),"")</f>
        <v>William Johnson</v>
      </c>
      <c r="N196" s="10">
        <f t="shared" si="11"/>
        <v>10</v>
      </c>
    </row>
    <row r="197" spans="1:14" ht="15" customHeight="1" x14ac:dyDescent="0.25">
      <c r="A197" s="10">
        <v>196</v>
      </c>
      <c r="B197" s="10">
        <v>10</v>
      </c>
      <c r="C197" s="10">
        <v>9</v>
      </c>
      <c r="D197" s="10" t="s">
        <v>1016</v>
      </c>
      <c r="E197" s="10" t="s">
        <v>1017</v>
      </c>
      <c r="F197" s="10" t="s">
        <v>18</v>
      </c>
      <c r="G197" s="10" t="s">
        <v>39</v>
      </c>
      <c r="H197" s="19">
        <f>SUMIF(OrderItems!$B$2:$B$1254,A197,OrderItems!$G$2:$G$1254)</f>
        <v>10091.420999999998</v>
      </c>
      <c r="I197" s="19">
        <f>SUMIF(OrderItems!$B$2:$B$1254,A197,OrderItems!$K$2:$K$1254)</f>
        <v>5442.89</v>
      </c>
      <c r="J197" s="19">
        <f t="shared" si="9"/>
        <v>4648.5309999999981</v>
      </c>
      <c r="K197" s="10" t="str">
        <f t="shared" si="10"/>
        <v>2023-04</v>
      </c>
      <c r="L197" s="10" t="str">
        <f>IFERROR(INDEX(Customers!$G$2:$G$61,MATCH(B197,Customers!$A$2:$A$61,0)),"")</f>
        <v>Corporate</v>
      </c>
      <c r="M197" s="10" t="str">
        <f>IFERROR(INDEX(Employees!$B$2:$B$37,MATCH(C197,Employees!$A$2:$A$37,0))&amp;" "&amp;INDEX(Employees!$C$2:$C$37,MATCH(C197,Employees!$A$2:$A$37,0)),"")</f>
        <v>William Johnson</v>
      </c>
      <c r="N197" s="10">
        <f t="shared" si="11"/>
        <v>8</v>
      </c>
    </row>
    <row r="198" spans="1:14" ht="15" customHeight="1" x14ac:dyDescent="0.25">
      <c r="A198" s="10">
        <v>197</v>
      </c>
      <c r="B198" s="10">
        <v>15</v>
      </c>
      <c r="C198" s="10">
        <v>8</v>
      </c>
      <c r="D198" s="10" t="s">
        <v>1018</v>
      </c>
      <c r="F198" s="10" t="s">
        <v>16</v>
      </c>
      <c r="G198" s="10" t="s">
        <v>38</v>
      </c>
      <c r="H198" s="19">
        <f>SUMIF(OrderItems!$B$2:$B$1254,A198,OrderItems!$G$2:$G$1254)</f>
        <v>2162.2695000000003</v>
      </c>
      <c r="I198" s="19">
        <f>SUMIF(OrderItems!$B$2:$B$1254,A198,OrderItems!$K$2:$K$1254)</f>
        <v>1560.92</v>
      </c>
      <c r="J198" s="19">
        <f t="shared" si="9"/>
        <v>601.34950000000026</v>
      </c>
      <c r="K198" s="10" t="str">
        <f t="shared" si="10"/>
        <v>2024-11</v>
      </c>
      <c r="L198" s="10" t="str">
        <f>IFERROR(INDEX(Customers!$G$2:$G$61,MATCH(B198,Customers!$A$2:$A$61,0)),"")</f>
        <v>Small Business</v>
      </c>
      <c r="M198" s="10" t="str">
        <f>IFERROR(INDEX(Employees!$B$2:$B$37,MATCH(C198,Employees!$A$2:$A$37,0))&amp;" "&amp;INDEX(Employees!$C$2:$C$37,MATCH(C198,Employees!$A$2:$A$37,0)),"")</f>
        <v>John Gonzalez</v>
      </c>
      <c r="N198" s="10" t="str">
        <f t="shared" si="11"/>
        <v/>
      </c>
    </row>
    <row r="199" spans="1:14" ht="15" customHeight="1" x14ac:dyDescent="0.25">
      <c r="A199" s="10">
        <v>198</v>
      </c>
      <c r="B199" s="10">
        <v>58</v>
      </c>
      <c r="C199" s="10">
        <v>8</v>
      </c>
      <c r="D199" s="10" t="s">
        <v>1019</v>
      </c>
      <c r="F199" s="10" t="s">
        <v>16</v>
      </c>
      <c r="G199" s="10" t="s">
        <v>40</v>
      </c>
      <c r="H199" s="19">
        <f>SUMIF(OrderItems!$B$2:$B$1254,A199,OrderItems!$G$2:$G$1254)</f>
        <v>1849.7250000000001</v>
      </c>
      <c r="I199" s="19">
        <f>SUMIF(OrderItems!$B$2:$B$1254,A199,OrderItems!$K$2:$K$1254)</f>
        <v>1152.6500000000001</v>
      </c>
      <c r="J199" s="19">
        <f t="shared" si="9"/>
        <v>697.07500000000005</v>
      </c>
      <c r="K199" s="10" t="str">
        <f t="shared" si="10"/>
        <v>2023-03</v>
      </c>
      <c r="L199" s="10" t="str">
        <f>IFERROR(INDEX(Customers!$G$2:$G$61,MATCH(B199,Customers!$A$2:$A$61,0)),"")</f>
        <v>Consumer</v>
      </c>
      <c r="M199" s="10" t="str">
        <f>IFERROR(INDEX(Employees!$B$2:$B$37,MATCH(C199,Employees!$A$2:$A$37,0))&amp;" "&amp;INDEX(Employees!$C$2:$C$37,MATCH(C199,Employees!$A$2:$A$37,0)),"")</f>
        <v>John Gonzalez</v>
      </c>
      <c r="N199" s="10" t="str">
        <f t="shared" si="11"/>
        <v/>
      </c>
    </row>
    <row r="200" spans="1:14" ht="15" customHeight="1" x14ac:dyDescent="0.25">
      <c r="A200" s="10">
        <v>199</v>
      </c>
      <c r="B200" s="10">
        <v>33</v>
      </c>
      <c r="C200" s="10">
        <v>10</v>
      </c>
      <c r="D200" s="10" t="s">
        <v>1020</v>
      </c>
      <c r="E200" s="10" t="s">
        <v>853</v>
      </c>
      <c r="F200" s="10" t="s">
        <v>14</v>
      </c>
      <c r="G200" s="10" t="s">
        <v>37</v>
      </c>
      <c r="H200" s="19">
        <f>SUMIF(OrderItems!$B$2:$B$1254,A200,OrderItems!$G$2:$G$1254)</f>
        <v>4058.8685000000005</v>
      </c>
      <c r="I200" s="19">
        <f>SUMIF(OrderItems!$B$2:$B$1254,A200,OrderItems!$K$2:$K$1254)</f>
        <v>2270.54</v>
      </c>
      <c r="J200" s="19">
        <f t="shared" si="9"/>
        <v>1788.3285000000005</v>
      </c>
      <c r="K200" s="10" t="str">
        <f t="shared" si="10"/>
        <v>2025-09</v>
      </c>
      <c r="L200" s="10" t="str">
        <f>IFERROR(INDEX(Customers!$G$2:$G$61,MATCH(B200,Customers!$A$2:$A$61,0)),"")</f>
        <v>Consumer</v>
      </c>
      <c r="M200" s="10" t="str">
        <f>IFERROR(INDEX(Employees!$B$2:$B$37,MATCH(C200,Employees!$A$2:$A$37,0))&amp;" "&amp;INDEX(Employees!$C$2:$C$37,MATCH(C200,Employees!$A$2:$A$37,0)),"")</f>
        <v>John Moore</v>
      </c>
      <c r="N200" s="10">
        <f t="shared" si="11"/>
        <v>5</v>
      </c>
    </row>
    <row r="201" spans="1:14" ht="15" customHeight="1" x14ac:dyDescent="0.25">
      <c r="A201" s="10">
        <v>200</v>
      </c>
      <c r="B201" s="10">
        <v>43</v>
      </c>
      <c r="C201" s="10">
        <v>8</v>
      </c>
      <c r="D201" s="10" t="s">
        <v>767</v>
      </c>
      <c r="E201" s="10" t="s">
        <v>1021</v>
      </c>
      <c r="F201" s="10" t="s">
        <v>14</v>
      </c>
      <c r="G201" s="10" t="s">
        <v>39</v>
      </c>
      <c r="H201" s="19">
        <f>SUMIF(OrderItems!$B$2:$B$1254,A201,OrderItems!$G$2:$G$1254)</f>
        <v>5004.2420000000011</v>
      </c>
      <c r="I201" s="19">
        <f>SUMIF(OrderItems!$B$2:$B$1254,A201,OrderItems!$K$2:$K$1254)</f>
        <v>3017.16</v>
      </c>
      <c r="J201" s="19">
        <f t="shared" si="9"/>
        <v>1987.0820000000012</v>
      </c>
      <c r="K201" s="10" t="str">
        <f t="shared" si="10"/>
        <v>2025-05</v>
      </c>
      <c r="L201" s="10" t="str">
        <f>IFERROR(INDEX(Customers!$G$2:$G$61,MATCH(B201,Customers!$A$2:$A$61,0)),"")</f>
        <v>Corporate</v>
      </c>
      <c r="M201" s="10" t="str">
        <f>IFERROR(INDEX(Employees!$B$2:$B$37,MATCH(C201,Employees!$A$2:$A$37,0))&amp;" "&amp;INDEX(Employees!$C$2:$C$37,MATCH(C201,Employees!$A$2:$A$37,0)),"")</f>
        <v>John Gonzalez</v>
      </c>
      <c r="N201" s="10">
        <f t="shared" si="11"/>
        <v>4</v>
      </c>
    </row>
    <row r="202" spans="1:14" ht="15" customHeight="1" x14ac:dyDescent="0.25">
      <c r="A202" s="10">
        <v>201</v>
      </c>
      <c r="B202" s="10">
        <v>51</v>
      </c>
      <c r="C202" s="10">
        <v>9</v>
      </c>
      <c r="D202" s="10" t="s">
        <v>1022</v>
      </c>
      <c r="E202" s="10" t="s">
        <v>1023</v>
      </c>
      <c r="F202" s="10" t="s">
        <v>14</v>
      </c>
      <c r="G202" s="10" t="s">
        <v>40</v>
      </c>
      <c r="H202" s="19">
        <f>SUMIF(OrderItems!$B$2:$B$1254,A202,OrderItems!$G$2:$G$1254)</f>
        <v>6698.1385000000009</v>
      </c>
      <c r="I202" s="19">
        <f>SUMIF(OrderItems!$B$2:$B$1254,A202,OrderItems!$K$2:$K$1254)</f>
        <v>3656.96</v>
      </c>
      <c r="J202" s="19">
        <f t="shared" si="9"/>
        <v>3041.1785000000009</v>
      </c>
      <c r="K202" s="10" t="str">
        <f t="shared" si="10"/>
        <v>2023-05</v>
      </c>
      <c r="L202" s="10" t="str">
        <f>IFERROR(INDEX(Customers!$G$2:$G$61,MATCH(B202,Customers!$A$2:$A$61,0)),"")</f>
        <v>Consumer</v>
      </c>
      <c r="M202" s="10" t="str">
        <f>IFERROR(INDEX(Employees!$B$2:$B$37,MATCH(C202,Employees!$A$2:$A$37,0))&amp;" "&amp;INDEX(Employees!$C$2:$C$37,MATCH(C202,Employees!$A$2:$A$37,0)),"")</f>
        <v>William Johnson</v>
      </c>
      <c r="N202" s="10">
        <f t="shared" si="11"/>
        <v>5</v>
      </c>
    </row>
    <row r="203" spans="1:14" ht="15" customHeight="1" x14ac:dyDescent="0.25">
      <c r="A203" s="10">
        <v>202</v>
      </c>
      <c r="B203" s="10">
        <v>49</v>
      </c>
      <c r="C203" s="10">
        <v>1</v>
      </c>
      <c r="D203" s="10" t="s">
        <v>1024</v>
      </c>
      <c r="F203" s="10" t="s">
        <v>16</v>
      </c>
      <c r="G203" s="10" t="s">
        <v>39</v>
      </c>
      <c r="H203" s="19">
        <f>SUMIF(OrderItems!$B$2:$B$1254,A203,OrderItems!$G$2:$G$1254)</f>
        <v>661.14</v>
      </c>
      <c r="I203" s="19">
        <f>SUMIF(OrderItems!$B$2:$B$1254,A203,OrderItems!$K$2:$K$1254)</f>
        <v>326.8</v>
      </c>
      <c r="J203" s="19">
        <f t="shared" si="9"/>
        <v>334.34</v>
      </c>
      <c r="K203" s="10" t="str">
        <f t="shared" si="10"/>
        <v>2023-05</v>
      </c>
      <c r="L203" s="10" t="str">
        <f>IFERROR(INDEX(Customers!$G$2:$G$61,MATCH(B203,Customers!$A$2:$A$61,0)),"")</f>
        <v>Corporate</v>
      </c>
      <c r="M203" s="10" t="str">
        <f>IFERROR(INDEX(Employees!$B$2:$B$37,MATCH(C203,Employees!$A$2:$A$37,0))&amp;" "&amp;INDEX(Employees!$C$2:$C$37,MATCH(C203,Employees!$A$2:$A$37,0)),"")</f>
        <v>Daniel Brown</v>
      </c>
      <c r="N203" s="10" t="str">
        <f t="shared" si="11"/>
        <v/>
      </c>
    </row>
    <row r="204" spans="1:14" ht="15" customHeight="1" x14ac:dyDescent="0.25">
      <c r="A204" s="10">
        <v>203</v>
      </c>
      <c r="B204" s="10">
        <v>25</v>
      </c>
      <c r="C204" s="10">
        <v>10</v>
      </c>
      <c r="D204" s="10" t="s">
        <v>960</v>
      </c>
      <c r="E204" s="10" t="s">
        <v>1025</v>
      </c>
      <c r="F204" s="10" t="s">
        <v>15</v>
      </c>
      <c r="G204" s="10" t="s">
        <v>39</v>
      </c>
      <c r="H204" s="19">
        <f>SUMIF(OrderItems!$B$2:$B$1254,A204,OrderItems!$G$2:$G$1254)</f>
        <v>3441.0160000000005</v>
      </c>
      <c r="I204" s="19">
        <f>SUMIF(OrderItems!$B$2:$B$1254,A204,OrderItems!$K$2:$K$1254)</f>
        <v>2225.5200000000004</v>
      </c>
      <c r="J204" s="19">
        <f t="shared" si="9"/>
        <v>1215.4960000000001</v>
      </c>
      <c r="K204" s="10" t="str">
        <f t="shared" si="10"/>
        <v>2023-03</v>
      </c>
      <c r="L204" s="10" t="str">
        <f>IFERROR(INDEX(Customers!$G$2:$G$61,MATCH(B204,Customers!$A$2:$A$61,0)),"")</f>
        <v>Small Business</v>
      </c>
      <c r="M204" s="10" t="str">
        <f>IFERROR(INDEX(Employees!$B$2:$B$37,MATCH(C204,Employees!$A$2:$A$37,0))&amp;" "&amp;INDEX(Employees!$C$2:$C$37,MATCH(C204,Employees!$A$2:$A$37,0)),"")</f>
        <v>John Moore</v>
      </c>
      <c r="N204" s="10">
        <f t="shared" si="11"/>
        <v>3</v>
      </c>
    </row>
    <row r="205" spans="1:14" ht="15" customHeight="1" x14ac:dyDescent="0.25">
      <c r="A205" s="10">
        <v>204</v>
      </c>
      <c r="B205" s="10">
        <v>1</v>
      </c>
      <c r="C205" s="10">
        <v>8</v>
      </c>
      <c r="D205" s="10" t="s">
        <v>1026</v>
      </c>
      <c r="E205" s="10" t="s">
        <v>977</v>
      </c>
      <c r="F205" s="10" t="s">
        <v>14</v>
      </c>
      <c r="G205" s="10" t="s">
        <v>39</v>
      </c>
      <c r="H205" s="19">
        <f>SUMIF(OrderItems!$B$2:$B$1254,A205,OrderItems!$G$2:$G$1254)</f>
        <v>8720.2279999999992</v>
      </c>
      <c r="I205" s="19">
        <f>SUMIF(OrderItems!$B$2:$B$1254,A205,OrderItems!$K$2:$K$1254)</f>
        <v>5022.17</v>
      </c>
      <c r="J205" s="19">
        <f t="shared" si="9"/>
        <v>3698.0579999999991</v>
      </c>
      <c r="K205" s="10" t="str">
        <f t="shared" si="10"/>
        <v>2023-09</v>
      </c>
      <c r="L205" s="10" t="str">
        <f>IFERROR(INDEX(Customers!$G$2:$G$61,MATCH(B205,Customers!$A$2:$A$61,0)),"")</f>
        <v>Corporate</v>
      </c>
      <c r="M205" s="10" t="str">
        <f>IFERROR(INDEX(Employees!$B$2:$B$37,MATCH(C205,Employees!$A$2:$A$37,0))&amp;" "&amp;INDEX(Employees!$C$2:$C$37,MATCH(C205,Employees!$A$2:$A$37,0)),"")</f>
        <v>John Gonzalez</v>
      </c>
      <c r="N205" s="10">
        <f t="shared" si="11"/>
        <v>1</v>
      </c>
    </row>
    <row r="206" spans="1:14" ht="15" customHeight="1" x14ac:dyDescent="0.25">
      <c r="A206" s="10">
        <v>205</v>
      </c>
      <c r="B206" s="10">
        <v>13</v>
      </c>
      <c r="C206" s="10">
        <v>1</v>
      </c>
      <c r="D206" s="10" t="s">
        <v>1027</v>
      </c>
      <c r="E206" s="10" t="s">
        <v>1028</v>
      </c>
      <c r="F206" s="10" t="s">
        <v>14</v>
      </c>
      <c r="G206" s="10" t="s">
        <v>40</v>
      </c>
      <c r="H206" s="19">
        <f>SUMIF(OrderItems!$B$2:$B$1254,A206,OrderItems!$G$2:$G$1254)</f>
        <v>4980.9889999999996</v>
      </c>
      <c r="I206" s="19">
        <f>SUMIF(OrderItems!$B$2:$B$1254,A206,OrderItems!$K$2:$K$1254)</f>
        <v>2567.5299999999997</v>
      </c>
      <c r="J206" s="19">
        <f t="shared" si="9"/>
        <v>2413.4589999999998</v>
      </c>
      <c r="K206" s="10" t="str">
        <f t="shared" si="10"/>
        <v>2024-01</v>
      </c>
      <c r="L206" s="10" t="str">
        <f>IFERROR(INDEX(Customers!$G$2:$G$61,MATCH(B206,Customers!$A$2:$A$61,0)),"")</f>
        <v>Small Business</v>
      </c>
      <c r="M206" s="10" t="str">
        <f>IFERROR(INDEX(Employees!$B$2:$B$37,MATCH(C206,Employees!$A$2:$A$37,0))&amp;" "&amp;INDEX(Employees!$C$2:$C$37,MATCH(C206,Employees!$A$2:$A$37,0)),"")</f>
        <v>Daniel Brown</v>
      </c>
      <c r="N206" s="10">
        <f t="shared" si="11"/>
        <v>9</v>
      </c>
    </row>
    <row r="207" spans="1:14" ht="15" customHeight="1" x14ac:dyDescent="0.25">
      <c r="A207" s="10">
        <v>206</v>
      </c>
      <c r="B207" s="10">
        <v>58</v>
      </c>
      <c r="C207" s="10">
        <v>8</v>
      </c>
      <c r="D207" s="10" t="s">
        <v>1029</v>
      </c>
      <c r="E207" s="10" t="s">
        <v>783</v>
      </c>
      <c r="F207" s="10" t="s">
        <v>15</v>
      </c>
      <c r="G207" s="10" t="s">
        <v>38</v>
      </c>
      <c r="H207" s="19">
        <f>SUMIF(OrderItems!$B$2:$B$1254,A207,OrderItems!$G$2:$G$1254)</f>
        <v>8687.52</v>
      </c>
      <c r="I207" s="19">
        <f>SUMIF(OrderItems!$B$2:$B$1254,A207,OrderItems!$K$2:$K$1254)</f>
        <v>5791.23</v>
      </c>
      <c r="J207" s="19">
        <f t="shared" si="9"/>
        <v>2896.2900000000009</v>
      </c>
      <c r="K207" s="10" t="str">
        <f t="shared" si="10"/>
        <v>2024-10</v>
      </c>
      <c r="L207" s="10" t="str">
        <f>IFERROR(INDEX(Customers!$G$2:$G$61,MATCH(B207,Customers!$A$2:$A$61,0)),"")</f>
        <v>Consumer</v>
      </c>
      <c r="M207" s="10" t="str">
        <f>IFERROR(INDEX(Employees!$B$2:$B$37,MATCH(C207,Employees!$A$2:$A$37,0))&amp;" "&amp;INDEX(Employees!$C$2:$C$37,MATCH(C207,Employees!$A$2:$A$37,0)),"")</f>
        <v>John Gonzalez</v>
      </c>
      <c r="N207" s="10">
        <f t="shared" si="11"/>
        <v>8</v>
      </c>
    </row>
    <row r="208" spans="1:14" ht="15" customHeight="1" x14ac:dyDescent="0.25">
      <c r="A208" s="10">
        <v>207</v>
      </c>
      <c r="B208" s="10">
        <v>9</v>
      </c>
      <c r="C208" s="10">
        <v>9</v>
      </c>
      <c r="D208" s="10" t="s">
        <v>1030</v>
      </c>
      <c r="E208" s="10" t="s">
        <v>1031</v>
      </c>
      <c r="F208" s="10" t="s">
        <v>15</v>
      </c>
      <c r="G208" s="10" t="s">
        <v>38</v>
      </c>
      <c r="H208" s="19">
        <f>SUMIF(OrderItems!$B$2:$B$1254,A208,OrderItems!$G$2:$G$1254)</f>
        <v>3705.7644999999998</v>
      </c>
      <c r="I208" s="19">
        <f>SUMIF(OrderItems!$B$2:$B$1254,A208,OrderItems!$K$2:$K$1254)</f>
        <v>2597.1400000000003</v>
      </c>
      <c r="J208" s="19">
        <f t="shared" si="9"/>
        <v>1108.6244999999994</v>
      </c>
      <c r="K208" s="10" t="str">
        <f t="shared" si="10"/>
        <v>2025-09</v>
      </c>
      <c r="L208" s="10" t="str">
        <f>IFERROR(INDEX(Customers!$G$2:$G$61,MATCH(B208,Customers!$A$2:$A$61,0)),"")</f>
        <v>Consumer</v>
      </c>
      <c r="M208" s="10" t="str">
        <f>IFERROR(INDEX(Employees!$B$2:$B$37,MATCH(C208,Employees!$A$2:$A$37,0))&amp;" "&amp;INDEX(Employees!$C$2:$C$37,MATCH(C208,Employees!$A$2:$A$37,0)),"")</f>
        <v>William Johnson</v>
      </c>
      <c r="N208" s="10">
        <f t="shared" si="11"/>
        <v>8</v>
      </c>
    </row>
    <row r="209" spans="1:14" ht="15" customHeight="1" x14ac:dyDescent="0.25">
      <c r="A209" s="10">
        <v>208</v>
      </c>
      <c r="B209" s="10">
        <v>47</v>
      </c>
      <c r="C209" s="10">
        <v>1</v>
      </c>
      <c r="D209" s="10" t="s">
        <v>1032</v>
      </c>
      <c r="E209" s="10" t="s">
        <v>1033</v>
      </c>
      <c r="F209" s="10" t="s">
        <v>14</v>
      </c>
      <c r="G209" s="10" t="s">
        <v>39</v>
      </c>
      <c r="H209" s="19">
        <f>SUMIF(OrderItems!$B$2:$B$1254,A209,OrderItems!$G$2:$G$1254)</f>
        <v>8078.6399999999994</v>
      </c>
      <c r="I209" s="19">
        <f>SUMIF(OrderItems!$B$2:$B$1254,A209,OrderItems!$K$2:$K$1254)</f>
        <v>5157.93</v>
      </c>
      <c r="J209" s="19">
        <f t="shared" si="9"/>
        <v>2920.7099999999991</v>
      </c>
      <c r="K209" s="10" t="str">
        <f t="shared" si="10"/>
        <v>2023-02</v>
      </c>
      <c r="L209" s="10" t="str">
        <f>IFERROR(INDEX(Customers!$G$2:$G$61,MATCH(B209,Customers!$A$2:$A$61,0)),"")</f>
        <v>Corporate</v>
      </c>
      <c r="M209" s="10" t="str">
        <f>IFERROR(INDEX(Employees!$B$2:$B$37,MATCH(C209,Employees!$A$2:$A$37,0))&amp;" "&amp;INDEX(Employees!$C$2:$C$37,MATCH(C209,Employees!$A$2:$A$37,0)),"")</f>
        <v>Daniel Brown</v>
      </c>
      <c r="N209" s="10">
        <f t="shared" si="11"/>
        <v>10</v>
      </c>
    </row>
    <row r="210" spans="1:14" ht="15" customHeight="1" x14ac:dyDescent="0.25">
      <c r="A210" s="10">
        <v>209</v>
      </c>
      <c r="B210" s="10">
        <v>58</v>
      </c>
      <c r="C210" s="10">
        <v>9</v>
      </c>
      <c r="D210" s="10" t="s">
        <v>846</v>
      </c>
      <c r="E210" s="10" t="s">
        <v>1034</v>
      </c>
      <c r="F210" s="10" t="s">
        <v>15</v>
      </c>
      <c r="G210" s="10" t="s">
        <v>39</v>
      </c>
      <c r="H210" s="19">
        <f>SUMIF(OrderItems!$B$2:$B$1254,A210,OrderItems!$G$2:$G$1254)</f>
        <v>2356.7220000000002</v>
      </c>
      <c r="I210" s="19">
        <f>SUMIF(OrderItems!$B$2:$B$1254,A210,OrderItems!$K$2:$K$1254)</f>
        <v>1415.04</v>
      </c>
      <c r="J210" s="19">
        <f t="shared" si="9"/>
        <v>941.68200000000024</v>
      </c>
      <c r="K210" s="10" t="str">
        <f t="shared" si="10"/>
        <v>2023-10</v>
      </c>
      <c r="L210" s="10" t="str">
        <f>IFERROR(INDEX(Customers!$G$2:$G$61,MATCH(B210,Customers!$A$2:$A$61,0)),"")</f>
        <v>Consumer</v>
      </c>
      <c r="M210" s="10" t="str">
        <f>IFERROR(INDEX(Employees!$B$2:$B$37,MATCH(C210,Employees!$A$2:$A$37,0))&amp;" "&amp;INDEX(Employees!$C$2:$C$37,MATCH(C210,Employees!$A$2:$A$37,0)),"")</f>
        <v>William Johnson</v>
      </c>
      <c r="N210" s="10">
        <f t="shared" si="11"/>
        <v>9</v>
      </c>
    </row>
    <row r="211" spans="1:14" ht="15" customHeight="1" x14ac:dyDescent="0.25">
      <c r="A211" s="10">
        <v>210</v>
      </c>
      <c r="B211" s="10">
        <v>49</v>
      </c>
      <c r="C211" s="10">
        <v>8</v>
      </c>
      <c r="D211" s="10" t="s">
        <v>1035</v>
      </c>
      <c r="E211" s="10" t="s">
        <v>1036</v>
      </c>
      <c r="F211" s="10" t="s">
        <v>14</v>
      </c>
      <c r="G211" s="10" t="s">
        <v>39</v>
      </c>
      <c r="H211" s="19">
        <f>SUMIF(OrderItems!$B$2:$B$1254,A211,OrderItems!$G$2:$G$1254)</f>
        <v>8225.9880000000012</v>
      </c>
      <c r="I211" s="19">
        <f>SUMIF(OrderItems!$B$2:$B$1254,A211,OrderItems!$K$2:$K$1254)</f>
        <v>4520.3999999999996</v>
      </c>
      <c r="J211" s="19">
        <f t="shared" si="9"/>
        <v>3705.5880000000016</v>
      </c>
      <c r="K211" s="10" t="str">
        <f t="shared" si="10"/>
        <v>2025-07</v>
      </c>
      <c r="L211" s="10" t="str">
        <f>IFERROR(INDEX(Customers!$G$2:$G$61,MATCH(B211,Customers!$A$2:$A$61,0)),"")</f>
        <v>Corporate</v>
      </c>
      <c r="M211" s="10" t="str">
        <f>IFERROR(INDEX(Employees!$B$2:$B$37,MATCH(C211,Employees!$A$2:$A$37,0))&amp;" "&amp;INDEX(Employees!$C$2:$C$37,MATCH(C211,Employees!$A$2:$A$37,0)),"")</f>
        <v>John Gonzalez</v>
      </c>
      <c r="N211" s="10">
        <f t="shared" si="11"/>
        <v>3</v>
      </c>
    </row>
    <row r="212" spans="1:14" ht="15" customHeight="1" x14ac:dyDescent="0.25">
      <c r="A212" s="10">
        <v>211</v>
      </c>
      <c r="B212" s="10">
        <v>34</v>
      </c>
      <c r="C212" s="10">
        <v>9</v>
      </c>
      <c r="D212" s="10" t="s">
        <v>980</v>
      </c>
      <c r="E212" s="10" t="s">
        <v>1037</v>
      </c>
      <c r="F212" s="10" t="s">
        <v>15</v>
      </c>
      <c r="G212" s="10" t="s">
        <v>36</v>
      </c>
      <c r="H212" s="19">
        <f>SUMIF(OrderItems!$B$2:$B$1254,A212,OrderItems!$G$2:$G$1254)</f>
        <v>1548</v>
      </c>
      <c r="I212" s="19">
        <f>SUMIF(OrderItems!$B$2:$B$1254,A212,OrderItems!$K$2:$K$1254)</f>
        <v>805.19999999999993</v>
      </c>
      <c r="J212" s="19">
        <f t="shared" si="9"/>
        <v>742.80000000000007</v>
      </c>
      <c r="K212" s="10" t="str">
        <f t="shared" si="10"/>
        <v>2025-03</v>
      </c>
      <c r="L212" s="10" t="str">
        <f>IFERROR(INDEX(Customers!$G$2:$G$61,MATCH(B212,Customers!$A$2:$A$61,0)),"")</f>
        <v>Small Business</v>
      </c>
      <c r="M212" s="10" t="str">
        <f>IFERROR(INDEX(Employees!$B$2:$B$37,MATCH(C212,Employees!$A$2:$A$37,0))&amp;" "&amp;INDEX(Employees!$C$2:$C$37,MATCH(C212,Employees!$A$2:$A$37,0)),"")</f>
        <v>William Johnson</v>
      </c>
      <c r="N212" s="10">
        <f t="shared" si="11"/>
        <v>8</v>
      </c>
    </row>
    <row r="213" spans="1:14" ht="15" customHeight="1" x14ac:dyDescent="0.25">
      <c r="A213" s="10">
        <v>212</v>
      </c>
      <c r="B213" s="10">
        <v>25</v>
      </c>
      <c r="C213" s="10">
        <v>10</v>
      </c>
      <c r="D213" s="10" t="s">
        <v>1038</v>
      </c>
      <c r="E213" s="10" t="s">
        <v>1039</v>
      </c>
      <c r="F213" s="10" t="s">
        <v>14</v>
      </c>
      <c r="G213" s="10" t="s">
        <v>38</v>
      </c>
      <c r="H213" s="19">
        <f>SUMIF(OrderItems!$B$2:$B$1254,A213,OrderItems!$G$2:$G$1254)</f>
        <v>2515.5855000000001</v>
      </c>
      <c r="I213" s="19">
        <f>SUMIF(OrderItems!$B$2:$B$1254,A213,OrderItems!$K$2:$K$1254)</f>
        <v>1380.58</v>
      </c>
      <c r="J213" s="19">
        <f t="shared" si="9"/>
        <v>1135.0055000000002</v>
      </c>
      <c r="K213" s="10" t="str">
        <f t="shared" si="10"/>
        <v>2025-01</v>
      </c>
      <c r="L213" s="10" t="str">
        <f>IFERROR(INDEX(Customers!$G$2:$G$61,MATCH(B213,Customers!$A$2:$A$61,0)),"")</f>
        <v>Small Business</v>
      </c>
      <c r="M213" s="10" t="str">
        <f>IFERROR(INDEX(Employees!$B$2:$B$37,MATCH(C213,Employees!$A$2:$A$37,0))&amp;" "&amp;INDEX(Employees!$C$2:$C$37,MATCH(C213,Employees!$A$2:$A$37,0)),"")</f>
        <v>John Moore</v>
      </c>
      <c r="N213" s="10">
        <f t="shared" si="11"/>
        <v>9</v>
      </c>
    </row>
    <row r="214" spans="1:14" ht="15" customHeight="1" x14ac:dyDescent="0.25">
      <c r="A214" s="10">
        <v>213</v>
      </c>
      <c r="B214" s="10">
        <v>5</v>
      </c>
      <c r="C214" s="10">
        <v>9</v>
      </c>
      <c r="D214" s="10" t="s">
        <v>1040</v>
      </c>
      <c r="E214" s="10" t="s">
        <v>922</v>
      </c>
      <c r="F214" s="10" t="s">
        <v>14</v>
      </c>
      <c r="G214" s="10" t="s">
        <v>37</v>
      </c>
      <c r="H214" s="19">
        <f>SUMIF(OrderItems!$B$2:$B$1254,A214,OrderItems!$G$2:$G$1254)</f>
        <v>3717.5829999999996</v>
      </c>
      <c r="I214" s="19">
        <f>SUMIF(OrderItems!$B$2:$B$1254,A214,OrderItems!$K$2:$K$1254)</f>
        <v>1993.66</v>
      </c>
      <c r="J214" s="19">
        <f t="shared" si="9"/>
        <v>1723.9229999999995</v>
      </c>
      <c r="K214" s="10" t="str">
        <f t="shared" si="10"/>
        <v>2024-03</v>
      </c>
      <c r="L214" s="10" t="str">
        <f>IFERROR(INDEX(Customers!$G$2:$G$61,MATCH(B214,Customers!$A$2:$A$61,0)),"")</f>
        <v>Consumer</v>
      </c>
      <c r="M214" s="10" t="str">
        <f>IFERROR(INDEX(Employees!$B$2:$B$37,MATCH(C214,Employees!$A$2:$A$37,0))&amp;" "&amp;INDEX(Employees!$C$2:$C$37,MATCH(C214,Employees!$A$2:$A$37,0)),"")</f>
        <v>William Johnson</v>
      </c>
      <c r="N214" s="10">
        <f t="shared" si="11"/>
        <v>3</v>
      </c>
    </row>
    <row r="215" spans="1:14" ht="15" customHeight="1" x14ac:dyDescent="0.25">
      <c r="A215" s="10">
        <v>214</v>
      </c>
      <c r="B215" s="10">
        <v>31</v>
      </c>
      <c r="C215" s="10">
        <v>8</v>
      </c>
      <c r="D215" s="10" t="s">
        <v>949</v>
      </c>
      <c r="F215" s="10" t="s">
        <v>17</v>
      </c>
      <c r="G215" s="10" t="s">
        <v>36</v>
      </c>
      <c r="H215" s="19">
        <f>SUMIF(OrderItems!$B$2:$B$1254,A215,OrderItems!$G$2:$G$1254)</f>
        <v>2760.3900000000003</v>
      </c>
      <c r="I215" s="19">
        <f>SUMIF(OrderItems!$B$2:$B$1254,A215,OrderItems!$K$2:$K$1254)</f>
        <v>2071.5</v>
      </c>
      <c r="J215" s="19">
        <f t="shared" si="9"/>
        <v>688.89000000000033</v>
      </c>
      <c r="K215" s="10" t="str">
        <f t="shared" si="10"/>
        <v>2023-11</v>
      </c>
      <c r="L215" s="10" t="str">
        <f>IFERROR(INDEX(Customers!$G$2:$G$61,MATCH(B215,Customers!$A$2:$A$61,0)),"")</f>
        <v>Consumer</v>
      </c>
      <c r="M215" s="10" t="str">
        <f>IFERROR(INDEX(Employees!$B$2:$B$37,MATCH(C215,Employees!$A$2:$A$37,0))&amp;" "&amp;INDEX(Employees!$C$2:$C$37,MATCH(C215,Employees!$A$2:$A$37,0)),"")</f>
        <v>John Gonzalez</v>
      </c>
      <c r="N215" s="10" t="str">
        <f t="shared" si="11"/>
        <v/>
      </c>
    </row>
    <row r="216" spans="1:14" ht="15" customHeight="1" x14ac:dyDescent="0.25">
      <c r="A216" s="10">
        <v>215</v>
      </c>
      <c r="B216" s="10">
        <v>41</v>
      </c>
      <c r="C216" s="10">
        <v>1</v>
      </c>
      <c r="D216" s="10" t="s">
        <v>1041</v>
      </c>
      <c r="E216" s="10" t="s">
        <v>835</v>
      </c>
      <c r="F216" s="10" t="s">
        <v>14</v>
      </c>
      <c r="G216" s="10" t="s">
        <v>38</v>
      </c>
      <c r="H216" s="19">
        <f>SUMIF(OrderItems!$B$2:$B$1254,A216,OrderItems!$G$2:$G$1254)</f>
        <v>1483.3354999999999</v>
      </c>
      <c r="I216" s="19">
        <f>SUMIF(OrderItems!$B$2:$B$1254,A216,OrderItems!$K$2:$K$1254)</f>
        <v>854.69</v>
      </c>
      <c r="J216" s="19">
        <f t="shared" si="9"/>
        <v>628.64549999999986</v>
      </c>
      <c r="K216" s="10" t="str">
        <f t="shared" si="10"/>
        <v>2023-10</v>
      </c>
      <c r="L216" s="10" t="str">
        <f>IFERROR(INDEX(Customers!$G$2:$G$61,MATCH(B216,Customers!$A$2:$A$61,0)),"")</f>
        <v>Small Business</v>
      </c>
      <c r="M216" s="10" t="str">
        <f>IFERROR(INDEX(Employees!$B$2:$B$37,MATCH(C216,Employees!$A$2:$A$37,0))&amp;" "&amp;INDEX(Employees!$C$2:$C$37,MATCH(C216,Employees!$A$2:$A$37,0)),"")</f>
        <v>Daniel Brown</v>
      </c>
      <c r="N216" s="10">
        <f t="shared" si="11"/>
        <v>3</v>
      </c>
    </row>
    <row r="217" spans="1:14" ht="15" customHeight="1" x14ac:dyDescent="0.25">
      <c r="A217" s="10">
        <v>216</v>
      </c>
      <c r="B217" s="10">
        <v>6</v>
      </c>
      <c r="C217" s="10">
        <v>8</v>
      </c>
      <c r="D217" s="10" t="s">
        <v>885</v>
      </c>
      <c r="E217" s="10" t="s">
        <v>1042</v>
      </c>
      <c r="F217" s="10" t="s">
        <v>15</v>
      </c>
      <c r="G217" s="10" t="s">
        <v>37</v>
      </c>
      <c r="H217" s="19">
        <f>SUMIF(OrderItems!$B$2:$B$1254,A217,OrderItems!$G$2:$G$1254)</f>
        <v>1979.0400000000002</v>
      </c>
      <c r="I217" s="19">
        <f>SUMIF(OrderItems!$B$2:$B$1254,A217,OrderItems!$K$2:$K$1254)</f>
        <v>1107.8699999999999</v>
      </c>
      <c r="J217" s="19">
        <f t="shared" si="9"/>
        <v>871.1700000000003</v>
      </c>
      <c r="K217" s="10" t="str">
        <f t="shared" si="10"/>
        <v>2025-07</v>
      </c>
      <c r="L217" s="10" t="str">
        <f>IFERROR(INDEX(Customers!$G$2:$G$61,MATCH(B217,Customers!$A$2:$A$61,0)),"")</f>
        <v>Consumer</v>
      </c>
      <c r="M217" s="10" t="str">
        <f>IFERROR(INDEX(Employees!$B$2:$B$37,MATCH(C217,Employees!$A$2:$A$37,0))&amp;" "&amp;INDEX(Employees!$C$2:$C$37,MATCH(C217,Employees!$A$2:$A$37,0)),"")</f>
        <v>John Gonzalez</v>
      </c>
      <c r="N217" s="10">
        <f t="shared" si="11"/>
        <v>8</v>
      </c>
    </row>
    <row r="218" spans="1:14" ht="15" customHeight="1" x14ac:dyDescent="0.25">
      <c r="A218" s="10">
        <v>217</v>
      </c>
      <c r="B218" s="10">
        <v>60</v>
      </c>
      <c r="C218" s="10">
        <v>10</v>
      </c>
      <c r="D218" s="10" t="s">
        <v>1043</v>
      </c>
      <c r="E218" s="10" t="s">
        <v>1044</v>
      </c>
      <c r="F218" s="10" t="s">
        <v>14</v>
      </c>
      <c r="G218" s="10" t="s">
        <v>40</v>
      </c>
      <c r="H218" s="19">
        <f>SUMIF(OrderItems!$B$2:$B$1254,A218,OrderItems!$G$2:$G$1254)</f>
        <v>2011.1490000000001</v>
      </c>
      <c r="I218" s="19">
        <f>SUMIF(OrderItems!$B$2:$B$1254,A218,OrderItems!$K$2:$K$1254)</f>
        <v>1479.96</v>
      </c>
      <c r="J218" s="19">
        <f t="shared" si="9"/>
        <v>531.18900000000008</v>
      </c>
      <c r="K218" s="10" t="str">
        <f t="shared" si="10"/>
        <v>2023-05</v>
      </c>
      <c r="L218" s="10" t="str">
        <f>IFERROR(INDEX(Customers!$G$2:$G$61,MATCH(B218,Customers!$A$2:$A$61,0)),"")</f>
        <v>Consumer</v>
      </c>
      <c r="M218" s="10" t="str">
        <f>IFERROR(INDEX(Employees!$B$2:$B$37,MATCH(C218,Employees!$A$2:$A$37,0))&amp;" "&amp;INDEX(Employees!$C$2:$C$37,MATCH(C218,Employees!$A$2:$A$37,0)),"")</f>
        <v>John Moore</v>
      </c>
      <c r="N218" s="10">
        <f t="shared" si="11"/>
        <v>7</v>
      </c>
    </row>
    <row r="219" spans="1:14" ht="15" customHeight="1" x14ac:dyDescent="0.25">
      <c r="A219" s="10">
        <v>218</v>
      </c>
      <c r="B219" s="10">
        <v>39</v>
      </c>
      <c r="C219" s="10">
        <v>1</v>
      </c>
      <c r="D219" s="10" t="s">
        <v>316</v>
      </c>
      <c r="E219" s="10" t="s">
        <v>1045</v>
      </c>
      <c r="F219" s="10" t="s">
        <v>15</v>
      </c>
      <c r="G219" s="10" t="s">
        <v>39</v>
      </c>
      <c r="H219" s="19">
        <f>SUMIF(OrderItems!$B$2:$B$1254,A219,OrderItems!$G$2:$G$1254)</f>
        <v>1356.3360000000002</v>
      </c>
      <c r="I219" s="19">
        <f>SUMIF(OrderItems!$B$2:$B$1254,A219,OrderItems!$K$2:$K$1254)</f>
        <v>782.55000000000007</v>
      </c>
      <c r="J219" s="19">
        <f t="shared" si="9"/>
        <v>573.78600000000017</v>
      </c>
      <c r="K219" s="10" t="str">
        <f t="shared" si="10"/>
        <v>2023-12</v>
      </c>
      <c r="L219" s="10" t="str">
        <f>IFERROR(INDEX(Customers!$G$2:$G$61,MATCH(B219,Customers!$A$2:$A$61,0)),"")</f>
        <v>Consumer</v>
      </c>
      <c r="M219" s="10" t="str">
        <f>IFERROR(INDEX(Employees!$B$2:$B$37,MATCH(C219,Employees!$A$2:$A$37,0))&amp;" "&amp;INDEX(Employees!$C$2:$C$37,MATCH(C219,Employees!$A$2:$A$37,0)),"")</f>
        <v>Daniel Brown</v>
      </c>
      <c r="N219" s="10">
        <f t="shared" si="11"/>
        <v>10</v>
      </c>
    </row>
    <row r="220" spans="1:14" ht="15" customHeight="1" x14ac:dyDescent="0.25">
      <c r="A220" s="10">
        <v>219</v>
      </c>
      <c r="B220" s="10">
        <v>58</v>
      </c>
      <c r="C220" s="10">
        <v>1</v>
      </c>
      <c r="D220" s="10" t="s">
        <v>1046</v>
      </c>
      <c r="F220" s="10" t="s">
        <v>17</v>
      </c>
      <c r="G220" s="10" t="s">
        <v>38</v>
      </c>
      <c r="H220" s="19">
        <f>SUMIF(OrderItems!$B$2:$B$1254,A220,OrderItems!$G$2:$G$1254)</f>
        <v>431.34749999999997</v>
      </c>
      <c r="I220" s="19">
        <f>SUMIF(OrderItems!$B$2:$B$1254,A220,OrderItems!$K$2:$K$1254)</f>
        <v>264.06</v>
      </c>
      <c r="J220" s="19">
        <f t="shared" si="9"/>
        <v>167.28749999999997</v>
      </c>
      <c r="K220" s="10" t="str">
        <f t="shared" si="10"/>
        <v>2025-06</v>
      </c>
      <c r="L220" s="10" t="str">
        <f>IFERROR(INDEX(Customers!$G$2:$G$61,MATCH(B220,Customers!$A$2:$A$61,0)),"")</f>
        <v>Consumer</v>
      </c>
      <c r="M220" s="10" t="str">
        <f>IFERROR(INDEX(Employees!$B$2:$B$37,MATCH(C220,Employees!$A$2:$A$37,0))&amp;" "&amp;INDEX(Employees!$C$2:$C$37,MATCH(C220,Employees!$A$2:$A$37,0)),"")</f>
        <v>Daniel Brown</v>
      </c>
      <c r="N220" s="10" t="str">
        <f t="shared" si="11"/>
        <v/>
      </c>
    </row>
    <row r="221" spans="1:14" ht="15" customHeight="1" x14ac:dyDescent="0.25">
      <c r="A221" s="10">
        <v>220</v>
      </c>
      <c r="B221" s="10">
        <v>15</v>
      </c>
      <c r="C221" s="10">
        <v>10</v>
      </c>
      <c r="D221" s="10" t="s">
        <v>1047</v>
      </c>
      <c r="F221" s="10" t="s">
        <v>16</v>
      </c>
      <c r="G221" s="10" t="s">
        <v>39</v>
      </c>
      <c r="H221" s="19">
        <f>SUMIF(OrderItems!$B$2:$B$1254,A221,OrderItems!$G$2:$G$1254)</f>
        <v>7893.1080000000002</v>
      </c>
      <c r="I221" s="19">
        <f>SUMIF(OrderItems!$B$2:$B$1254,A221,OrderItems!$K$2:$K$1254)</f>
        <v>3855.0099999999998</v>
      </c>
      <c r="J221" s="19">
        <f t="shared" si="9"/>
        <v>4038.0980000000004</v>
      </c>
      <c r="K221" s="10" t="str">
        <f t="shared" si="10"/>
        <v>2025-02</v>
      </c>
      <c r="L221" s="10" t="str">
        <f>IFERROR(INDEX(Customers!$G$2:$G$61,MATCH(B221,Customers!$A$2:$A$61,0)),"")</f>
        <v>Small Business</v>
      </c>
      <c r="M221" s="10" t="str">
        <f>IFERROR(INDEX(Employees!$B$2:$B$37,MATCH(C221,Employees!$A$2:$A$37,0))&amp;" "&amp;INDEX(Employees!$C$2:$C$37,MATCH(C221,Employees!$A$2:$A$37,0)),"")</f>
        <v>John Moore</v>
      </c>
      <c r="N221" s="10" t="str">
        <f t="shared" si="11"/>
        <v/>
      </c>
    </row>
    <row r="222" spans="1:14" ht="15" customHeight="1" x14ac:dyDescent="0.25">
      <c r="A222" s="10">
        <v>221</v>
      </c>
      <c r="B222" s="10">
        <v>34</v>
      </c>
      <c r="C222" s="10">
        <v>1</v>
      </c>
      <c r="D222" s="10" t="s">
        <v>1048</v>
      </c>
      <c r="E222" s="10" t="s">
        <v>762</v>
      </c>
      <c r="F222" s="10" t="s">
        <v>14</v>
      </c>
      <c r="G222" s="10" t="s">
        <v>40</v>
      </c>
      <c r="H222" s="19">
        <f>SUMIF(OrderItems!$B$2:$B$1254,A222,OrderItems!$G$2:$G$1254)</f>
        <v>7922.5084999999999</v>
      </c>
      <c r="I222" s="19">
        <f>SUMIF(OrderItems!$B$2:$B$1254,A222,OrderItems!$K$2:$K$1254)</f>
        <v>4776.7300000000005</v>
      </c>
      <c r="J222" s="19">
        <f t="shared" si="9"/>
        <v>3145.7784999999994</v>
      </c>
      <c r="K222" s="10" t="str">
        <f t="shared" si="10"/>
        <v>2025-02</v>
      </c>
      <c r="L222" s="10" t="str">
        <f>IFERROR(INDEX(Customers!$G$2:$G$61,MATCH(B222,Customers!$A$2:$A$61,0)),"")</f>
        <v>Small Business</v>
      </c>
      <c r="M222" s="10" t="str">
        <f>IFERROR(INDEX(Employees!$B$2:$B$37,MATCH(C222,Employees!$A$2:$A$37,0))&amp;" "&amp;INDEX(Employees!$C$2:$C$37,MATCH(C222,Employees!$A$2:$A$37,0)),"")</f>
        <v>Daniel Brown</v>
      </c>
      <c r="N222" s="10">
        <f t="shared" si="11"/>
        <v>6</v>
      </c>
    </row>
    <row r="223" spans="1:14" ht="15" customHeight="1" x14ac:dyDescent="0.25">
      <c r="A223" s="10">
        <v>222</v>
      </c>
      <c r="B223" s="10">
        <v>40</v>
      </c>
      <c r="C223" s="10">
        <v>9</v>
      </c>
      <c r="D223" s="10" t="s">
        <v>744</v>
      </c>
      <c r="E223" s="10" t="s">
        <v>1049</v>
      </c>
      <c r="F223" s="10" t="s">
        <v>14</v>
      </c>
      <c r="G223" s="10" t="s">
        <v>39</v>
      </c>
      <c r="H223" s="19">
        <f>SUMIF(OrderItems!$B$2:$B$1254,A223,OrderItems!$G$2:$G$1254)</f>
        <v>6328.6524999999992</v>
      </c>
      <c r="I223" s="19">
        <f>SUMIF(OrderItems!$B$2:$B$1254,A223,OrderItems!$K$2:$K$1254)</f>
        <v>3838.1</v>
      </c>
      <c r="J223" s="19">
        <f t="shared" si="9"/>
        <v>2490.5524999999993</v>
      </c>
      <c r="K223" s="10" t="str">
        <f t="shared" si="10"/>
        <v>2025-03</v>
      </c>
      <c r="L223" s="10" t="str">
        <f>IFERROR(INDEX(Customers!$G$2:$G$61,MATCH(B223,Customers!$A$2:$A$61,0)),"")</f>
        <v>Corporate</v>
      </c>
      <c r="M223" s="10" t="str">
        <f>IFERROR(INDEX(Employees!$B$2:$B$37,MATCH(C223,Employees!$A$2:$A$37,0))&amp;" "&amp;INDEX(Employees!$C$2:$C$37,MATCH(C223,Employees!$A$2:$A$37,0)),"")</f>
        <v>William Johnson</v>
      </c>
      <c r="N223" s="10">
        <f t="shared" si="11"/>
        <v>7</v>
      </c>
    </row>
    <row r="224" spans="1:14" ht="15" customHeight="1" x14ac:dyDescent="0.25">
      <c r="A224" s="10">
        <v>223</v>
      </c>
      <c r="B224" s="10">
        <v>51</v>
      </c>
      <c r="C224" s="10">
        <v>8</v>
      </c>
      <c r="D224" s="10" t="s">
        <v>1050</v>
      </c>
      <c r="E224" s="10" t="s">
        <v>1051</v>
      </c>
      <c r="F224" s="10" t="s">
        <v>14</v>
      </c>
      <c r="G224" s="10" t="s">
        <v>40</v>
      </c>
      <c r="H224" s="19">
        <f>SUMIF(OrderItems!$B$2:$B$1254,A224,OrderItems!$G$2:$G$1254)</f>
        <v>2469.2689999999998</v>
      </c>
      <c r="I224" s="19">
        <f>SUMIF(OrderItems!$B$2:$B$1254,A224,OrderItems!$K$2:$K$1254)</f>
        <v>1672.1899999999998</v>
      </c>
      <c r="J224" s="19">
        <f t="shared" si="9"/>
        <v>797.07899999999995</v>
      </c>
      <c r="K224" s="10" t="str">
        <f t="shared" si="10"/>
        <v>2023-07</v>
      </c>
      <c r="L224" s="10" t="str">
        <f>IFERROR(INDEX(Customers!$G$2:$G$61,MATCH(B224,Customers!$A$2:$A$61,0)),"")</f>
        <v>Consumer</v>
      </c>
      <c r="M224" s="10" t="str">
        <f>IFERROR(INDEX(Employees!$B$2:$B$37,MATCH(C224,Employees!$A$2:$A$37,0))&amp;" "&amp;INDEX(Employees!$C$2:$C$37,MATCH(C224,Employees!$A$2:$A$37,0)),"")</f>
        <v>John Gonzalez</v>
      </c>
      <c r="N224" s="10">
        <f t="shared" si="11"/>
        <v>9</v>
      </c>
    </row>
    <row r="225" spans="1:14" ht="15" customHeight="1" x14ac:dyDescent="0.25">
      <c r="A225" s="10">
        <v>224</v>
      </c>
      <c r="B225" s="10">
        <v>31</v>
      </c>
      <c r="C225" s="10">
        <v>10</v>
      </c>
      <c r="D225" s="10" t="s">
        <v>775</v>
      </c>
      <c r="E225" s="10" t="s">
        <v>1052</v>
      </c>
      <c r="F225" s="10" t="s">
        <v>14</v>
      </c>
      <c r="G225" s="10" t="s">
        <v>37</v>
      </c>
      <c r="H225" s="19">
        <f>SUMIF(OrderItems!$B$2:$B$1254,A225,OrderItems!$G$2:$G$1254)</f>
        <v>7082.08</v>
      </c>
      <c r="I225" s="19">
        <f>SUMIF(OrderItems!$B$2:$B$1254,A225,OrderItems!$K$2:$K$1254)</f>
        <v>3552.6000000000004</v>
      </c>
      <c r="J225" s="19">
        <f t="shared" si="9"/>
        <v>3529.4799999999996</v>
      </c>
      <c r="K225" s="10" t="str">
        <f t="shared" si="10"/>
        <v>2023-06</v>
      </c>
      <c r="L225" s="10" t="str">
        <f>IFERROR(INDEX(Customers!$G$2:$G$61,MATCH(B225,Customers!$A$2:$A$61,0)),"")</f>
        <v>Consumer</v>
      </c>
      <c r="M225" s="10" t="str">
        <f>IFERROR(INDEX(Employees!$B$2:$B$37,MATCH(C225,Employees!$A$2:$A$37,0))&amp;" "&amp;INDEX(Employees!$C$2:$C$37,MATCH(C225,Employees!$A$2:$A$37,0)),"")</f>
        <v>John Moore</v>
      </c>
      <c r="N225" s="10">
        <f t="shared" si="11"/>
        <v>5</v>
      </c>
    </row>
    <row r="226" spans="1:14" ht="15" customHeight="1" x14ac:dyDescent="0.25">
      <c r="A226" s="10">
        <v>225</v>
      </c>
      <c r="B226" s="10">
        <v>50</v>
      </c>
      <c r="C226" s="10">
        <v>8</v>
      </c>
      <c r="D226" s="10" t="s">
        <v>913</v>
      </c>
      <c r="E226" s="10" t="s">
        <v>997</v>
      </c>
      <c r="F226" s="10" t="s">
        <v>15</v>
      </c>
      <c r="G226" s="10" t="s">
        <v>37</v>
      </c>
      <c r="H226" s="19">
        <f>SUMIF(OrderItems!$B$2:$B$1254,A226,OrderItems!$G$2:$G$1254)</f>
        <v>4625.5244999999995</v>
      </c>
      <c r="I226" s="19">
        <f>SUMIF(OrderItems!$B$2:$B$1254,A226,OrderItems!$K$2:$K$1254)</f>
        <v>2847.11</v>
      </c>
      <c r="J226" s="19">
        <f t="shared" si="9"/>
        <v>1778.4144999999994</v>
      </c>
      <c r="K226" s="10" t="str">
        <f t="shared" si="10"/>
        <v>2025-10</v>
      </c>
      <c r="L226" s="10" t="str">
        <f>IFERROR(INDEX(Customers!$G$2:$G$61,MATCH(B226,Customers!$A$2:$A$61,0)),"")</f>
        <v>Consumer</v>
      </c>
      <c r="M226" s="10" t="str">
        <f>IFERROR(INDEX(Employees!$B$2:$B$37,MATCH(C226,Employees!$A$2:$A$37,0))&amp;" "&amp;INDEX(Employees!$C$2:$C$37,MATCH(C226,Employees!$A$2:$A$37,0)),"")</f>
        <v>John Gonzalez</v>
      </c>
      <c r="N226" s="10">
        <f t="shared" si="11"/>
        <v>1</v>
      </c>
    </row>
    <row r="227" spans="1:14" ht="15" customHeight="1" x14ac:dyDescent="0.25">
      <c r="A227" s="10">
        <v>226</v>
      </c>
      <c r="B227" s="10">
        <v>50</v>
      </c>
      <c r="C227" s="10">
        <v>10</v>
      </c>
      <c r="D227" s="10" t="s">
        <v>778</v>
      </c>
      <c r="F227" s="10" t="s">
        <v>17</v>
      </c>
      <c r="G227" s="10" t="s">
        <v>40</v>
      </c>
      <c r="H227" s="19">
        <f>SUMIF(OrderItems!$B$2:$B$1254,A227,OrderItems!$G$2:$G$1254)</f>
        <v>7198.9070000000011</v>
      </c>
      <c r="I227" s="19">
        <f>SUMIF(OrderItems!$B$2:$B$1254,A227,OrderItems!$K$2:$K$1254)</f>
        <v>3607.84</v>
      </c>
      <c r="J227" s="19">
        <f t="shared" si="9"/>
        <v>3591.0670000000009</v>
      </c>
      <c r="K227" s="10" t="str">
        <f t="shared" si="10"/>
        <v>2024-12</v>
      </c>
      <c r="L227" s="10" t="str">
        <f>IFERROR(INDEX(Customers!$G$2:$G$61,MATCH(B227,Customers!$A$2:$A$61,0)),"")</f>
        <v>Consumer</v>
      </c>
      <c r="M227" s="10" t="str">
        <f>IFERROR(INDEX(Employees!$B$2:$B$37,MATCH(C227,Employees!$A$2:$A$37,0))&amp;" "&amp;INDEX(Employees!$C$2:$C$37,MATCH(C227,Employees!$A$2:$A$37,0)),"")</f>
        <v>John Moore</v>
      </c>
      <c r="N227" s="10" t="str">
        <f t="shared" si="11"/>
        <v/>
      </c>
    </row>
    <row r="228" spans="1:14" ht="15" customHeight="1" x14ac:dyDescent="0.25">
      <c r="A228" s="10">
        <v>227</v>
      </c>
      <c r="B228" s="10">
        <v>39</v>
      </c>
      <c r="C228" s="10">
        <v>8</v>
      </c>
      <c r="D228" s="10" t="s">
        <v>1053</v>
      </c>
      <c r="F228" s="10" t="s">
        <v>17</v>
      </c>
      <c r="G228" s="10" t="s">
        <v>39</v>
      </c>
      <c r="H228" s="19">
        <f>SUMIF(OrderItems!$B$2:$B$1254,A228,OrderItems!$G$2:$G$1254)</f>
        <v>966.86249999999995</v>
      </c>
      <c r="I228" s="19">
        <f>SUMIF(OrderItems!$B$2:$B$1254,A228,OrderItems!$K$2:$K$1254)</f>
        <v>625.98</v>
      </c>
      <c r="J228" s="19">
        <f t="shared" si="9"/>
        <v>340.88249999999994</v>
      </c>
      <c r="K228" s="10" t="str">
        <f t="shared" si="10"/>
        <v>2025-07</v>
      </c>
      <c r="L228" s="10" t="str">
        <f>IFERROR(INDEX(Customers!$G$2:$G$61,MATCH(B228,Customers!$A$2:$A$61,0)),"")</f>
        <v>Consumer</v>
      </c>
      <c r="M228" s="10" t="str">
        <f>IFERROR(INDEX(Employees!$B$2:$B$37,MATCH(C228,Employees!$A$2:$A$37,0))&amp;" "&amp;INDEX(Employees!$C$2:$C$37,MATCH(C228,Employees!$A$2:$A$37,0)),"")</f>
        <v>John Gonzalez</v>
      </c>
      <c r="N228" s="10" t="str">
        <f t="shared" si="11"/>
        <v/>
      </c>
    </row>
    <row r="229" spans="1:14" ht="15" customHeight="1" x14ac:dyDescent="0.25">
      <c r="A229" s="10">
        <v>228</v>
      </c>
      <c r="B229" s="10">
        <v>33</v>
      </c>
      <c r="C229" s="10">
        <v>1</v>
      </c>
      <c r="D229" s="10" t="s">
        <v>1024</v>
      </c>
      <c r="E229" s="10" t="s">
        <v>1054</v>
      </c>
      <c r="F229" s="10" t="s">
        <v>18</v>
      </c>
      <c r="G229" s="10" t="s">
        <v>36</v>
      </c>
      <c r="H229" s="19">
        <f>SUMIF(OrderItems!$B$2:$B$1254,A229,OrderItems!$G$2:$G$1254)</f>
        <v>8497.2070000000003</v>
      </c>
      <c r="I229" s="19">
        <f>SUMIF(OrderItems!$B$2:$B$1254,A229,OrderItems!$K$2:$K$1254)</f>
        <v>5122.7700000000004</v>
      </c>
      <c r="J229" s="19">
        <f t="shared" si="9"/>
        <v>3374.4369999999999</v>
      </c>
      <c r="K229" s="10" t="str">
        <f t="shared" si="10"/>
        <v>2023-05</v>
      </c>
      <c r="L229" s="10" t="str">
        <f>IFERROR(INDEX(Customers!$G$2:$G$61,MATCH(B229,Customers!$A$2:$A$61,0)),"")</f>
        <v>Consumer</v>
      </c>
      <c r="M229" s="10" t="str">
        <f>IFERROR(INDEX(Employees!$B$2:$B$37,MATCH(C229,Employees!$A$2:$A$37,0))&amp;" "&amp;INDEX(Employees!$C$2:$C$37,MATCH(C229,Employees!$A$2:$A$37,0)),"")</f>
        <v>Daniel Brown</v>
      </c>
      <c r="N229" s="10">
        <f t="shared" si="11"/>
        <v>6</v>
      </c>
    </row>
    <row r="230" spans="1:14" ht="15" customHeight="1" x14ac:dyDescent="0.25">
      <c r="A230" s="10">
        <v>229</v>
      </c>
      <c r="B230" s="10">
        <v>31</v>
      </c>
      <c r="C230" s="10">
        <v>1</v>
      </c>
      <c r="D230" s="10" t="s">
        <v>1055</v>
      </c>
      <c r="E230" s="10" t="s">
        <v>1056</v>
      </c>
      <c r="F230" s="10" t="s">
        <v>14</v>
      </c>
      <c r="G230" s="10" t="s">
        <v>37</v>
      </c>
      <c r="H230" s="19">
        <f>SUMIF(OrderItems!$B$2:$B$1254,A230,OrderItems!$G$2:$G$1254)</f>
        <v>6595.884</v>
      </c>
      <c r="I230" s="19">
        <f>SUMIF(OrderItems!$B$2:$B$1254,A230,OrderItems!$K$2:$K$1254)</f>
        <v>3081.87</v>
      </c>
      <c r="J230" s="19">
        <f t="shared" si="9"/>
        <v>3514.0140000000001</v>
      </c>
      <c r="K230" s="10" t="str">
        <f t="shared" si="10"/>
        <v>2024-06</v>
      </c>
      <c r="L230" s="10" t="str">
        <f>IFERROR(INDEX(Customers!$G$2:$G$61,MATCH(B230,Customers!$A$2:$A$61,0)),"")</f>
        <v>Consumer</v>
      </c>
      <c r="M230" s="10" t="str">
        <f>IFERROR(INDEX(Employees!$B$2:$B$37,MATCH(C230,Employees!$A$2:$A$37,0))&amp;" "&amp;INDEX(Employees!$C$2:$C$37,MATCH(C230,Employees!$A$2:$A$37,0)),"")</f>
        <v>Daniel Brown</v>
      </c>
      <c r="N230" s="10">
        <f t="shared" si="11"/>
        <v>7</v>
      </c>
    </row>
    <row r="231" spans="1:14" ht="15" customHeight="1" x14ac:dyDescent="0.25">
      <c r="A231" s="10">
        <v>230</v>
      </c>
      <c r="B231" s="10">
        <v>16</v>
      </c>
      <c r="C231" s="10">
        <v>9</v>
      </c>
      <c r="D231" s="10" t="s">
        <v>914</v>
      </c>
      <c r="F231" s="10" t="s">
        <v>17</v>
      </c>
      <c r="G231" s="10" t="s">
        <v>38</v>
      </c>
      <c r="H231" s="19">
        <f>SUMIF(OrderItems!$B$2:$B$1254,A231,OrderItems!$G$2:$G$1254)</f>
        <v>651.16799999999989</v>
      </c>
      <c r="I231" s="19">
        <f>SUMIF(OrderItems!$B$2:$B$1254,A231,OrderItems!$K$2:$K$1254)</f>
        <v>408.09000000000003</v>
      </c>
      <c r="J231" s="19">
        <f t="shared" si="9"/>
        <v>243.07799999999986</v>
      </c>
      <c r="K231" s="10" t="str">
        <f t="shared" si="10"/>
        <v>2023-07</v>
      </c>
      <c r="L231" s="10" t="str">
        <f>IFERROR(INDEX(Customers!$G$2:$G$61,MATCH(B231,Customers!$A$2:$A$61,0)),"")</f>
        <v>Small Business</v>
      </c>
      <c r="M231" s="10" t="str">
        <f>IFERROR(INDEX(Employees!$B$2:$B$37,MATCH(C231,Employees!$A$2:$A$37,0))&amp;" "&amp;INDEX(Employees!$C$2:$C$37,MATCH(C231,Employees!$A$2:$A$37,0)),"")</f>
        <v>William Johnson</v>
      </c>
      <c r="N231" s="10" t="str">
        <f t="shared" si="11"/>
        <v/>
      </c>
    </row>
    <row r="232" spans="1:14" ht="15" customHeight="1" x14ac:dyDescent="0.25">
      <c r="A232" s="10">
        <v>231</v>
      </c>
      <c r="B232" s="10">
        <v>21</v>
      </c>
      <c r="C232" s="10">
        <v>9</v>
      </c>
      <c r="D232" s="10" t="s">
        <v>814</v>
      </c>
      <c r="E232" s="10" t="s">
        <v>1057</v>
      </c>
      <c r="F232" s="10" t="s">
        <v>18</v>
      </c>
      <c r="G232" s="10" t="s">
        <v>37</v>
      </c>
      <c r="H232" s="19">
        <f>SUMIF(OrderItems!$B$2:$B$1254,A232,OrderItems!$G$2:$G$1254)</f>
        <v>6107.86</v>
      </c>
      <c r="I232" s="19">
        <f>SUMIF(OrderItems!$B$2:$B$1254,A232,OrderItems!$K$2:$K$1254)</f>
        <v>3678.4</v>
      </c>
      <c r="J232" s="19">
        <f t="shared" si="9"/>
        <v>2429.4599999999996</v>
      </c>
      <c r="K232" s="10" t="str">
        <f t="shared" si="10"/>
        <v>2024-03</v>
      </c>
      <c r="L232" s="10" t="str">
        <f>IFERROR(INDEX(Customers!$G$2:$G$61,MATCH(B232,Customers!$A$2:$A$61,0)),"")</f>
        <v>Corporate</v>
      </c>
      <c r="M232" s="10" t="str">
        <f>IFERROR(INDEX(Employees!$B$2:$B$37,MATCH(C232,Employees!$A$2:$A$37,0))&amp;" "&amp;INDEX(Employees!$C$2:$C$37,MATCH(C232,Employees!$A$2:$A$37,0)),"")</f>
        <v>William Johnson</v>
      </c>
      <c r="N232" s="10">
        <f t="shared" si="11"/>
        <v>3</v>
      </c>
    </row>
    <row r="233" spans="1:14" ht="15" customHeight="1" x14ac:dyDescent="0.25">
      <c r="A233" s="10">
        <v>232</v>
      </c>
      <c r="B233" s="10">
        <v>8</v>
      </c>
      <c r="C233" s="10">
        <v>1</v>
      </c>
      <c r="D233" s="10" t="s">
        <v>1058</v>
      </c>
      <c r="E233" s="10" t="s">
        <v>1059</v>
      </c>
      <c r="F233" s="10" t="s">
        <v>14</v>
      </c>
      <c r="G233" s="10" t="s">
        <v>36</v>
      </c>
      <c r="H233" s="19">
        <f>SUMIF(OrderItems!$B$2:$B$1254,A233,OrderItems!$G$2:$G$1254)</f>
        <v>6213.7214999999997</v>
      </c>
      <c r="I233" s="19">
        <f>SUMIF(OrderItems!$B$2:$B$1254,A233,OrderItems!$K$2:$K$1254)</f>
        <v>3882.3199999999997</v>
      </c>
      <c r="J233" s="19">
        <f t="shared" si="9"/>
        <v>2331.4014999999999</v>
      </c>
      <c r="K233" s="10" t="str">
        <f t="shared" si="10"/>
        <v>2025-10</v>
      </c>
      <c r="L233" s="10" t="str">
        <f>IFERROR(INDEX(Customers!$G$2:$G$61,MATCH(B233,Customers!$A$2:$A$61,0)),"")</f>
        <v>Consumer</v>
      </c>
      <c r="M233" s="10" t="str">
        <f>IFERROR(INDEX(Employees!$B$2:$B$37,MATCH(C233,Employees!$A$2:$A$37,0))&amp;" "&amp;INDEX(Employees!$C$2:$C$37,MATCH(C233,Employees!$A$2:$A$37,0)),"")</f>
        <v>Daniel Brown</v>
      </c>
      <c r="N233" s="10">
        <f t="shared" si="11"/>
        <v>9</v>
      </c>
    </row>
    <row r="234" spans="1:14" ht="15" customHeight="1" x14ac:dyDescent="0.25">
      <c r="A234" s="10">
        <v>233</v>
      </c>
      <c r="B234" s="10">
        <v>49</v>
      </c>
      <c r="C234" s="10">
        <v>8</v>
      </c>
      <c r="D234" s="10" t="s">
        <v>1060</v>
      </c>
      <c r="F234" s="10" t="s">
        <v>17</v>
      </c>
      <c r="G234" s="10" t="s">
        <v>40</v>
      </c>
      <c r="H234" s="19">
        <f>SUMIF(OrderItems!$B$2:$B$1254,A234,OrderItems!$G$2:$G$1254)</f>
        <v>4205.0569999999998</v>
      </c>
      <c r="I234" s="19">
        <f>SUMIF(OrderItems!$B$2:$B$1254,A234,OrderItems!$K$2:$K$1254)</f>
        <v>2540.84</v>
      </c>
      <c r="J234" s="19">
        <f t="shared" si="9"/>
        <v>1664.2169999999996</v>
      </c>
      <c r="K234" s="10" t="str">
        <f t="shared" si="10"/>
        <v>2023-04</v>
      </c>
      <c r="L234" s="10" t="str">
        <f>IFERROR(INDEX(Customers!$G$2:$G$61,MATCH(B234,Customers!$A$2:$A$61,0)),"")</f>
        <v>Corporate</v>
      </c>
      <c r="M234" s="10" t="str">
        <f>IFERROR(INDEX(Employees!$B$2:$B$37,MATCH(C234,Employees!$A$2:$A$37,0))&amp;" "&amp;INDEX(Employees!$C$2:$C$37,MATCH(C234,Employees!$A$2:$A$37,0)),"")</f>
        <v>John Gonzalez</v>
      </c>
      <c r="N234" s="10" t="str">
        <f t="shared" si="11"/>
        <v/>
      </c>
    </row>
    <row r="235" spans="1:14" ht="15" customHeight="1" x14ac:dyDescent="0.25">
      <c r="A235" s="10">
        <v>234</v>
      </c>
      <c r="B235" s="10">
        <v>44</v>
      </c>
      <c r="C235" s="10">
        <v>8</v>
      </c>
      <c r="D235" s="10" t="s">
        <v>1061</v>
      </c>
      <c r="E235" s="10" t="s">
        <v>1062</v>
      </c>
      <c r="F235" s="10" t="s">
        <v>14</v>
      </c>
      <c r="G235" s="10" t="s">
        <v>38</v>
      </c>
      <c r="H235" s="19">
        <f>SUMIF(OrderItems!$B$2:$B$1254,A235,OrderItems!$G$2:$G$1254)</f>
        <v>5984.9519999999993</v>
      </c>
      <c r="I235" s="19">
        <f>SUMIF(OrderItems!$B$2:$B$1254,A235,OrderItems!$K$2:$K$1254)</f>
        <v>3994.12</v>
      </c>
      <c r="J235" s="19">
        <f t="shared" si="9"/>
        <v>1990.8319999999994</v>
      </c>
      <c r="K235" s="10" t="str">
        <f t="shared" si="10"/>
        <v>2025-02</v>
      </c>
      <c r="L235" s="10" t="str">
        <f>IFERROR(INDEX(Customers!$G$2:$G$61,MATCH(B235,Customers!$A$2:$A$61,0)),"")</f>
        <v>Corporate</v>
      </c>
      <c r="M235" s="10" t="str">
        <f>IFERROR(INDEX(Employees!$B$2:$B$37,MATCH(C235,Employees!$A$2:$A$37,0))&amp;" "&amp;INDEX(Employees!$C$2:$C$37,MATCH(C235,Employees!$A$2:$A$37,0)),"")</f>
        <v>John Gonzalez</v>
      </c>
      <c r="N235" s="10">
        <f t="shared" si="11"/>
        <v>6</v>
      </c>
    </row>
    <row r="236" spans="1:14" ht="15" customHeight="1" x14ac:dyDescent="0.25">
      <c r="A236" s="10">
        <v>235</v>
      </c>
      <c r="B236" s="10">
        <v>55</v>
      </c>
      <c r="C236" s="10">
        <v>10</v>
      </c>
      <c r="D236" s="10" t="s">
        <v>1063</v>
      </c>
      <c r="E236" s="10" t="s">
        <v>1064</v>
      </c>
      <c r="F236" s="10" t="s">
        <v>15</v>
      </c>
      <c r="G236" s="10" t="s">
        <v>39</v>
      </c>
      <c r="H236" s="19">
        <f>SUMIF(OrderItems!$B$2:$B$1254,A236,OrderItems!$G$2:$G$1254)</f>
        <v>959.1880000000001</v>
      </c>
      <c r="I236" s="19">
        <f>SUMIF(OrderItems!$B$2:$B$1254,A236,OrderItems!$K$2:$K$1254)</f>
        <v>617.66</v>
      </c>
      <c r="J236" s="19">
        <f t="shared" si="9"/>
        <v>341.52800000000013</v>
      </c>
      <c r="K236" s="10" t="str">
        <f t="shared" si="10"/>
        <v>2024-07</v>
      </c>
      <c r="L236" s="10" t="str">
        <f>IFERROR(INDEX(Customers!$G$2:$G$61,MATCH(B236,Customers!$A$2:$A$61,0)),"")</f>
        <v>Consumer</v>
      </c>
      <c r="M236" s="10" t="str">
        <f>IFERROR(INDEX(Employees!$B$2:$B$37,MATCH(C236,Employees!$A$2:$A$37,0))&amp;" "&amp;INDEX(Employees!$C$2:$C$37,MATCH(C236,Employees!$A$2:$A$37,0)),"")</f>
        <v>John Moore</v>
      </c>
      <c r="N236" s="10">
        <f t="shared" si="11"/>
        <v>3</v>
      </c>
    </row>
    <row r="237" spans="1:14" ht="15" customHeight="1" x14ac:dyDescent="0.25">
      <c r="A237" s="10">
        <v>236</v>
      </c>
      <c r="B237" s="10">
        <v>55</v>
      </c>
      <c r="C237" s="10">
        <v>10</v>
      </c>
      <c r="D237" s="10" t="s">
        <v>1065</v>
      </c>
      <c r="E237" s="10" t="s">
        <v>903</v>
      </c>
      <c r="F237" s="10" t="s">
        <v>14</v>
      </c>
      <c r="G237" s="10" t="s">
        <v>40</v>
      </c>
      <c r="H237" s="19">
        <f>SUMIF(OrderItems!$B$2:$B$1254,A237,OrderItems!$G$2:$G$1254)</f>
        <v>2302.2964999999999</v>
      </c>
      <c r="I237" s="19">
        <f>SUMIF(OrderItems!$B$2:$B$1254,A237,OrderItems!$K$2:$K$1254)</f>
        <v>1545.32</v>
      </c>
      <c r="J237" s="19">
        <f t="shared" si="9"/>
        <v>756.97649999999999</v>
      </c>
      <c r="K237" s="10" t="str">
        <f t="shared" si="10"/>
        <v>2024-02</v>
      </c>
      <c r="L237" s="10" t="str">
        <f>IFERROR(INDEX(Customers!$G$2:$G$61,MATCH(B237,Customers!$A$2:$A$61,0)),"")</f>
        <v>Consumer</v>
      </c>
      <c r="M237" s="10" t="str">
        <f>IFERROR(INDEX(Employees!$B$2:$B$37,MATCH(C237,Employees!$A$2:$A$37,0))&amp;" "&amp;INDEX(Employees!$C$2:$C$37,MATCH(C237,Employees!$A$2:$A$37,0)),"")</f>
        <v>John Moore</v>
      </c>
      <c r="N237" s="10">
        <f t="shared" si="11"/>
        <v>3</v>
      </c>
    </row>
    <row r="238" spans="1:14" ht="15" customHeight="1" x14ac:dyDescent="0.25">
      <c r="A238" s="10">
        <v>237</v>
      </c>
      <c r="B238" s="10">
        <v>51</v>
      </c>
      <c r="C238" s="10">
        <v>10</v>
      </c>
      <c r="D238" s="10" t="s">
        <v>1066</v>
      </c>
      <c r="E238" s="10" t="s">
        <v>1067</v>
      </c>
      <c r="F238" s="10" t="s">
        <v>18</v>
      </c>
      <c r="G238" s="10" t="s">
        <v>39</v>
      </c>
      <c r="H238" s="19">
        <f>SUMIF(OrderItems!$B$2:$B$1254,A238,OrderItems!$G$2:$G$1254)</f>
        <v>741.93100000000004</v>
      </c>
      <c r="I238" s="19">
        <f>SUMIF(OrderItems!$B$2:$B$1254,A238,OrderItems!$K$2:$K$1254)</f>
        <v>471.68</v>
      </c>
      <c r="J238" s="19">
        <f t="shared" si="9"/>
        <v>270.25100000000003</v>
      </c>
      <c r="K238" s="10" t="str">
        <f t="shared" si="10"/>
        <v>2024-09</v>
      </c>
      <c r="L238" s="10" t="str">
        <f>IFERROR(INDEX(Customers!$G$2:$G$61,MATCH(B238,Customers!$A$2:$A$61,0)),"")</f>
        <v>Consumer</v>
      </c>
      <c r="M238" s="10" t="str">
        <f>IFERROR(INDEX(Employees!$B$2:$B$37,MATCH(C238,Employees!$A$2:$A$37,0))&amp;" "&amp;INDEX(Employees!$C$2:$C$37,MATCH(C238,Employees!$A$2:$A$37,0)),"")</f>
        <v>John Moore</v>
      </c>
      <c r="N238" s="10">
        <f t="shared" si="11"/>
        <v>9</v>
      </c>
    </row>
    <row r="239" spans="1:14" ht="15" customHeight="1" x14ac:dyDescent="0.25">
      <c r="A239" s="10">
        <v>238</v>
      </c>
      <c r="B239" s="10">
        <v>14</v>
      </c>
      <c r="C239" s="10">
        <v>9</v>
      </c>
      <c r="D239" s="10" t="s">
        <v>1068</v>
      </c>
      <c r="E239" s="10" t="s">
        <v>1069</v>
      </c>
      <c r="F239" s="10" t="s">
        <v>14</v>
      </c>
      <c r="G239" s="10" t="s">
        <v>38</v>
      </c>
      <c r="H239" s="19">
        <f>SUMIF(OrderItems!$B$2:$B$1254,A239,OrderItems!$G$2:$G$1254)</f>
        <v>6339.8000000000011</v>
      </c>
      <c r="I239" s="19">
        <f>SUMIF(OrderItems!$B$2:$B$1254,A239,OrderItems!$K$2:$K$1254)</f>
        <v>3089.6499999999996</v>
      </c>
      <c r="J239" s="19">
        <f t="shared" si="9"/>
        <v>3250.1500000000015</v>
      </c>
      <c r="K239" s="10" t="str">
        <f t="shared" si="10"/>
        <v>2025-09</v>
      </c>
      <c r="L239" s="10" t="str">
        <f>IFERROR(INDEX(Customers!$G$2:$G$61,MATCH(B239,Customers!$A$2:$A$61,0)),"")</f>
        <v>Small Business</v>
      </c>
      <c r="M239" s="10" t="str">
        <f>IFERROR(INDEX(Employees!$B$2:$B$37,MATCH(C239,Employees!$A$2:$A$37,0))&amp;" "&amp;INDEX(Employees!$C$2:$C$37,MATCH(C239,Employees!$A$2:$A$37,0)),"")</f>
        <v>William Johnson</v>
      </c>
      <c r="N239" s="10">
        <f t="shared" si="11"/>
        <v>8</v>
      </c>
    </row>
    <row r="240" spans="1:14" ht="15" customHeight="1" x14ac:dyDescent="0.25">
      <c r="A240" s="10">
        <v>239</v>
      </c>
      <c r="B240" s="10">
        <v>37</v>
      </c>
      <c r="C240" s="10">
        <v>8</v>
      </c>
      <c r="D240" s="10" t="s">
        <v>1070</v>
      </c>
      <c r="F240" s="10" t="s">
        <v>16</v>
      </c>
      <c r="G240" s="10" t="s">
        <v>38</v>
      </c>
      <c r="H240" s="19">
        <f>SUMIF(OrderItems!$B$2:$B$1254,A240,OrderItems!$G$2:$G$1254)</f>
        <v>5931.2535000000007</v>
      </c>
      <c r="I240" s="19">
        <f>SUMIF(OrderItems!$B$2:$B$1254,A240,OrderItems!$K$2:$K$1254)</f>
        <v>3459.21</v>
      </c>
      <c r="J240" s="19">
        <f t="shared" si="9"/>
        <v>2472.0435000000007</v>
      </c>
      <c r="K240" s="10" t="str">
        <f t="shared" si="10"/>
        <v>2024-08</v>
      </c>
      <c r="L240" s="10" t="str">
        <f>IFERROR(INDEX(Customers!$G$2:$G$61,MATCH(B240,Customers!$A$2:$A$61,0)),"")</f>
        <v>Corporate</v>
      </c>
      <c r="M240" s="10" t="str">
        <f>IFERROR(INDEX(Employees!$B$2:$B$37,MATCH(C240,Employees!$A$2:$A$37,0))&amp;" "&amp;INDEX(Employees!$C$2:$C$37,MATCH(C240,Employees!$A$2:$A$37,0)),"")</f>
        <v>John Gonzalez</v>
      </c>
      <c r="N240" s="10" t="str">
        <f t="shared" si="11"/>
        <v/>
      </c>
    </row>
    <row r="241" spans="1:14" ht="15" customHeight="1" x14ac:dyDescent="0.25">
      <c r="A241" s="10">
        <v>240</v>
      </c>
      <c r="B241" s="10">
        <v>11</v>
      </c>
      <c r="C241" s="10">
        <v>9</v>
      </c>
      <c r="D241" s="10" t="s">
        <v>1071</v>
      </c>
      <c r="F241" s="10" t="s">
        <v>16</v>
      </c>
      <c r="G241" s="10" t="s">
        <v>38</v>
      </c>
      <c r="H241" s="19">
        <f>SUMIF(OrderItems!$B$2:$B$1254,A241,OrderItems!$G$2:$G$1254)</f>
        <v>3556.6690000000003</v>
      </c>
      <c r="I241" s="19">
        <f>SUMIF(OrderItems!$B$2:$B$1254,A241,OrderItems!$K$2:$K$1254)</f>
        <v>2130.6000000000004</v>
      </c>
      <c r="J241" s="19">
        <f t="shared" si="9"/>
        <v>1426.069</v>
      </c>
      <c r="K241" s="10" t="str">
        <f t="shared" si="10"/>
        <v>2024-04</v>
      </c>
      <c r="L241" s="10" t="str">
        <f>IFERROR(INDEX(Customers!$G$2:$G$61,MATCH(B241,Customers!$A$2:$A$61,0)),"")</f>
        <v>Consumer</v>
      </c>
      <c r="M241" s="10" t="str">
        <f>IFERROR(INDEX(Employees!$B$2:$B$37,MATCH(C241,Employees!$A$2:$A$37,0))&amp;" "&amp;INDEX(Employees!$C$2:$C$37,MATCH(C241,Employees!$A$2:$A$37,0)),"")</f>
        <v>William Johnson</v>
      </c>
      <c r="N241" s="10" t="str">
        <f t="shared" si="11"/>
        <v/>
      </c>
    </row>
    <row r="242" spans="1:14" ht="15" customHeight="1" x14ac:dyDescent="0.25">
      <c r="A242" s="10">
        <v>241</v>
      </c>
      <c r="B242" s="10">
        <v>12</v>
      </c>
      <c r="C242" s="10">
        <v>1</v>
      </c>
      <c r="D242" s="10" t="s">
        <v>1072</v>
      </c>
      <c r="E242" s="10" t="s">
        <v>930</v>
      </c>
      <c r="F242" s="10" t="s">
        <v>14</v>
      </c>
      <c r="G242" s="10" t="s">
        <v>36</v>
      </c>
      <c r="H242" s="19">
        <f>SUMIF(OrderItems!$B$2:$B$1254,A242,OrderItems!$G$2:$G$1254)</f>
        <v>1323.3969999999999</v>
      </c>
      <c r="I242" s="19">
        <f>SUMIF(OrderItems!$B$2:$B$1254,A242,OrderItems!$K$2:$K$1254)</f>
        <v>770.36</v>
      </c>
      <c r="J242" s="19">
        <f t="shared" si="9"/>
        <v>553.03699999999992</v>
      </c>
      <c r="K242" s="10" t="str">
        <f t="shared" si="10"/>
        <v>2023-09</v>
      </c>
      <c r="L242" s="10" t="str">
        <f>IFERROR(INDEX(Customers!$G$2:$G$61,MATCH(B242,Customers!$A$2:$A$61,0)),"")</f>
        <v>Small Business</v>
      </c>
      <c r="M242" s="10" t="str">
        <f>IFERROR(INDEX(Employees!$B$2:$B$37,MATCH(C242,Employees!$A$2:$A$37,0))&amp;" "&amp;INDEX(Employees!$C$2:$C$37,MATCH(C242,Employees!$A$2:$A$37,0)),"")</f>
        <v>Daniel Brown</v>
      </c>
      <c r="N242" s="10">
        <f t="shared" si="11"/>
        <v>5</v>
      </c>
    </row>
    <row r="243" spans="1:14" ht="15" customHeight="1" x14ac:dyDescent="0.25">
      <c r="A243" s="10">
        <v>242</v>
      </c>
      <c r="B243" s="10">
        <v>2</v>
      </c>
      <c r="C243" s="10">
        <v>10</v>
      </c>
      <c r="D243" s="10" t="s">
        <v>876</v>
      </c>
      <c r="E243" s="10" t="s">
        <v>1073</v>
      </c>
      <c r="F243" s="10" t="s">
        <v>14</v>
      </c>
      <c r="G243" s="10" t="s">
        <v>38</v>
      </c>
      <c r="H243" s="19">
        <f>SUMIF(OrderItems!$B$2:$B$1254,A243,OrderItems!$G$2:$G$1254)</f>
        <v>7972.1149999999998</v>
      </c>
      <c r="I243" s="19">
        <f>SUMIF(OrderItems!$B$2:$B$1254,A243,OrderItems!$K$2:$K$1254)</f>
        <v>4951.95</v>
      </c>
      <c r="J243" s="19">
        <f t="shared" si="9"/>
        <v>3020.165</v>
      </c>
      <c r="K243" s="10" t="str">
        <f t="shared" si="10"/>
        <v>2025-12</v>
      </c>
      <c r="L243" s="10" t="str">
        <f>IFERROR(INDEX(Customers!$G$2:$G$61,MATCH(B243,Customers!$A$2:$A$61,0)),"")</f>
        <v>Corporate</v>
      </c>
      <c r="M243" s="10" t="str">
        <f>IFERROR(INDEX(Employees!$B$2:$B$37,MATCH(C243,Employees!$A$2:$A$37,0))&amp;" "&amp;INDEX(Employees!$C$2:$C$37,MATCH(C243,Employees!$A$2:$A$37,0)),"")</f>
        <v>John Moore</v>
      </c>
      <c r="N243" s="10">
        <f t="shared" si="11"/>
        <v>2</v>
      </c>
    </row>
    <row r="244" spans="1:14" ht="15" customHeight="1" x14ac:dyDescent="0.25">
      <c r="A244" s="10">
        <v>243</v>
      </c>
      <c r="B244" s="10">
        <v>56</v>
      </c>
      <c r="C244" s="10">
        <v>9</v>
      </c>
      <c r="D244" s="10" t="s">
        <v>1068</v>
      </c>
      <c r="E244" s="10" t="s">
        <v>1074</v>
      </c>
      <c r="F244" s="10" t="s">
        <v>15</v>
      </c>
      <c r="G244" s="10" t="s">
        <v>38</v>
      </c>
      <c r="H244" s="19">
        <f>SUMIF(OrderItems!$B$2:$B$1254,A244,OrderItems!$G$2:$G$1254)</f>
        <v>9216.3244999999988</v>
      </c>
      <c r="I244" s="19">
        <f>SUMIF(OrderItems!$B$2:$B$1254,A244,OrderItems!$K$2:$K$1254)</f>
        <v>5989.9800000000005</v>
      </c>
      <c r="J244" s="19">
        <f t="shared" si="9"/>
        <v>3226.3444999999983</v>
      </c>
      <c r="K244" s="10" t="str">
        <f t="shared" si="10"/>
        <v>2025-09</v>
      </c>
      <c r="L244" s="10" t="str">
        <f>IFERROR(INDEX(Customers!$G$2:$G$61,MATCH(B244,Customers!$A$2:$A$61,0)),"")</f>
        <v>Consumer</v>
      </c>
      <c r="M244" s="10" t="str">
        <f>IFERROR(INDEX(Employees!$B$2:$B$37,MATCH(C244,Employees!$A$2:$A$37,0))&amp;" "&amp;INDEX(Employees!$C$2:$C$37,MATCH(C244,Employees!$A$2:$A$37,0)),"")</f>
        <v>William Johnson</v>
      </c>
      <c r="N244" s="10">
        <f t="shared" si="11"/>
        <v>9</v>
      </c>
    </row>
    <row r="245" spans="1:14" ht="15" customHeight="1" x14ac:dyDescent="0.25">
      <c r="A245" s="10">
        <v>244</v>
      </c>
      <c r="B245" s="10">
        <v>52</v>
      </c>
      <c r="C245" s="10">
        <v>1</v>
      </c>
      <c r="D245" s="10" t="s">
        <v>1075</v>
      </c>
      <c r="E245" s="10" t="s">
        <v>1076</v>
      </c>
      <c r="F245" s="10" t="s">
        <v>18</v>
      </c>
      <c r="G245" s="10" t="s">
        <v>40</v>
      </c>
      <c r="H245" s="19">
        <f>SUMIF(OrderItems!$B$2:$B$1254,A245,OrderItems!$G$2:$G$1254)</f>
        <v>1773.0624999999998</v>
      </c>
      <c r="I245" s="19">
        <f>SUMIF(OrderItems!$B$2:$B$1254,A245,OrderItems!$K$2:$K$1254)</f>
        <v>921.31000000000006</v>
      </c>
      <c r="J245" s="19">
        <f t="shared" si="9"/>
        <v>851.75249999999971</v>
      </c>
      <c r="K245" s="10" t="str">
        <f t="shared" si="10"/>
        <v>2025-06</v>
      </c>
      <c r="L245" s="10" t="str">
        <f>IFERROR(INDEX(Customers!$G$2:$G$61,MATCH(B245,Customers!$A$2:$A$61,0)),"")</f>
        <v>Corporate</v>
      </c>
      <c r="M245" s="10" t="str">
        <f>IFERROR(INDEX(Employees!$B$2:$B$37,MATCH(C245,Employees!$A$2:$A$37,0))&amp;" "&amp;INDEX(Employees!$C$2:$C$37,MATCH(C245,Employees!$A$2:$A$37,0)),"")</f>
        <v>Daniel Brown</v>
      </c>
      <c r="N245" s="10">
        <f t="shared" si="11"/>
        <v>6</v>
      </c>
    </row>
    <row r="246" spans="1:14" ht="15" customHeight="1" x14ac:dyDescent="0.25">
      <c r="A246" s="10">
        <v>245</v>
      </c>
      <c r="B246" s="10">
        <v>45</v>
      </c>
      <c r="C246" s="10">
        <v>10</v>
      </c>
      <c r="D246" s="10" t="s">
        <v>1077</v>
      </c>
      <c r="E246" s="10" t="s">
        <v>1078</v>
      </c>
      <c r="F246" s="10" t="s">
        <v>18</v>
      </c>
      <c r="G246" s="10" t="s">
        <v>40</v>
      </c>
      <c r="H246" s="19">
        <f>SUMIF(OrderItems!$B$2:$B$1254,A246,OrderItems!$G$2:$G$1254)</f>
        <v>5872.7534999999989</v>
      </c>
      <c r="I246" s="19">
        <f>SUMIF(OrderItems!$B$2:$B$1254,A246,OrderItems!$K$2:$K$1254)</f>
        <v>3466.9100000000003</v>
      </c>
      <c r="J246" s="19">
        <f t="shared" si="9"/>
        <v>2405.8434999999986</v>
      </c>
      <c r="K246" s="10" t="str">
        <f t="shared" si="10"/>
        <v>2025-09</v>
      </c>
      <c r="L246" s="10" t="str">
        <f>IFERROR(INDEX(Customers!$G$2:$G$61,MATCH(B246,Customers!$A$2:$A$61,0)),"")</f>
        <v>Consumer</v>
      </c>
      <c r="M246" s="10" t="str">
        <f>IFERROR(INDEX(Employees!$B$2:$B$37,MATCH(C246,Employees!$A$2:$A$37,0))&amp;" "&amp;INDEX(Employees!$C$2:$C$37,MATCH(C246,Employees!$A$2:$A$37,0)),"")</f>
        <v>John Moore</v>
      </c>
      <c r="N246" s="10">
        <f t="shared" si="11"/>
        <v>1</v>
      </c>
    </row>
    <row r="247" spans="1:14" ht="15" customHeight="1" x14ac:dyDescent="0.25">
      <c r="A247" s="10">
        <v>246</v>
      </c>
      <c r="B247" s="10">
        <v>11</v>
      </c>
      <c r="C247" s="10">
        <v>10</v>
      </c>
      <c r="D247" s="10" t="s">
        <v>762</v>
      </c>
      <c r="E247" s="10" t="s">
        <v>1079</v>
      </c>
      <c r="F247" s="10" t="s">
        <v>14</v>
      </c>
      <c r="G247" s="10" t="s">
        <v>36</v>
      </c>
      <c r="H247" s="19">
        <f>SUMIF(OrderItems!$B$2:$B$1254,A247,OrderItems!$G$2:$G$1254)</f>
        <v>5886.3360000000002</v>
      </c>
      <c r="I247" s="19">
        <f>SUMIF(OrderItems!$B$2:$B$1254,A247,OrderItems!$K$2:$K$1254)</f>
        <v>3566.1000000000004</v>
      </c>
      <c r="J247" s="19">
        <f t="shared" si="9"/>
        <v>2320.2359999999999</v>
      </c>
      <c r="K247" s="10" t="str">
        <f t="shared" si="10"/>
        <v>2025-02</v>
      </c>
      <c r="L247" s="10" t="str">
        <f>IFERROR(INDEX(Customers!$G$2:$G$61,MATCH(B247,Customers!$A$2:$A$61,0)),"")</f>
        <v>Consumer</v>
      </c>
      <c r="M247" s="10" t="str">
        <f>IFERROR(INDEX(Employees!$B$2:$B$37,MATCH(C247,Employees!$A$2:$A$37,0))&amp;" "&amp;INDEX(Employees!$C$2:$C$37,MATCH(C247,Employees!$A$2:$A$37,0)),"")</f>
        <v>John Moore</v>
      </c>
      <c r="N247" s="10">
        <f t="shared" si="11"/>
        <v>5</v>
      </c>
    </row>
    <row r="248" spans="1:14" ht="15" customHeight="1" x14ac:dyDescent="0.25">
      <c r="A248" s="10">
        <v>247</v>
      </c>
      <c r="B248" s="10">
        <v>12</v>
      </c>
      <c r="C248" s="10">
        <v>8</v>
      </c>
      <c r="D248" s="10" t="s">
        <v>1080</v>
      </c>
      <c r="E248" s="10" t="s">
        <v>1081</v>
      </c>
      <c r="F248" s="10" t="s">
        <v>14</v>
      </c>
      <c r="G248" s="10" t="s">
        <v>39</v>
      </c>
      <c r="H248" s="19">
        <f>SUMIF(OrderItems!$B$2:$B$1254,A248,OrderItems!$G$2:$G$1254)</f>
        <v>1198.5050000000001</v>
      </c>
      <c r="I248" s="19">
        <f>SUMIF(OrderItems!$B$2:$B$1254,A248,OrderItems!$K$2:$K$1254)</f>
        <v>797.67000000000007</v>
      </c>
      <c r="J248" s="19">
        <f t="shared" si="9"/>
        <v>400.83500000000004</v>
      </c>
      <c r="K248" s="10" t="str">
        <f t="shared" si="10"/>
        <v>2024-08</v>
      </c>
      <c r="L248" s="10" t="str">
        <f>IFERROR(INDEX(Customers!$G$2:$G$61,MATCH(B248,Customers!$A$2:$A$61,0)),"")</f>
        <v>Small Business</v>
      </c>
      <c r="M248" s="10" t="str">
        <f>IFERROR(INDEX(Employees!$B$2:$B$37,MATCH(C248,Employees!$A$2:$A$37,0))&amp;" "&amp;INDEX(Employees!$C$2:$C$37,MATCH(C248,Employees!$A$2:$A$37,0)),"")</f>
        <v>John Gonzalez</v>
      </c>
      <c r="N248" s="10">
        <f t="shared" si="11"/>
        <v>8</v>
      </c>
    </row>
    <row r="249" spans="1:14" ht="15" customHeight="1" x14ac:dyDescent="0.25">
      <c r="A249" s="10">
        <v>248</v>
      </c>
      <c r="B249" s="10">
        <v>18</v>
      </c>
      <c r="C249" s="10">
        <v>8</v>
      </c>
      <c r="D249" s="10" t="s">
        <v>892</v>
      </c>
      <c r="E249" s="10" t="s">
        <v>1082</v>
      </c>
      <c r="F249" s="10" t="s">
        <v>14</v>
      </c>
      <c r="G249" s="10" t="s">
        <v>36</v>
      </c>
      <c r="H249" s="19">
        <f>SUMIF(OrderItems!$B$2:$B$1254,A249,OrderItems!$G$2:$G$1254)</f>
        <v>3003.0299999999997</v>
      </c>
      <c r="I249" s="19">
        <f>SUMIF(OrderItems!$B$2:$B$1254,A249,OrderItems!$K$2:$K$1254)</f>
        <v>1517.18</v>
      </c>
      <c r="J249" s="19">
        <f t="shared" si="9"/>
        <v>1485.8499999999997</v>
      </c>
      <c r="K249" s="10" t="str">
        <f t="shared" si="10"/>
        <v>2025-06</v>
      </c>
      <c r="L249" s="10" t="str">
        <f>IFERROR(INDEX(Customers!$G$2:$G$61,MATCH(B249,Customers!$A$2:$A$61,0)),"")</f>
        <v>Small Business</v>
      </c>
      <c r="M249" s="10" t="str">
        <f>IFERROR(INDEX(Employees!$B$2:$B$37,MATCH(C249,Employees!$A$2:$A$37,0))&amp;" "&amp;INDEX(Employees!$C$2:$C$37,MATCH(C249,Employees!$A$2:$A$37,0)),"")</f>
        <v>John Gonzalez</v>
      </c>
      <c r="N249" s="10">
        <f t="shared" si="11"/>
        <v>4</v>
      </c>
    </row>
    <row r="250" spans="1:14" ht="15" customHeight="1" x14ac:dyDescent="0.25">
      <c r="A250" s="10">
        <v>249</v>
      </c>
      <c r="B250" s="10">
        <v>30</v>
      </c>
      <c r="C250" s="10">
        <v>1</v>
      </c>
      <c r="D250" s="10" t="s">
        <v>1083</v>
      </c>
      <c r="E250" s="10" t="s">
        <v>1018</v>
      </c>
      <c r="F250" s="10" t="s">
        <v>14</v>
      </c>
      <c r="G250" s="10" t="s">
        <v>36</v>
      </c>
      <c r="H250" s="19">
        <f>SUMIF(OrderItems!$B$2:$B$1254,A250,OrderItems!$G$2:$G$1254)</f>
        <v>5570.1620000000003</v>
      </c>
      <c r="I250" s="19">
        <f>SUMIF(OrderItems!$B$2:$B$1254,A250,OrderItems!$K$2:$K$1254)</f>
        <v>3373.92</v>
      </c>
      <c r="J250" s="19">
        <f t="shared" si="9"/>
        <v>2196.2420000000002</v>
      </c>
      <c r="K250" s="10" t="str">
        <f t="shared" si="10"/>
        <v>2024-11</v>
      </c>
      <c r="L250" s="10" t="str">
        <f>IFERROR(INDEX(Customers!$G$2:$G$61,MATCH(B250,Customers!$A$2:$A$61,0)),"")</f>
        <v>Consumer</v>
      </c>
      <c r="M250" s="10" t="str">
        <f>IFERROR(INDEX(Employees!$B$2:$B$37,MATCH(C250,Employees!$A$2:$A$37,0))&amp;" "&amp;INDEX(Employees!$C$2:$C$37,MATCH(C250,Employees!$A$2:$A$37,0)),"")</f>
        <v>Daniel Brown</v>
      </c>
      <c r="N250" s="10">
        <f t="shared" si="11"/>
        <v>3</v>
      </c>
    </row>
    <row r="251" spans="1:14" ht="15" customHeight="1" x14ac:dyDescent="0.25">
      <c r="A251" s="10">
        <v>250</v>
      </c>
      <c r="B251" s="10">
        <v>8</v>
      </c>
      <c r="C251" s="10">
        <v>8</v>
      </c>
      <c r="D251" s="10" t="s">
        <v>886</v>
      </c>
      <c r="E251" s="10" t="s">
        <v>1084</v>
      </c>
      <c r="F251" s="10" t="s">
        <v>15</v>
      </c>
      <c r="G251" s="10" t="s">
        <v>36</v>
      </c>
      <c r="H251" s="19">
        <f>SUMIF(OrderItems!$B$2:$B$1254,A251,OrderItems!$G$2:$G$1254)</f>
        <v>1621.7280000000001</v>
      </c>
      <c r="I251" s="19">
        <f>SUMIF(OrderItems!$B$2:$B$1254,A251,OrderItems!$K$2:$K$1254)</f>
        <v>833.54</v>
      </c>
      <c r="J251" s="19">
        <f t="shared" si="9"/>
        <v>788.1880000000001</v>
      </c>
      <c r="K251" s="10" t="str">
        <f t="shared" si="10"/>
        <v>2025-02</v>
      </c>
      <c r="L251" s="10" t="str">
        <f>IFERROR(INDEX(Customers!$G$2:$G$61,MATCH(B251,Customers!$A$2:$A$61,0)),"")</f>
        <v>Consumer</v>
      </c>
      <c r="M251" s="10" t="str">
        <f>IFERROR(INDEX(Employees!$B$2:$B$37,MATCH(C251,Employees!$A$2:$A$37,0))&amp;" "&amp;INDEX(Employees!$C$2:$C$37,MATCH(C251,Employees!$A$2:$A$37,0)),"")</f>
        <v>John Gonzalez</v>
      </c>
      <c r="N251" s="10">
        <f t="shared" si="11"/>
        <v>4</v>
      </c>
    </row>
    <row r="252" spans="1:14" ht="15" customHeight="1" x14ac:dyDescent="0.25">
      <c r="A252" s="10">
        <v>251</v>
      </c>
      <c r="B252" s="10">
        <v>41</v>
      </c>
      <c r="C252" s="10">
        <v>1</v>
      </c>
      <c r="D252" s="10" t="s">
        <v>1085</v>
      </c>
      <c r="E252" s="10" t="s">
        <v>1086</v>
      </c>
      <c r="F252" s="10" t="s">
        <v>14</v>
      </c>
      <c r="G252" s="10" t="s">
        <v>40</v>
      </c>
      <c r="H252" s="19">
        <f>SUMIF(OrderItems!$B$2:$B$1254,A252,OrderItems!$G$2:$G$1254)</f>
        <v>2433.174</v>
      </c>
      <c r="I252" s="19">
        <f>SUMIF(OrderItems!$B$2:$B$1254,A252,OrderItems!$K$2:$K$1254)</f>
        <v>1390.78</v>
      </c>
      <c r="J252" s="19">
        <f t="shared" si="9"/>
        <v>1042.394</v>
      </c>
      <c r="K252" s="10" t="str">
        <f t="shared" si="10"/>
        <v>2025-12</v>
      </c>
      <c r="L252" s="10" t="str">
        <f>IFERROR(INDEX(Customers!$G$2:$G$61,MATCH(B252,Customers!$A$2:$A$61,0)),"")</f>
        <v>Small Business</v>
      </c>
      <c r="M252" s="10" t="str">
        <f>IFERROR(INDEX(Employees!$B$2:$B$37,MATCH(C252,Employees!$A$2:$A$37,0))&amp;" "&amp;INDEX(Employees!$C$2:$C$37,MATCH(C252,Employees!$A$2:$A$37,0)),"")</f>
        <v>Daniel Brown</v>
      </c>
      <c r="N252" s="10">
        <f t="shared" si="11"/>
        <v>5</v>
      </c>
    </row>
    <row r="253" spans="1:14" ht="15" customHeight="1" x14ac:dyDescent="0.25">
      <c r="A253" s="10">
        <v>252</v>
      </c>
      <c r="B253" s="10">
        <v>51</v>
      </c>
      <c r="C253" s="10">
        <v>9</v>
      </c>
      <c r="D253" s="10" t="s">
        <v>1087</v>
      </c>
      <c r="F253" s="10" t="s">
        <v>17</v>
      </c>
      <c r="G253" s="10" t="s">
        <v>37</v>
      </c>
      <c r="H253" s="19">
        <f>SUMIF(OrderItems!$B$2:$B$1254,A253,OrderItems!$G$2:$G$1254)</f>
        <v>1875.4400000000003</v>
      </c>
      <c r="I253" s="19">
        <f>SUMIF(OrderItems!$B$2:$B$1254,A253,OrderItems!$K$2:$K$1254)</f>
        <v>1617.6</v>
      </c>
      <c r="J253" s="19">
        <f t="shared" si="9"/>
        <v>257.84000000000037</v>
      </c>
      <c r="K253" s="10" t="str">
        <f t="shared" si="10"/>
        <v>2023-09</v>
      </c>
      <c r="L253" s="10" t="str">
        <f>IFERROR(INDEX(Customers!$G$2:$G$61,MATCH(B253,Customers!$A$2:$A$61,0)),"")</f>
        <v>Consumer</v>
      </c>
      <c r="M253" s="10" t="str">
        <f>IFERROR(INDEX(Employees!$B$2:$B$37,MATCH(C253,Employees!$A$2:$A$37,0))&amp;" "&amp;INDEX(Employees!$C$2:$C$37,MATCH(C253,Employees!$A$2:$A$37,0)),"")</f>
        <v>William Johnson</v>
      </c>
      <c r="N253" s="10" t="str">
        <f t="shared" si="11"/>
        <v/>
      </c>
    </row>
    <row r="254" spans="1:14" ht="15" customHeight="1" x14ac:dyDescent="0.25">
      <c r="A254" s="10">
        <v>253</v>
      </c>
      <c r="B254" s="10">
        <v>45</v>
      </c>
      <c r="C254" s="10">
        <v>10</v>
      </c>
      <c r="D254" s="10" t="s">
        <v>1088</v>
      </c>
      <c r="F254" s="10" t="s">
        <v>16</v>
      </c>
      <c r="G254" s="10" t="s">
        <v>36</v>
      </c>
      <c r="H254" s="19">
        <f>SUMIF(OrderItems!$B$2:$B$1254,A254,OrderItems!$G$2:$G$1254)</f>
        <v>3262.12</v>
      </c>
      <c r="I254" s="19">
        <f>SUMIF(OrderItems!$B$2:$B$1254,A254,OrderItems!$K$2:$K$1254)</f>
        <v>1700.86</v>
      </c>
      <c r="J254" s="19">
        <f t="shared" si="9"/>
        <v>1561.26</v>
      </c>
      <c r="K254" s="10" t="str">
        <f t="shared" si="10"/>
        <v>2023-11</v>
      </c>
      <c r="L254" s="10" t="str">
        <f>IFERROR(INDEX(Customers!$G$2:$G$61,MATCH(B254,Customers!$A$2:$A$61,0)),"")</f>
        <v>Consumer</v>
      </c>
      <c r="M254" s="10" t="str">
        <f>IFERROR(INDEX(Employees!$B$2:$B$37,MATCH(C254,Employees!$A$2:$A$37,0))&amp;" "&amp;INDEX(Employees!$C$2:$C$37,MATCH(C254,Employees!$A$2:$A$37,0)),"")</f>
        <v>John Moore</v>
      </c>
      <c r="N254" s="10" t="str">
        <f t="shared" si="11"/>
        <v/>
      </c>
    </row>
    <row r="255" spans="1:14" ht="15" customHeight="1" x14ac:dyDescent="0.25">
      <c r="A255" s="10">
        <v>254</v>
      </c>
      <c r="B255" s="10">
        <v>42</v>
      </c>
      <c r="C255" s="10">
        <v>8</v>
      </c>
      <c r="D255" s="10" t="s">
        <v>1007</v>
      </c>
      <c r="E255" s="10" t="s">
        <v>1089</v>
      </c>
      <c r="F255" s="10" t="s">
        <v>14</v>
      </c>
      <c r="G255" s="10" t="s">
        <v>37</v>
      </c>
      <c r="H255" s="19">
        <f>SUMIF(OrderItems!$B$2:$B$1254,A255,OrderItems!$G$2:$G$1254)</f>
        <v>3624.1720000000005</v>
      </c>
      <c r="I255" s="19">
        <f>SUMIF(OrderItems!$B$2:$B$1254,A255,OrderItems!$K$2:$K$1254)</f>
        <v>2207.2600000000002</v>
      </c>
      <c r="J255" s="19">
        <f t="shared" si="9"/>
        <v>1416.9120000000003</v>
      </c>
      <c r="K255" s="10" t="str">
        <f t="shared" si="10"/>
        <v>2023-08</v>
      </c>
      <c r="L255" s="10" t="str">
        <f>IFERROR(INDEX(Customers!$G$2:$G$61,MATCH(B255,Customers!$A$2:$A$61,0)),"")</f>
        <v>Small Business</v>
      </c>
      <c r="M255" s="10" t="str">
        <f>IFERROR(INDEX(Employees!$B$2:$B$37,MATCH(C255,Employees!$A$2:$A$37,0))&amp;" "&amp;INDEX(Employees!$C$2:$C$37,MATCH(C255,Employees!$A$2:$A$37,0)),"")</f>
        <v>John Gonzalez</v>
      </c>
      <c r="N255" s="10">
        <f t="shared" si="11"/>
        <v>8</v>
      </c>
    </row>
    <row r="256" spans="1:14" ht="15" customHeight="1" x14ac:dyDescent="0.25">
      <c r="A256" s="10">
        <v>255</v>
      </c>
      <c r="B256" s="10">
        <v>23</v>
      </c>
      <c r="C256" s="10">
        <v>8</v>
      </c>
      <c r="D256" s="10" t="s">
        <v>1090</v>
      </c>
      <c r="E256" s="10" t="s">
        <v>1091</v>
      </c>
      <c r="F256" s="10" t="s">
        <v>14</v>
      </c>
      <c r="G256" s="10" t="s">
        <v>40</v>
      </c>
      <c r="H256" s="19">
        <f>SUMIF(OrderItems!$B$2:$B$1254,A256,OrderItems!$G$2:$G$1254)</f>
        <v>5911.6450000000004</v>
      </c>
      <c r="I256" s="19">
        <f>SUMIF(OrderItems!$B$2:$B$1254,A256,OrderItems!$K$2:$K$1254)</f>
        <v>3601.9399999999996</v>
      </c>
      <c r="J256" s="19">
        <f t="shared" si="9"/>
        <v>2309.7050000000008</v>
      </c>
      <c r="K256" s="10" t="str">
        <f t="shared" si="10"/>
        <v>2024-05</v>
      </c>
      <c r="L256" s="10" t="str">
        <f>IFERROR(INDEX(Customers!$G$2:$G$61,MATCH(B256,Customers!$A$2:$A$61,0)),"")</f>
        <v>Small Business</v>
      </c>
      <c r="M256" s="10" t="str">
        <f>IFERROR(INDEX(Employees!$B$2:$B$37,MATCH(C256,Employees!$A$2:$A$37,0))&amp;" "&amp;INDEX(Employees!$C$2:$C$37,MATCH(C256,Employees!$A$2:$A$37,0)),"")</f>
        <v>John Gonzalez</v>
      </c>
      <c r="N256" s="10">
        <f t="shared" si="11"/>
        <v>8</v>
      </c>
    </row>
    <row r="257" spans="1:14" ht="15" customHeight="1" x14ac:dyDescent="0.25">
      <c r="A257" s="10">
        <v>256</v>
      </c>
      <c r="B257" s="10">
        <v>5</v>
      </c>
      <c r="C257" s="10">
        <v>8</v>
      </c>
      <c r="D257" s="10" t="s">
        <v>850</v>
      </c>
      <c r="E257" s="10" t="s">
        <v>781</v>
      </c>
      <c r="F257" s="10" t="s">
        <v>18</v>
      </c>
      <c r="G257" s="10" t="s">
        <v>39</v>
      </c>
      <c r="H257" s="19">
        <f>SUMIF(OrderItems!$B$2:$B$1254,A257,OrderItems!$G$2:$G$1254)</f>
        <v>4241.1900000000005</v>
      </c>
      <c r="I257" s="19">
        <f>SUMIF(OrderItems!$B$2:$B$1254,A257,OrderItems!$K$2:$K$1254)</f>
        <v>2866.25</v>
      </c>
      <c r="J257" s="19">
        <f t="shared" si="9"/>
        <v>1374.9400000000005</v>
      </c>
      <c r="K257" s="10" t="str">
        <f t="shared" si="10"/>
        <v>2025-07</v>
      </c>
      <c r="L257" s="10" t="str">
        <f>IFERROR(INDEX(Customers!$G$2:$G$61,MATCH(B257,Customers!$A$2:$A$61,0)),"")</f>
        <v>Consumer</v>
      </c>
      <c r="M257" s="10" t="str">
        <f>IFERROR(INDEX(Employees!$B$2:$B$37,MATCH(C257,Employees!$A$2:$A$37,0))&amp;" "&amp;INDEX(Employees!$C$2:$C$37,MATCH(C257,Employees!$A$2:$A$37,0)),"")</f>
        <v>John Gonzalez</v>
      </c>
      <c r="N257" s="10">
        <f t="shared" si="11"/>
        <v>5</v>
      </c>
    </row>
    <row r="258" spans="1:14" ht="15" customHeight="1" x14ac:dyDescent="0.25">
      <c r="A258" s="10">
        <v>257</v>
      </c>
      <c r="B258" s="10">
        <v>21</v>
      </c>
      <c r="C258" s="10">
        <v>1</v>
      </c>
      <c r="D258" s="10" t="s">
        <v>887</v>
      </c>
      <c r="E258" s="10" t="s">
        <v>1037</v>
      </c>
      <c r="F258" s="10" t="s">
        <v>14</v>
      </c>
      <c r="G258" s="10" t="s">
        <v>40</v>
      </c>
      <c r="H258" s="19">
        <f>SUMIF(OrderItems!$B$2:$B$1254,A258,OrderItems!$G$2:$G$1254)</f>
        <v>4732.5560000000005</v>
      </c>
      <c r="I258" s="19">
        <f>SUMIF(OrderItems!$B$2:$B$1254,A258,OrderItems!$K$2:$K$1254)</f>
        <v>2709.15</v>
      </c>
      <c r="J258" s="19">
        <f t="shared" ref="J258:J321" si="12">H258-I258</f>
        <v>2023.4060000000004</v>
      </c>
      <c r="K258" s="10" t="str">
        <f t="shared" ref="K258:K321" si="13">IF(D258="","",TEXT(D258,"YYYY-MM"))</f>
        <v>2025-03</v>
      </c>
      <c r="L258" s="10" t="str">
        <f>IFERROR(INDEX(Customers!$G$2:$G$61,MATCH(B258,Customers!$A$2:$A$61,0)),"")</f>
        <v>Corporate</v>
      </c>
      <c r="M258" s="10" t="str">
        <f>IFERROR(INDEX(Employees!$B$2:$B$37,MATCH(C258,Employees!$A$2:$A$37,0))&amp;" "&amp;INDEX(Employees!$C$2:$C$37,MATCH(C258,Employees!$A$2:$A$37,0)),"")</f>
        <v>Daniel Brown</v>
      </c>
      <c r="N258" s="10">
        <f t="shared" ref="N258:N321" si="14">IF(E258="","",E258-D258)</f>
        <v>9</v>
      </c>
    </row>
    <row r="259" spans="1:14" ht="15" customHeight="1" x14ac:dyDescent="0.25">
      <c r="A259" s="10">
        <v>258</v>
      </c>
      <c r="B259" s="10">
        <v>13</v>
      </c>
      <c r="C259" s="10">
        <v>1</v>
      </c>
      <c r="D259" s="10" t="s">
        <v>1092</v>
      </c>
      <c r="F259" s="10" t="s">
        <v>17</v>
      </c>
      <c r="G259" s="10" t="s">
        <v>40</v>
      </c>
      <c r="H259" s="19">
        <f>SUMIF(OrderItems!$B$2:$B$1254,A259,OrderItems!$G$2:$G$1254)</f>
        <v>5401.1190000000006</v>
      </c>
      <c r="I259" s="19">
        <f>SUMIF(OrderItems!$B$2:$B$1254,A259,OrderItems!$K$2:$K$1254)</f>
        <v>3440.9</v>
      </c>
      <c r="J259" s="19">
        <f t="shared" si="12"/>
        <v>1960.2190000000005</v>
      </c>
      <c r="K259" s="10" t="str">
        <f t="shared" si="13"/>
        <v>2023-03</v>
      </c>
      <c r="L259" s="10" t="str">
        <f>IFERROR(INDEX(Customers!$G$2:$G$61,MATCH(B259,Customers!$A$2:$A$61,0)),"")</f>
        <v>Small Business</v>
      </c>
      <c r="M259" s="10" t="str">
        <f>IFERROR(INDEX(Employees!$B$2:$B$37,MATCH(C259,Employees!$A$2:$A$37,0))&amp;" "&amp;INDEX(Employees!$C$2:$C$37,MATCH(C259,Employees!$A$2:$A$37,0)),"")</f>
        <v>Daniel Brown</v>
      </c>
      <c r="N259" s="10" t="str">
        <f t="shared" si="14"/>
        <v/>
      </c>
    </row>
    <row r="260" spans="1:14" ht="15" customHeight="1" x14ac:dyDescent="0.25">
      <c r="A260" s="10">
        <v>259</v>
      </c>
      <c r="B260" s="10">
        <v>6</v>
      </c>
      <c r="C260" s="10">
        <v>10</v>
      </c>
      <c r="D260" s="10" t="s">
        <v>1093</v>
      </c>
      <c r="F260" s="10" t="s">
        <v>16</v>
      </c>
      <c r="G260" s="10" t="s">
        <v>39</v>
      </c>
      <c r="H260" s="19">
        <f>SUMIF(OrderItems!$B$2:$B$1254,A260,OrderItems!$G$2:$G$1254)</f>
        <v>3594.3695000000002</v>
      </c>
      <c r="I260" s="19">
        <f>SUMIF(OrderItems!$B$2:$B$1254,A260,OrderItems!$K$2:$K$1254)</f>
        <v>2069.77</v>
      </c>
      <c r="J260" s="19">
        <f t="shared" si="12"/>
        <v>1524.5995000000003</v>
      </c>
      <c r="K260" s="10" t="str">
        <f t="shared" si="13"/>
        <v>2023-05</v>
      </c>
      <c r="L260" s="10" t="str">
        <f>IFERROR(INDEX(Customers!$G$2:$G$61,MATCH(B260,Customers!$A$2:$A$61,0)),"")</f>
        <v>Consumer</v>
      </c>
      <c r="M260" s="10" t="str">
        <f>IFERROR(INDEX(Employees!$B$2:$B$37,MATCH(C260,Employees!$A$2:$A$37,0))&amp;" "&amp;INDEX(Employees!$C$2:$C$37,MATCH(C260,Employees!$A$2:$A$37,0)),"")</f>
        <v>John Moore</v>
      </c>
      <c r="N260" s="10" t="str">
        <f t="shared" si="14"/>
        <v/>
      </c>
    </row>
    <row r="261" spans="1:14" ht="15" customHeight="1" x14ac:dyDescent="0.25">
      <c r="A261" s="10">
        <v>260</v>
      </c>
      <c r="B261" s="10">
        <v>7</v>
      </c>
      <c r="C261" s="10">
        <v>8</v>
      </c>
      <c r="D261" s="10" t="s">
        <v>1094</v>
      </c>
      <c r="F261" s="10" t="s">
        <v>17</v>
      </c>
      <c r="G261" s="10" t="s">
        <v>37</v>
      </c>
      <c r="H261" s="19">
        <f>SUMIF(OrderItems!$B$2:$B$1254,A261,OrderItems!$G$2:$G$1254)</f>
        <v>1691.3430000000001</v>
      </c>
      <c r="I261" s="19">
        <f>SUMIF(OrderItems!$B$2:$B$1254,A261,OrderItems!$K$2:$K$1254)</f>
        <v>1209.94</v>
      </c>
      <c r="J261" s="19">
        <f t="shared" si="12"/>
        <v>481.40300000000002</v>
      </c>
      <c r="K261" s="10" t="str">
        <f t="shared" si="13"/>
        <v>2025-12</v>
      </c>
      <c r="L261" s="10" t="str">
        <f>IFERROR(INDEX(Customers!$G$2:$G$61,MATCH(B261,Customers!$A$2:$A$61,0)),"")</f>
        <v>Small Business</v>
      </c>
      <c r="M261" s="10" t="str">
        <f>IFERROR(INDEX(Employees!$B$2:$B$37,MATCH(C261,Employees!$A$2:$A$37,0))&amp;" "&amp;INDEX(Employees!$C$2:$C$37,MATCH(C261,Employees!$A$2:$A$37,0)),"")</f>
        <v>John Gonzalez</v>
      </c>
      <c r="N261" s="10" t="str">
        <f t="shared" si="14"/>
        <v/>
      </c>
    </row>
    <row r="262" spans="1:14" ht="15" customHeight="1" x14ac:dyDescent="0.25">
      <c r="A262" s="10">
        <v>261</v>
      </c>
      <c r="B262" s="10">
        <v>48</v>
      </c>
      <c r="C262" s="10">
        <v>10</v>
      </c>
      <c r="D262" s="10" t="s">
        <v>971</v>
      </c>
      <c r="F262" s="10" t="s">
        <v>16</v>
      </c>
      <c r="G262" s="10" t="s">
        <v>40</v>
      </c>
      <c r="H262" s="19">
        <f>SUMIF(OrderItems!$B$2:$B$1254,A262,OrderItems!$G$2:$G$1254)</f>
        <v>6016.2209999999995</v>
      </c>
      <c r="I262" s="19">
        <f>SUMIF(OrderItems!$B$2:$B$1254,A262,OrderItems!$K$2:$K$1254)</f>
        <v>4203.6399999999994</v>
      </c>
      <c r="J262" s="19">
        <f t="shared" si="12"/>
        <v>1812.5810000000001</v>
      </c>
      <c r="K262" s="10" t="str">
        <f t="shared" si="13"/>
        <v>2023-08</v>
      </c>
      <c r="L262" s="10" t="str">
        <f>IFERROR(INDEX(Customers!$G$2:$G$61,MATCH(B262,Customers!$A$2:$A$61,0)),"")</f>
        <v>Corporate</v>
      </c>
      <c r="M262" s="10" t="str">
        <f>IFERROR(INDEX(Employees!$B$2:$B$37,MATCH(C262,Employees!$A$2:$A$37,0))&amp;" "&amp;INDEX(Employees!$C$2:$C$37,MATCH(C262,Employees!$A$2:$A$37,0)),"")</f>
        <v>John Moore</v>
      </c>
      <c r="N262" s="10" t="str">
        <f t="shared" si="14"/>
        <v/>
      </c>
    </row>
    <row r="263" spans="1:14" ht="15" customHeight="1" x14ac:dyDescent="0.25">
      <c r="A263" s="10">
        <v>262</v>
      </c>
      <c r="B263" s="10">
        <v>55</v>
      </c>
      <c r="C263" s="10">
        <v>9</v>
      </c>
      <c r="D263" s="10" t="s">
        <v>872</v>
      </c>
      <c r="F263" s="10" t="s">
        <v>17</v>
      </c>
      <c r="G263" s="10" t="s">
        <v>38</v>
      </c>
      <c r="H263" s="19">
        <f>SUMIF(OrderItems!$B$2:$B$1254,A263,OrderItems!$G$2:$G$1254)</f>
        <v>4807.0115000000005</v>
      </c>
      <c r="I263" s="19">
        <f>SUMIF(OrderItems!$B$2:$B$1254,A263,OrderItems!$K$2:$K$1254)</f>
        <v>3088.56</v>
      </c>
      <c r="J263" s="19">
        <f t="shared" si="12"/>
        <v>1718.4515000000006</v>
      </c>
      <c r="K263" s="10" t="str">
        <f t="shared" si="13"/>
        <v>2025-04</v>
      </c>
      <c r="L263" s="10" t="str">
        <f>IFERROR(INDEX(Customers!$G$2:$G$61,MATCH(B263,Customers!$A$2:$A$61,0)),"")</f>
        <v>Consumer</v>
      </c>
      <c r="M263" s="10" t="str">
        <f>IFERROR(INDEX(Employees!$B$2:$B$37,MATCH(C263,Employees!$A$2:$A$37,0))&amp;" "&amp;INDEX(Employees!$C$2:$C$37,MATCH(C263,Employees!$A$2:$A$37,0)),"")</f>
        <v>William Johnson</v>
      </c>
      <c r="N263" s="10" t="str">
        <f t="shared" si="14"/>
        <v/>
      </c>
    </row>
    <row r="264" spans="1:14" ht="15" customHeight="1" x14ac:dyDescent="0.25">
      <c r="A264" s="10">
        <v>263</v>
      </c>
      <c r="B264" s="10">
        <v>39</v>
      </c>
      <c r="C264" s="10">
        <v>1</v>
      </c>
      <c r="D264" s="10" t="s">
        <v>1095</v>
      </c>
      <c r="E264" s="10" t="s">
        <v>902</v>
      </c>
      <c r="F264" s="10" t="s">
        <v>14</v>
      </c>
      <c r="G264" s="10" t="s">
        <v>36</v>
      </c>
      <c r="H264" s="19">
        <f>SUMIF(OrderItems!$B$2:$B$1254,A264,OrderItems!$G$2:$G$1254)</f>
        <v>3481.7070000000003</v>
      </c>
      <c r="I264" s="19">
        <f>SUMIF(OrderItems!$B$2:$B$1254,A264,OrderItems!$K$2:$K$1254)</f>
        <v>2021.9699999999998</v>
      </c>
      <c r="J264" s="19">
        <f t="shared" si="12"/>
        <v>1459.7370000000005</v>
      </c>
      <c r="K264" s="10" t="str">
        <f t="shared" si="13"/>
        <v>2025-11</v>
      </c>
      <c r="L264" s="10" t="str">
        <f>IFERROR(INDEX(Customers!$G$2:$G$61,MATCH(B264,Customers!$A$2:$A$61,0)),"")</f>
        <v>Consumer</v>
      </c>
      <c r="M264" s="10" t="str">
        <f>IFERROR(INDEX(Employees!$B$2:$B$37,MATCH(C264,Employees!$A$2:$A$37,0))&amp;" "&amp;INDEX(Employees!$C$2:$C$37,MATCH(C264,Employees!$A$2:$A$37,0)),"")</f>
        <v>Daniel Brown</v>
      </c>
      <c r="N264" s="10">
        <f t="shared" si="14"/>
        <v>5</v>
      </c>
    </row>
    <row r="265" spans="1:14" ht="15" customHeight="1" x14ac:dyDescent="0.25">
      <c r="A265" s="10">
        <v>264</v>
      </c>
      <c r="B265" s="10">
        <v>7</v>
      </c>
      <c r="C265" s="10">
        <v>1</v>
      </c>
      <c r="D265" s="10" t="s">
        <v>1096</v>
      </c>
      <c r="F265" s="10" t="s">
        <v>16</v>
      </c>
      <c r="G265" s="10" t="s">
        <v>37</v>
      </c>
      <c r="H265" s="19">
        <f>SUMIF(OrderItems!$B$2:$B$1254,A265,OrderItems!$G$2:$G$1254)</f>
        <v>3778.54</v>
      </c>
      <c r="I265" s="19">
        <f>SUMIF(OrderItems!$B$2:$B$1254,A265,OrderItems!$K$2:$K$1254)</f>
        <v>2329.2399999999998</v>
      </c>
      <c r="J265" s="19">
        <f t="shared" si="12"/>
        <v>1449.3000000000002</v>
      </c>
      <c r="K265" s="10" t="str">
        <f t="shared" si="13"/>
        <v>2025-07</v>
      </c>
      <c r="L265" s="10" t="str">
        <f>IFERROR(INDEX(Customers!$G$2:$G$61,MATCH(B265,Customers!$A$2:$A$61,0)),"")</f>
        <v>Small Business</v>
      </c>
      <c r="M265" s="10" t="str">
        <f>IFERROR(INDEX(Employees!$B$2:$B$37,MATCH(C265,Employees!$A$2:$A$37,0))&amp;" "&amp;INDEX(Employees!$C$2:$C$37,MATCH(C265,Employees!$A$2:$A$37,0)),"")</f>
        <v>Daniel Brown</v>
      </c>
      <c r="N265" s="10" t="str">
        <f t="shared" si="14"/>
        <v/>
      </c>
    </row>
    <row r="266" spans="1:14" ht="15" customHeight="1" x14ac:dyDescent="0.25">
      <c r="A266" s="10">
        <v>265</v>
      </c>
      <c r="B266" s="10">
        <v>37</v>
      </c>
      <c r="C266" s="10">
        <v>8</v>
      </c>
      <c r="D266" s="10" t="s">
        <v>1097</v>
      </c>
      <c r="F266" s="10" t="s">
        <v>16</v>
      </c>
      <c r="G266" s="10" t="s">
        <v>40</v>
      </c>
      <c r="H266" s="19">
        <f>SUMIF(OrderItems!$B$2:$B$1254,A266,OrderItems!$G$2:$G$1254)</f>
        <v>724.48799999999994</v>
      </c>
      <c r="I266" s="19">
        <f>SUMIF(OrderItems!$B$2:$B$1254,A266,OrderItems!$K$2:$K$1254)</f>
        <v>448.32</v>
      </c>
      <c r="J266" s="19">
        <f t="shared" si="12"/>
        <v>276.16799999999995</v>
      </c>
      <c r="K266" s="10" t="str">
        <f t="shared" si="13"/>
        <v>2023-06</v>
      </c>
      <c r="L266" s="10" t="str">
        <f>IFERROR(INDEX(Customers!$G$2:$G$61,MATCH(B266,Customers!$A$2:$A$61,0)),"")</f>
        <v>Corporate</v>
      </c>
      <c r="M266" s="10" t="str">
        <f>IFERROR(INDEX(Employees!$B$2:$B$37,MATCH(C266,Employees!$A$2:$A$37,0))&amp;" "&amp;INDEX(Employees!$C$2:$C$37,MATCH(C266,Employees!$A$2:$A$37,0)),"")</f>
        <v>John Gonzalez</v>
      </c>
      <c r="N266" s="10" t="str">
        <f t="shared" si="14"/>
        <v/>
      </c>
    </row>
    <row r="267" spans="1:14" ht="15" customHeight="1" x14ac:dyDescent="0.25">
      <c r="A267" s="10">
        <v>266</v>
      </c>
      <c r="B267" s="10">
        <v>6</v>
      </c>
      <c r="C267" s="10">
        <v>1</v>
      </c>
      <c r="D267" s="10" t="s">
        <v>1098</v>
      </c>
      <c r="F267" s="10" t="s">
        <v>16</v>
      </c>
      <c r="G267" s="10" t="s">
        <v>40</v>
      </c>
      <c r="H267" s="19">
        <f>SUMIF(OrderItems!$B$2:$B$1254,A267,OrderItems!$G$2:$G$1254)</f>
        <v>8163.2300000000005</v>
      </c>
      <c r="I267" s="19">
        <f>SUMIF(OrderItems!$B$2:$B$1254,A267,OrderItems!$K$2:$K$1254)</f>
        <v>4601.2099999999991</v>
      </c>
      <c r="J267" s="19">
        <f t="shared" si="12"/>
        <v>3562.0200000000013</v>
      </c>
      <c r="K267" s="10" t="str">
        <f t="shared" si="13"/>
        <v>2024-11</v>
      </c>
      <c r="L267" s="10" t="str">
        <f>IFERROR(INDEX(Customers!$G$2:$G$61,MATCH(B267,Customers!$A$2:$A$61,0)),"")</f>
        <v>Consumer</v>
      </c>
      <c r="M267" s="10" t="str">
        <f>IFERROR(INDEX(Employees!$B$2:$B$37,MATCH(C267,Employees!$A$2:$A$37,0))&amp;" "&amp;INDEX(Employees!$C$2:$C$37,MATCH(C267,Employees!$A$2:$A$37,0)),"")</f>
        <v>Daniel Brown</v>
      </c>
      <c r="N267" s="10" t="str">
        <f t="shared" si="14"/>
        <v/>
      </c>
    </row>
    <row r="268" spans="1:14" ht="15" customHeight="1" x14ac:dyDescent="0.25">
      <c r="A268" s="10">
        <v>267</v>
      </c>
      <c r="B268" s="10">
        <v>10</v>
      </c>
      <c r="C268" s="10">
        <v>1</v>
      </c>
      <c r="D268" s="10" t="s">
        <v>1099</v>
      </c>
      <c r="E268" s="10" t="s">
        <v>1100</v>
      </c>
      <c r="F268" s="10" t="s">
        <v>15</v>
      </c>
      <c r="G268" s="10" t="s">
        <v>39</v>
      </c>
      <c r="H268" s="19">
        <f>SUMIF(OrderItems!$B$2:$B$1254,A268,OrderItems!$G$2:$G$1254)</f>
        <v>7930.3520000000008</v>
      </c>
      <c r="I268" s="19">
        <f>SUMIF(OrderItems!$B$2:$B$1254,A268,OrderItems!$K$2:$K$1254)</f>
        <v>4553.8000000000011</v>
      </c>
      <c r="J268" s="19">
        <f t="shared" si="12"/>
        <v>3376.5519999999997</v>
      </c>
      <c r="K268" s="10" t="str">
        <f t="shared" si="13"/>
        <v>2025-03</v>
      </c>
      <c r="L268" s="10" t="str">
        <f>IFERROR(INDEX(Customers!$G$2:$G$61,MATCH(B268,Customers!$A$2:$A$61,0)),"")</f>
        <v>Corporate</v>
      </c>
      <c r="M268" s="10" t="str">
        <f>IFERROR(INDEX(Employees!$B$2:$B$37,MATCH(C268,Employees!$A$2:$A$37,0))&amp;" "&amp;INDEX(Employees!$C$2:$C$37,MATCH(C268,Employees!$A$2:$A$37,0)),"")</f>
        <v>Daniel Brown</v>
      </c>
      <c r="N268" s="10">
        <f t="shared" si="14"/>
        <v>10</v>
      </c>
    </row>
    <row r="269" spans="1:14" ht="15" customHeight="1" x14ac:dyDescent="0.25">
      <c r="A269" s="10">
        <v>268</v>
      </c>
      <c r="B269" s="10">
        <v>50</v>
      </c>
      <c r="C269" s="10">
        <v>8</v>
      </c>
      <c r="D269" s="10" t="s">
        <v>1015</v>
      </c>
      <c r="E269" s="10" t="s">
        <v>1101</v>
      </c>
      <c r="F269" s="10" t="s">
        <v>15</v>
      </c>
      <c r="G269" s="10" t="s">
        <v>37</v>
      </c>
      <c r="H269" s="19">
        <f>SUMIF(OrderItems!$B$2:$B$1254,A269,OrderItems!$G$2:$G$1254)</f>
        <v>7704.1230000000005</v>
      </c>
      <c r="I269" s="19">
        <f>SUMIF(OrderItems!$B$2:$B$1254,A269,OrderItems!$K$2:$K$1254)</f>
        <v>4425.2</v>
      </c>
      <c r="J269" s="19">
        <f t="shared" si="12"/>
        <v>3278.9230000000007</v>
      </c>
      <c r="K269" s="10" t="str">
        <f t="shared" si="13"/>
        <v>2023-10</v>
      </c>
      <c r="L269" s="10" t="str">
        <f>IFERROR(INDEX(Customers!$G$2:$G$61,MATCH(B269,Customers!$A$2:$A$61,0)),"")</f>
        <v>Consumer</v>
      </c>
      <c r="M269" s="10" t="str">
        <f>IFERROR(INDEX(Employees!$B$2:$B$37,MATCH(C269,Employees!$A$2:$A$37,0))&amp;" "&amp;INDEX(Employees!$C$2:$C$37,MATCH(C269,Employees!$A$2:$A$37,0)),"")</f>
        <v>John Gonzalez</v>
      </c>
      <c r="N269" s="10">
        <f t="shared" si="14"/>
        <v>9</v>
      </c>
    </row>
    <row r="270" spans="1:14" ht="15" customHeight="1" x14ac:dyDescent="0.25">
      <c r="A270" s="10">
        <v>269</v>
      </c>
      <c r="B270" s="10">
        <v>8</v>
      </c>
      <c r="C270" s="10">
        <v>10</v>
      </c>
      <c r="D270" s="10" t="s">
        <v>1102</v>
      </c>
      <c r="F270" s="10" t="s">
        <v>16</v>
      </c>
      <c r="G270" s="10" t="s">
        <v>38</v>
      </c>
      <c r="H270" s="19">
        <f>SUMIF(OrderItems!$B$2:$B$1254,A270,OrderItems!$G$2:$G$1254)</f>
        <v>3203.3040000000001</v>
      </c>
      <c r="I270" s="19">
        <f>SUMIF(OrderItems!$B$2:$B$1254,A270,OrderItems!$K$2:$K$1254)</f>
        <v>2315.66</v>
      </c>
      <c r="J270" s="19">
        <f t="shared" si="12"/>
        <v>887.64400000000023</v>
      </c>
      <c r="K270" s="10" t="str">
        <f t="shared" si="13"/>
        <v>2025-05</v>
      </c>
      <c r="L270" s="10" t="str">
        <f>IFERROR(INDEX(Customers!$G$2:$G$61,MATCH(B270,Customers!$A$2:$A$61,0)),"")</f>
        <v>Consumer</v>
      </c>
      <c r="M270" s="10" t="str">
        <f>IFERROR(INDEX(Employees!$B$2:$B$37,MATCH(C270,Employees!$A$2:$A$37,0))&amp;" "&amp;INDEX(Employees!$C$2:$C$37,MATCH(C270,Employees!$A$2:$A$37,0)),"")</f>
        <v>John Moore</v>
      </c>
      <c r="N270" s="10" t="str">
        <f t="shared" si="14"/>
        <v/>
      </c>
    </row>
    <row r="271" spans="1:14" ht="15" customHeight="1" x14ac:dyDescent="0.25">
      <c r="A271" s="10">
        <v>270</v>
      </c>
      <c r="B271" s="10">
        <v>40</v>
      </c>
      <c r="C271" s="10">
        <v>10</v>
      </c>
      <c r="D271" s="10" t="s">
        <v>869</v>
      </c>
      <c r="E271" s="10" t="s">
        <v>1103</v>
      </c>
      <c r="F271" s="10" t="s">
        <v>15</v>
      </c>
      <c r="G271" s="10" t="s">
        <v>37</v>
      </c>
      <c r="H271" s="19">
        <f>SUMIF(OrderItems!$B$2:$B$1254,A271,OrderItems!$G$2:$G$1254)</f>
        <v>862.28400000000011</v>
      </c>
      <c r="I271" s="19">
        <f>SUMIF(OrderItems!$B$2:$B$1254,A271,OrderItems!$K$2:$K$1254)</f>
        <v>552.35</v>
      </c>
      <c r="J271" s="19">
        <f t="shared" si="12"/>
        <v>309.93400000000008</v>
      </c>
      <c r="K271" s="10" t="str">
        <f t="shared" si="13"/>
        <v>2023-10</v>
      </c>
      <c r="L271" s="10" t="str">
        <f>IFERROR(INDEX(Customers!$G$2:$G$61,MATCH(B271,Customers!$A$2:$A$61,0)),"")</f>
        <v>Corporate</v>
      </c>
      <c r="M271" s="10" t="str">
        <f>IFERROR(INDEX(Employees!$B$2:$B$37,MATCH(C271,Employees!$A$2:$A$37,0))&amp;" "&amp;INDEX(Employees!$C$2:$C$37,MATCH(C271,Employees!$A$2:$A$37,0)),"")</f>
        <v>John Moore</v>
      </c>
      <c r="N271" s="10">
        <f t="shared" si="14"/>
        <v>1</v>
      </c>
    </row>
    <row r="272" spans="1:14" ht="15" customHeight="1" x14ac:dyDescent="0.25">
      <c r="A272" s="10">
        <v>271</v>
      </c>
      <c r="B272" s="10">
        <v>56</v>
      </c>
      <c r="C272" s="10">
        <v>9</v>
      </c>
      <c r="D272" s="10" t="s">
        <v>1104</v>
      </c>
      <c r="F272" s="10" t="s">
        <v>16</v>
      </c>
      <c r="G272" s="10" t="s">
        <v>36</v>
      </c>
      <c r="H272" s="19">
        <f>SUMIF(OrderItems!$B$2:$B$1254,A272,OrderItems!$G$2:$G$1254)</f>
        <v>5305.9080000000004</v>
      </c>
      <c r="I272" s="19">
        <f>SUMIF(OrderItems!$B$2:$B$1254,A272,OrderItems!$K$2:$K$1254)</f>
        <v>2863.6099999999997</v>
      </c>
      <c r="J272" s="19">
        <f t="shared" si="12"/>
        <v>2442.2980000000007</v>
      </c>
      <c r="K272" s="10" t="str">
        <f t="shared" si="13"/>
        <v>2023-01</v>
      </c>
      <c r="L272" s="10" t="str">
        <f>IFERROR(INDEX(Customers!$G$2:$G$61,MATCH(B272,Customers!$A$2:$A$61,0)),"")</f>
        <v>Consumer</v>
      </c>
      <c r="M272" s="10" t="str">
        <f>IFERROR(INDEX(Employees!$B$2:$B$37,MATCH(C272,Employees!$A$2:$A$37,0))&amp;" "&amp;INDEX(Employees!$C$2:$C$37,MATCH(C272,Employees!$A$2:$A$37,0)),"")</f>
        <v>William Johnson</v>
      </c>
      <c r="N272" s="10" t="str">
        <f t="shared" si="14"/>
        <v/>
      </c>
    </row>
    <row r="273" spans="1:14" ht="15" customHeight="1" x14ac:dyDescent="0.25">
      <c r="A273" s="10">
        <v>272</v>
      </c>
      <c r="B273" s="10">
        <v>40</v>
      </c>
      <c r="C273" s="10">
        <v>8</v>
      </c>
      <c r="D273" s="10" t="s">
        <v>787</v>
      </c>
      <c r="F273" s="10" t="s">
        <v>17</v>
      </c>
      <c r="G273" s="10" t="s">
        <v>39</v>
      </c>
      <c r="H273" s="19">
        <f>SUMIF(OrderItems!$B$2:$B$1254,A273,OrderItems!$G$2:$G$1254)</f>
        <v>7288.3020000000006</v>
      </c>
      <c r="I273" s="19">
        <f>SUMIF(OrderItems!$B$2:$B$1254,A273,OrderItems!$K$2:$K$1254)</f>
        <v>3818.3599999999997</v>
      </c>
      <c r="J273" s="19">
        <f t="shared" si="12"/>
        <v>3469.9420000000009</v>
      </c>
      <c r="K273" s="10" t="str">
        <f t="shared" si="13"/>
        <v>2023-02</v>
      </c>
      <c r="L273" s="10" t="str">
        <f>IFERROR(INDEX(Customers!$G$2:$G$61,MATCH(B273,Customers!$A$2:$A$61,0)),"")</f>
        <v>Corporate</v>
      </c>
      <c r="M273" s="10" t="str">
        <f>IFERROR(INDEX(Employees!$B$2:$B$37,MATCH(C273,Employees!$A$2:$A$37,0))&amp;" "&amp;INDEX(Employees!$C$2:$C$37,MATCH(C273,Employees!$A$2:$A$37,0)),"")</f>
        <v>John Gonzalez</v>
      </c>
      <c r="N273" s="10" t="str">
        <f t="shared" si="14"/>
        <v/>
      </c>
    </row>
    <row r="274" spans="1:14" ht="15" customHeight="1" x14ac:dyDescent="0.25">
      <c r="A274" s="10">
        <v>273</v>
      </c>
      <c r="B274" s="10">
        <v>18</v>
      </c>
      <c r="C274" s="10">
        <v>9</v>
      </c>
      <c r="D274" s="10" t="s">
        <v>829</v>
      </c>
      <c r="E274" s="10" t="s">
        <v>1105</v>
      </c>
      <c r="F274" s="10" t="s">
        <v>14</v>
      </c>
      <c r="G274" s="10" t="s">
        <v>40</v>
      </c>
      <c r="H274" s="19">
        <f>SUMIF(OrderItems!$B$2:$B$1254,A274,OrderItems!$G$2:$G$1254)</f>
        <v>1058.8320000000001</v>
      </c>
      <c r="I274" s="19">
        <f>SUMIF(OrderItems!$B$2:$B$1254,A274,OrderItems!$K$2:$K$1254)</f>
        <v>642</v>
      </c>
      <c r="J274" s="19">
        <f t="shared" si="12"/>
        <v>416.83200000000011</v>
      </c>
      <c r="K274" s="10" t="str">
        <f t="shared" si="13"/>
        <v>2023-08</v>
      </c>
      <c r="L274" s="10" t="str">
        <f>IFERROR(INDEX(Customers!$G$2:$G$61,MATCH(B274,Customers!$A$2:$A$61,0)),"")</f>
        <v>Small Business</v>
      </c>
      <c r="M274" s="10" t="str">
        <f>IFERROR(INDEX(Employees!$B$2:$B$37,MATCH(C274,Employees!$A$2:$A$37,0))&amp;" "&amp;INDEX(Employees!$C$2:$C$37,MATCH(C274,Employees!$A$2:$A$37,0)),"")</f>
        <v>William Johnson</v>
      </c>
      <c r="N274" s="10">
        <f t="shared" si="14"/>
        <v>5</v>
      </c>
    </row>
    <row r="275" spans="1:14" ht="15" customHeight="1" x14ac:dyDescent="0.25">
      <c r="A275" s="10">
        <v>274</v>
      </c>
      <c r="B275" s="10">
        <v>12</v>
      </c>
      <c r="C275" s="10">
        <v>8</v>
      </c>
      <c r="D275" s="10" t="s">
        <v>831</v>
      </c>
      <c r="E275" s="10" t="s">
        <v>1106</v>
      </c>
      <c r="F275" s="10" t="s">
        <v>15</v>
      </c>
      <c r="G275" s="10" t="s">
        <v>36</v>
      </c>
      <c r="H275" s="19">
        <f>SUMIF(OrderItems!$B$2:$B$1254,A275,OrderItems!$G$2:$G$1254)</f>
        <v>4408.38</v>
      </c>
      <c r="I275" s="19">
        <f>SUMIF(OrderItems!$B$2:$B$1254,A275,OrderItems!$K$2:$K$1254)</f>
        <v>2140.83</v>
      </c>
      <c r="J275" s="19">
        <f t="shared" si="12"/>
        <v>2267.5500000000002</v>
      </c>
      <c r="K275" s="10" t="str">
        <f t="shared" si="13"/>
        <v>2025-10</v>
      </c>
      <c r="L275" s="10" t="str">
        <f>IFERROR(INDEX(Customers!$G$2:$G$61,MATCH(B275,Customers!$A$2:$A$61,0)),"")</f>
        <v>Small Business</v>
      </c>
      <c r="M275" s="10" t="str">
        <f>IFERROR(INDEX(Employees!$B$2:$B$37,MATCH(C275,Employees!$A$2:$A$37,0))&amp;" "&amp;INDEX(Employees!$C$2:$C$37,MATCH(C275,Employees!$A$2:$A$37,0)),"")</f>
        <v>John Gonzalez</v>
      </c>
      <c r="N275" s="10">
        <f t="shared" si="14"/>
        <v>9</v>
      </c>
    </row>
    <row r="276" spans="1:14" ht="15" customHeight="1" x14ac:dyDescent="0.25">
      <c r="A276" s="10">
        <v>275</v>
      </c>
      <c r="B276" s="10">
        <v>2</v>
      </c>
      <c r="C276" s="10">
        <v>9</v>
      </c>
      <c r="D276" s="10" t="s">
        <v>816</v>
      </c>
      <c r="F276" s="10" t="s">
        <v>16</v>
      </c>
      <c r="G276" s="10" t="s">
        <v>38</v>
      </c>
      <c r="H276" s="19">
        <f>SUMIF(OrderItems!$B$2:$B$1254,A276,OrderItems!$G$2:$G$1254)</f>
        <v>2387.7689999999998</v>
      </c>
      <c r="I276" s="19">
        <f>SUMIF(OrderItems!$B$2:$B$1254,A276,OrderItems!$K$2:$K$1254)</f>
        <v>1297.93</v>
      </c>
      <c r="J276" s="19">
        <f t="shared" si="12"/>
        <v>1089.8389999999997</v>
      </c>
      <c r="K276" s="10" t="str">
        <f t="shared" si="13"/>
        <v>2024-12</v>
      </c>
      <c r="L276" s="10" t="str">
        <f>IFERROR(INDEX(Customers!$G$2:$G$61,MATCH(B276,Customers!$A$2:$A$61,0)),"")</f>
        <v>Corporate</v>
      </c>
      <c r="M276" s="10" t="str">
        <f>IFERROR(INDEX(Employees!$B$2:$B$37,MATCH(C276,Employees!$A$2:$A$37,0))&amp;" "&amp;INDEX(Employees!$C$2:$C$37,MATCH(C276,Employees!$A$2:$A$37,0)),"")</f>
        <v>William Johnson</v>
      </c>
      <c r="N276" s="10" t="str">
        <f t="shared" si="14"/>
        <v/>
      </c>
    </row>
    <row r="277" spans="1:14" ht="15" customHeight="1" x14ac:dyDescent="0.25">
      <c r="A277" s="10">
        <v>276</v>
      </c>
      <c r="B277" s="10">
        <v>15</v>
      </c>
      <c r="C277" s="10">
        <v>8</v>
      </c>
      <c r="D277" s="10" t="s">
        <v>1107</v>
      </c>
      <c r="F277" s="10" t="s">
        <v>17</v>
      </c>
      <c r="G277" s="10" t="s">
        <v>37</v>
      </c>
      <c r="H277" s="19">
        <f>SUMIF(OrderItems!$B$2:$B$1254,A277,OrderItems!$G$2:$G$1254)</f>
        <v>1952.0550000000003</v>
      </c>
      <c r="I277" s="19">
        <f>SUMIF(OrderItems!$B$2:$B$1254,A277,OrderItems!$K$2:$K$1254)</f>
        <v>1407.5600000000002</v>
      </c>
      <c r="J277" s="19">
        <f t="shared" si="12"/>
        <v>544.49500000000012</v>
      </c>
      <c r="K277" s="10" t="str">
        <f t="shared" si="13"/>
        <v>2024-11</v>
      </c>
      <c r="L277" s="10" t="str">
        <f>IFERROR(INDEX(Customers!$G$2:$G$61,MATCH(B277,Customers!$A$2:$A$61,0)),"")</f>
        <v>Small Business</v>
      </c>
      <c r="M277" s="10" t="str">
        <f>IFERROR(INDEX(Employees!$B$2:$B$37,MATCH(C277,Employees!$A$2:$A$37,0))&amp;" "&amp;INDEX(Employees!$C$2:$C$37,MATCH(C277,Employees!$A$2:$A$37,0)),"")</f>
        <v>John Gonzalez</v>
      </c>
      <c r="N277" s="10" t="str">
        <f t="shared" si="14"/>
        <v/>
      </c>
    </row>
    <row r="278" spans="1:14" ht="15" customHeight="1" x14ac:dyDescent="0.25">
      <c r="A278" s="10">
        <v>277</v>
      </c>
      <c r="B278" s="10">
        <v>44</v>
      </c>
      <c r="C278" s="10">
        <v>8</v>
      </c>
      <c r="D278" s="10" t="s">
        <v>413</v>
      </c>
      <c r="E278" s="10" t="s">
        <v>1108</v>
      </c>
      <c r="F278" s="10" t="s">
        <v>14</v>
      </c>
      <c r="G278" s="10" t="s">
        <v>37</v>
      </c>
      <c r="H278" s="19">
        <f>SUMIF(OrderItems!$B$2:$B$1254,A278,OrderItems!$G$2:$G$1254)</f>
        <v>6671.6225000000004</v>
      </c>
      <c r="I278" s="19">
        <f>SUMIF(OrderItems!$B$2:$B$1254,A278,OrderItems!$K$2:$K$1254)</f>
        <v>4372.54</v>
      </c>
      <c r="J278" s="19">
        <f t="shared" si="12"/>
        <v>2299.0825000000004</v>
      </c>
      <c r="K278" s="10" t="str">
        <f t="shared" si="13"/>
        <v>2025-05</v>
      </c>
      <c r="L278" s="10" t="str">
        <f>IFERROR(INDEX(Customers!$G$2:$G$61,MATCH(B278,Customers!$A$2:$A$61,0)),"")</f>
        <v>Corporate</v>
      </c>
      <c r="M278" s="10" t="str">
        <f>IFERROR(INDEX(Employees!$B$2:$B$37,MATCH(C278,Employees!$A$2:$A$37,0))&amp;" "&amp;INDEX(Employees!$C$2:$C$37,MATCH(C278,Employees!$A$2:$A$37,0)),"")</f>
        <v>John Gonzalez</v>
      </c>
      <c r="N278" s="10">
        <f t="shared" si="14"/>
        <v>10</v>
      </c>
    </row>
    <row r="279" spans="1:14" ht="15" customHeight="1" x14ac:dyDescent="0.25">
      <c r="A279" s="10">
        <v>278</v>
      </c>
      <c r="B279" s="10">
        <v>20</v>
      </c>
      <c r="C279" s="10">
        <v>8</v>
      </c>
      <c r="D279" s="10" t="s">
        <v>1109</v>
      </c>
      <c r="E279" s="10" t="s">
        <v>1110</v>
      </c>
      <c r="F279" s="10" t="s">
        <v>14</v>
      </c>
      <c r="G279" s="10" t="s">
        <v>37</v>
      </c>
      <c r="H279" s="19">
        <f>SUMIF(OrderItems!$B$2:$B$1254,A279,OrderItems!$G$2:$G$1254)</f>
        <v>3518.8890000000006</v>
      </c>
      <c r="I279" s="19">
        <f>SUMIF(OrderItems!$B$2:$B$1254,A279,OrderItems!$K$2:$K$1254)</f>
        <v>2037.33</v>
      </c>
      <c r="J279" s="19">
        <f t="shared" si="12"/>
        <v>1481.5590000000007</v>
      </c>
      <c r="K279" s="10" t="str">
        <f t="shared" si="13"/>
        <v>2025-05</v>
      </c>
      <c r="L279" s="10" t="str">
        <f>IFERROR(INDEX(Customers!$G$2:$G$61,MATCH(B279,Customers!$A$2:$A$61,0)),"")</f>
        <v>Corporate</v>
      </c>
      <c r="M279" s="10" t="str">
        <f>IFERROR(INDEX(Employees!$B$2:$B$37,MATCH(C279,Employees!$A$2:$A$37,0))&amp;" "&amp;INDEX(Employees!$C$2:$C$37,MATCH(C279,Employees!$A$2:$A$37,0)),"")</f>
        <v>John Gonzalez</v>
      </c>
      <c r="N279" s="10">
        <f t="shared" si="14"/>
        <v>10</v>
      </c>
    </row>
    <row r="280" spans="1:14" ht="15" customHeight="1" x14ac:dyDescent="0.25">
      <c r="A280" s="10">
        <v>279</v>
      </c>
      <c r="B280" s="10">
        <v>57</v>
      </c>
      <c r="C280" s="10">
        <v>10</v>
      </c>
      <c r="D280" s="10" t="s">
        <v>1111</v>
      </c>
      <c r="E280" s="10" t="s">
        <v>1112</v>
      </c>
      <c r="F280" s="10" t="s">
        <v>18</v>
      </c>
      <c r="G280" s="10" t="s">
        <v>38</v>
      </c>
      <c r="H280" s="19">
        <f>SUMIF(OrderItems!$B$2:$B$1254,A280,OrderItems!$G$2:$G$1254)</f>
        <v>1631.8200000000002</v>
      </c>
      <c r="I280" s="19">
        <f>SUMIF(OrderItems!$B$2:$B$1254,A280,OrderItems!$K$2:$K$1254)</f>
        <v>974.98</v>
      </c>
      <c r="J280" s="19">
        <f t="shared" si="12"/>
        <v>656.84000000000015</v>
      </c>
      <c r="K280" s="10" t="str">
        <f t="shared" si="13"/>
        <v>2025-04</v>
      </c>
      <c r="L280" s="10" t="str">
        <f>IFERROR(INDEX(Customers!$G$2:$G$61,MATCH(B280,Customers!$A$2:$A$61,0)),"")</f>
        <v>Small Business</v>
      </c>
      <c r="M280" s="10" t="str">
        <f>IFERROR(INDEX(Employees!$B$2:$B$37,MATCH(C280,Employees!$A$2:$A$37,0))&amp;" "&amp;INDEX(Employees!$C$2:$C$37,MATCH(C280,Employees!$A$2:$A$37,0)),"")</f>
        <v>John Moore</v>
      </c>
      <c r="N280" s="10">
        <f t="shared" si="14"/>
        <v>8</v>
      </c>
    </row>
    <row r="281" spans="1:14" ht="15" customHeight="1" x14ac:dyDescent="0.25">
      <c r="A281" s="10">
        <v>280</v>
      </c>
      <c r="B281" s="10">
        <v>39</v>
      </c>
      <c r="C281" s="10">
        <v>8</v>
      </c>
      <c r="D281" s="10" t="s">
        <v>1113</v>
      </c>
      <c r="E281" s="10" t="s">
        <v>1114</v>
      </c>
      <c r="F281" s="10" t="s">
        <v>14</v>
      </c>
      <c r="G281" s="10" t="s">
        <v>38</v>
      </c>
      <c r="H281" s="19">
        <f>SUMIF(OrderItems!$B$2:$B$1254,A281,OrderItems!$G$2:$G$1254)</f>
        <v>2502.08</v>
      </c>
      <c r="I281" s="19">
        <f>SUMIF(OrderItems!$B$2:$B$1254,A281,OrderItems!$K$2:$K$1254)</f>
        <v>1388.08</v>
      </c>
      <c r="J281" s="19">
        <f t="shared" si="12"/>
        <v>1114</v>
      </c>
      <c r="K281" s="10" t="str">
        <f t="shared" si="13"/>
        <v>2024-04</v>
      </c>
      <c r="L281" s="10" t="str">
        <f>IFERROR(INDEX(Customers!$G$2:$G$61,MATCH(B281,Customers!$A$2:$A$61,0)),"")</f>
        <v>Consumer</v>
      </c>
      <c r="M281" s="10" t="str">
        <f>IFERROR(INDEX(Employees!$B$2:$B$37,MATCH(C281,Employees!$A$2:$A$37,0))&amp;" "&amp;INDEX(Employees!$C$2:$C$37,MATCH(C281,Employees!$A$2:$A$37,0)),"")</f>
        <v>John Gonzalez</v>
      </c>
      <c r="N281" s="10">
        <f t="shared" si="14"/>
        <v>1</v>
      </c>
    </row>
    <row r="282" spans="1:14" ht="15" customHeight="1" x14ac:dyDescent="0.25">
      <c r="A282" s="10">
        <v>281</v>
      </c>
      <c r="B282" s="10">
        <v>46</v>
      </c>
      <c r="C282" s="10">
        <v>9</v>
      </c>
      <c r="D282" s="10" t="s">
        <v>1115</v>
      </c>
      <c r="F282" s="10" t="s">
        <v>17</v>
      </c>
      <c r="G282" s="10" t="s">
        <v>40</v>
      </c>
      <c r="H282" s="19">
        <f>SUMIF(OrderItems!$B$2:$B$1254,A282,OrderItems!$G$2:$G$1254)</f>
        <v>3368.0435000000007</v>
      </c>
      <c r="I282" s="19">
        <f>SUMIF(OrderItems!$B$2:$B$1254,A282,OrderItems!$K$2:$K$1254)</f>
        <v>1978.88</v>
      </c>
      <c r="J282" s="19">
        <f t="shared" si="12"/>
        <v>1389.1635000000006</v>
      </c>
      <c r="K282" s="10" t="str">
        <f t="shared" si="13"/>
        <v>2024-01</v>
      </c>
      <c r="L282" s="10" t="str">
        <f>IFERROR(INDEX(Customers!$G$2:$G$61,MATCH(B282,Customers!$A$2:$A$61,0)),"")</f>
        <v>Small Business</v>
      </c>
      <c r="M282" s="10" t="str">
        <f>IFERROR(INDEX(Employees!$B$2:$B$37,MATCH(C282,Employees!$A$2:$A$37,0))&amp;" "&amp;INDEX(Employees!$C$2:$C$37,MATCH(C282,Employees!$A$2:$A$37,0)),"")</f>
        <v>William Johnson</v>
      </c>
      <c r="N282" s="10" t="str">
        <f t="shared" si="14"/>
        <v/>
      </c>
    </row>
    <row r="283" spans="1:14" ht="15" customHeight="1" x14ac:dyDescent="0.25">
      <c r="A283" s="10">
        <v>282</v>
      </c>
      <c r="B283" s="10">
        <v>14</v>
      </c>
      <c r="C283" s="10">
        <v>1</v>
      </c>
      <c r="D283" s="10" t="s">
        <v>1116</v>
      </c>
      <c r="E283" s="10" t="s">
        <v>1117</v>
      </c>
      <c r="F283" s="10" t="s">
        <v>15</v>
      </c>
      <c r="G283" s="10" t="s">
        <v>40</v>
      </c>
      <c r="H283" s="19">
        <f>SUMIF(OrderItems!$B$2:$B$1254,A283,OrderItems!$G$2:$G$1254)</f>
        <v>3072.3444999999997</v>
      </c>
      <c r="I283" s="19">
        <f>SUMIF(OrderItems!$B$2:$B$1254,A283,OrderItems!$K$2:$K$1254)</f>
        <v>1606.7199999999998</v>
      </c>
      <c r="J283" s="19">
        <f t="shared" si="12"/>
        <v>1465.6244999999999</v>
      </c>
      <c r="K283" s="10" t="str">
        <f t="shared" si="13"/>
        <v>2023-12</v>
      </c>
      <c r="L283" s="10" t="str">
        <f>IFERROR(INDEX(Customers!$G$2:$G$61,MATCH(B283,Customers!$A$2:$A$61,0)),"")</f>
        <v>Small Business</v>
      </c>
      <c r="M283" s="10" t="str">
        <f>IFERROR(INDEX(Employees!$B$2:$B$37,MATCH(C283,Employees!$A$2:$A$37,0))&amp;" "&amp;INDEX(Employees!$C$2:$C$37,MATCH(C283,Employees!$A$2:$A$37,0)),"")</f>
        <v>Daniel Brown</v>
      </c>
      <c r="N283" s="10">
        <f t="shared" si="14"/>
        <v>10</v>
      </c>
    </row>
    <row r="284" spans="1:14" ht="15" customHeight="1" x14ac:dyDescent="0.25">
      <c r="A284" s="10">
        <v>283</v>
      </c>
      <c r="B284" s="10">
        <v>34</v>
      </c>
      <c r="C284" s="10">
        <v>1</v>
      </c>
      <c r="D284" s="10" t="s">
        <v>1118</v>
      </c>
      <c r="E284" s="10" t="s">
        <v>781</v>
      </c>
      <c r="F284" s="10" t="s">
        <v>15</v>
      </c>
      <c r="G284" s="10" t="s">
        <v>37</v>
      </c>
      <c r="H284" s="19">
        <f>SUMIF(OrderItems!$B$2:$B$1254,A284,OrderItems!$G$2:$G$1254)</f>
        <v>7640.2190000000001</v>
      </c>
      <c r="I284" s="19">
        <f>SUMIF(OrderItems!$B$2:$B$1254,A284,OrderItems!$K$2:$K$1254)</f>
        <v>4106.71</v>
      </c>
      <c r="J284" s="19">
        <f t="shared" si="12"/>
        <v>3533.509</v>
      </c>
      <c r="K284" s="10" t="str">
        <f t="shared" si="13"/>
        <v>2025-07</v>
      </c>
      <c r="L284" s="10" t="str">
        <f>IFERROR(INDEX(Customers!$G$2:$G$61,MATCH(B284,Customers!$A$2:$A$61,0)),"")</f>
        <v>Small Business</v>
      </c>
      <c r="M284" s="10" t="str">
        <f>IFERROR(INDEX(Employees!$B$2:$B$37,MATCH(C284,Employees!$A$2:$A$37,0))&amp;" "&amp;INDEX(Employees!$C$2:$C$37,MATCH(C284,Employees!$A$2:$A$37,0)),"")</f>
        <v>Daniel Brown</v>
      </c>
      <c r="N284" s="10">
        <f t="shared" si="14"/>
        <v>1</v>
      </c>
    </row>
    <row r="285" spans="1:14" ht="15" customHeight="1" x14ac:dyDescent="0.25">
      <c r="A285" s="10">
        <v>284</v>
      </c>
      <c r="B285" s="10">
        <v>45</v>
      </c>
      <c r="C285" s="10">
        <v>8</v>
      </c>
      <c r="D285" s="10" t="s">
        <v>1119</v>
      </c>
      <c r="E285" s="10" t="s">
        <v>1120</v>
      </c>
      <c r="F285" s="10" t="s">
        <v>15</v>
      </c>
      <c r="G285" s="10" t="s">
        <v>39</v>
      </c>
      <c r="H285" s="19">
        <f>SUMIF(OrderItems!$B$2:$B$1254,A285,OrderItems!$G$2:$G$1254)</f>
        <v>1349.2049999999999</v>
      </c>
      <c r="I285" s="19">
        <f>SUMIF(OrderItems!$B$2:$B$1254,A285,OrderItems!$K$2:$K$1254)</f>
        <v>860.90000000000009</v>
      </c>
      <c r="J285" s="19">
        <f t="shared" si="12"/>
        <v>488.30499999999984</v>
      </c>
      <c r="K285" s="10" t="str">
        <f t="shared" si="13"/>
        <v>2025-08</v>
      </c>
      <c r="L285" s="10" t="str">
        <f>IFERROR(INDEX(Customers!$G$2:$G$61,MATCH(B285,Customers!$A$2:$A$61,0)),"")</f>
        <v>Consumer</v>
      </c>
      <c r="M285" s="10" t="str">
        <f>IFERROR(INDEX(Employees!$B$2:$B$37,MATCH(C285,Employees!$A$2:$A$37,0))&amp;" "&amp;INDEX(Employees!$C$2:$C$37,MATCH(C285,Employees!$A$2:$A$37,0)),"")</f>
        <v>John Gonzalez</v>
      </c>
      <c r="N285" s="10">
        <f t="shared" si="14"/>
        <v>2</v>
      </c>
    </row>
    <row r="286" spans="1:14" ht="15" customHeight="1" x14ac:dyDescent="0.25">
      <c r="A286" s="10">
        <v>285</v>
      </c>
      <c r="B286" s="10">
        <v>29</v>
      </c>
      <c r="C286" s="10">
        <v>1</v>
      </c>
      <c r="D286" s="10" t="s">
        <v>1121</v>
      </c>
      <c r="E286" s="10" t="s">
        <v>1115</v>
      </c>
      <c r="F286" s="10" t="s">
        <v>15</v>
      </c>
      <c r="G286" s="10" t="s">
        <v>37</v>
      </c>
      <c r="H286" s="19">
        <f>SUMIF(OrderItems!$B$2:$B$1254,A286,OrderItems!$G$2:$G$1254)</f>
        <v>4178.5985000000001</v>
      </c>
      <c r="I286" s="19">
        <f>SUMIF(OrderItems!$B$2:$B$1254,A286,OrderItems!$K$2:$K$1254)</f>
        <v>2633.7200000000003</v>
      </c>
      <c r="J286" s="19">
        <f t="shared" si="12"/>
        <v>1544.8784999999998</v>
      </c>
      <c r="K286" s="10" t="str">
        <f t="shared" si="13"/>
        <v>2024-01</v>
      </c>
      <c r="L286" s="10" t="str">
        <f>IFERROR(INDEX(Customers!$G$2:$G$61,MATCH(B286,Customers!$A$2:$A$61,0)),"")</f>
        <v>Consumer</v>
      </c>
      <c r="M286" s="10" t="str">
        <f>IFERROR(INDEX(Employees!$B$2:$B$37,MATCH(C286,Employees!$A$2:$A$37,0))&amp;" "&amp;INDEX(Employees!$C$2:$C$37,MATCH(C286,Employees!$A$2:$A$37,0)),"")</f>
        <v>Daniel Brown</v>
      </c>
      <c r="N286" s="10">
        <f t="shared" si="14"/>
        <v>10</v>
      </c>
    </row>
    <row r="287" spans="1:14" ht="15" customHeight="1" x14ac:dyDescent="0.25">
      <c r="A287" s="10">
        <v>286</v>
      </c>
      <c r="B287" s="10">
        <v>47</v>
      </c>
      <c r="C287" s="10">
        <v>8</v>
      </c>
      <c r="D287" s="10" t="s">
        <v>1122</v>
      </c>
      <c r="F287" s="10" t="s">
        <v>17</v>
      </c>
      <c r="G287" s="10" t="s">
        <v>36</v>
      </c>
      <c r="H287" s="19">
        <f>SUMIF(OrderItems!$B$2:$B$1254,A287,OrderItems!$G$2:$G$1254)</f>
        <v>1253.4000000000001</v>
      </c>
      <c r="I287" s="19">
        <f>SUMIF(OrderItems!$B$2:$B$1254,A287,OrderItems!$K$2:$K$1254)</f>
        <v>696.95999999999992</v>
      </c>
      <c r="J287" s="19">
        <f t="shared" si="12"/>
        <v>556.44000000000017</v>
      </c>
      <c r="K287" s="10" t="str">
        <f t="shared" si="13"/>
        <v>2025-02</v>
      </c>
      <c r="L287" s="10" t="str">
        <f>IFERROR(INDEX(Customers!$G$2:$G$61,MATCH(B287,Customers!$A$2:$A$61,0)),"")</f>
        <v>Corporate</v>
      </c>
      <c r="M287" s="10" t="str">
        <f>IFERROR(INDEX(Employees!$B$2:$B$37,MATCH(C287,Employees!$A$2:$A$37,0))&amp;" "&amp;INDEX(Employees!$C$2:$C$37,MATCH(C287,Employees!$A$2:$A$37,0)),"")</f>
        <v>John Gonzalez</v>
      </c>
      <c r="N287" s="10" t="str">
        <f t="shared" si="14"/>
        <v/>
      </c>
    </row>
    <row r="288" spans="1:14" ht="15" customHeight="1" x14ac:dyDescent="0.25">
      <c r="A288" s="10">
        <v>287</v>
      </c>
      <c r="B288" s="10">
        <v>50</v>
      </c>
      <c r="C288" s="10">
        <v>1</v>
      </c>
      <c r="D288" s="10" t="s">
        <v>1123</v>
      </c>
      <c r="E288" s="10" t="s">
        <v>1108</v>
      </c>
      <c r="F288" s="10" t="s">
        <v>18</v>
      </c>
      <c r="G288" s="10" t="s">
        <v>40</v>
      </c>
      <c r="H288" s="19">
        <f>SUMIF(OrderItems!$B$2:$B$1254,A288,OrderItems!$G$2:$G$1254)</f>
        <v>3456.9570000000003</v>
      </c>
      <c r="I288" s="19">
        <f>SUMIF(OrderItems!$B$2:$B$1254,A288,OrderItems!$K$2:$K$1254)</f>
        <v>1702.0700000000002</v>
      </c>
      <c r="J288" s="19">
        <f t="shared" si="12"/>
        <v>1754.8870000000002</v>
      </c>
      <c r="K288" s="10" t="str">
        <f t="shared" si="13"/>
        <v>2025-05</v>
      </c>
      <c r="L288" s="10" t="str">
        <f>IFERROR(INDEX(Customers!$G$2:$G$61,MATCH(B288,Customers!$A$2:$A$61,0)),"")</f>
        <v>Consumer</v>
      </c>
      <c r="M288" s="10" t="str">
        <f>IFERROR(INDEX(Employees!$B$2:$B$37,MATCH(C288,Employees!$A$2:$A$37,0))&amp;" "&amp;INDEX(Employees!$C$2:$C$37,MATCH(C288,Employees!$A$2:$A$37,0)),"")</f>
        <v>Daniel Brown</v>
      </c>
      <c r="N288" s="10">
        <f t="shared" si="14"/>
        <v>5</v>
      </c>
    </row>
    <row r="289" spans="1:14" ht="15" customHeight="1" x14ac:dyDescent="0.25">
      <c r="A289" s="10">
        <v>288</v>
      </c>
      <c r="B289" s="10">
        <v>55</v>
      </c>
      <c r="C289" s="10">
        <v>10</v>
      </c>
      <c r="D289" s="10" t="s">
        <v>1124</v>
      </c>
      <c r="E289" s="10" t="s">
        <v>769</v>
      </c>
      <c r="F289" s="10" t="s">
        <v>15</v>
      </c>
      <c r="G289" s="10" t="s">
        <v>37</v>
      </c>
      <c r="H289" s="19">
        <f>SUMIF(OrderItems!$B$2:$B$1254,A289,OrderItems!$G$2:$G$1254)</f>
        <v>8593.7220000000016</v>
      </c>
      <c r="I289" s="19">
        <f>SUMIF(OrderItems!$B$2:$B$1254,A289,OrderItems!$K$2:$K$1254)</f>
        <v>5138.1900000000005</v>
      </c>
      <c r="J289" s="19">
        <f t="shared" si="12"/>
        <v>3455.5320000000011</v>
      </c>
      <c r="K289" s="10" t="str">
        <f t="shared" si="13"/>
        <v>2023-01</v>
      </c>
      <c r="L289" s="10" t="str">
        <f>IFERROR(INDEX(Customers!$G$2:$G$61,MATCH(B289,Customers!$A$2:$A$61,0)),"")</f>
        <v>Consumer</v>
      </c>
      <c r="M289" s="10" t="str">
        <f>IFERROR(INDEX(Employees!$B$2:$B$37,MATCH(C289,Employees!$A$2:$A$37,0))&amp;" "&amp;INDEX(Employees!$C$2:$C$37,MATCH(C289,Employees!$A$2:$A$37,0)),"")</f>
        <v>John Moore</v>
      </c>
      <c r="N289" s="10">
        <f t="shared" si="14"/>
        <v>4</v>
      </c>
    </row>
    <row r="290" spans="1:14" ht="15" customHeight="1" x14ac:dyDescent="0.25">
      <c r="A290" s="10">
        <v>289</v>
      </c>
      <c r="B290" s="10">
        <v>4</v>
      </c>
      <c r="C290" s="10">
        <v>9</v>
      </c>
      <c r="D290" s="10" t="s">
        <v>803</v>
      </c>
      <c r="E290" s="10" t="s">
        <v>1125</v>
      </c>
      <c r="F290" s="10" t="s">
        <v>14</v>
      </c>
      <c r="G290" s="10" t="s">
        <v>39</v>
      </c>
      <c r="H290" s="19">
        <f>SUMIF(OrderItems!$B$2:$B$1254,A290,OrderItems!$G$2:$G$1254)</f>
        <v>5830.4765000000007</v>
      </c>
      <c r="I290" s="19">
        <f>SUMIF(OrderItems!$B$2:$B$1254,A290,OrderItems!$K$2:$K$1254)</f>
        <v>3924.4500000000003</v>
      </c>
      <c r="J290" s="19">
        <f t="shared" si="12"/>
        <v>1906.0265000000004</v>
      </c>
      <c r="K290" s="10" t="str">
        <f t="shared" si="13"/>
        <v>2023-03</v>
      </c>
      <c r="L290" s="10" t="str">
        <f>IFERROR(INDEX(Customers!$G$2:$G$61,MATCH(B290,Customers!$A$2:$A$61,0)),"")</f>
        <v>Small Business</v>
      </c>
      <c r="M290" s="10" t="str">
        <f>IFERROR(INDEX(Employees!$B$2:$B$37,MATCH(C290,Employees!$A$2:$A$37,0))&amp;" "&amp;INDEX(Employees!$C$2:$C$37,MATCH(C290,Employees!$A$2:$A$37,0)),"")</f>
        <v>William Johnson</v>
      </c>
      <c r="N290" s="10">
        <f t="shared" si="14"/>
        <v>1</v>
      </c>
    </row>
    <row r="291" spans="1:14" ht="15" customHeight="1" x14ac:dyDescent="0.25">
      <c r="A291" s="10">
        <v>290</v>
      </c>
      <c r="B291" s="10">
        <v>60</v>
      </c>
      <c r="C291" s="10">
        <v>1</v>
      </c>
      <c r="D291" s="10" t="s">
        <v>914</v>
      </c>
      <c r="E291" s="10" t="s">
        <v>915</v>
      </c>
      <c r="F291" s="10" t="s">
        <v>18</v>
      </c>
      <c r="G291" s="10" t="s">
        <v>38</v>
      </c>
      <c r="H291" s="19">
        <f>SUMIF(OrderItems!$B$2:$B$1254,A291,OrderItems!$G$2:$G$1254)</f>
        <v>2835.6589999999997</v>
      </c>
      <c r="I291" s="19">
        <f>SUMIF(OrderItems!$B$2:$B$1254,A291,OrderItems!$K$2:$K$1254)</f>
        <v>1669.13</v>
      </c>
      <c r="J291" s="19">
        <f t="shared" si="12"/>
        <v>1166.5289999999995</v>
      </c>
      <c r="K291" s="10" t="str">
        <f t="shared" si="13"/>
        <v>2023-07</v>
      </c>
      <c r="L291" s="10" t="str">
        <f>IFERROR(INDEX(Customers!$G$2:$G$61,MATCH(B291,Customers!$A$2:$A$61,0)),"")</f>
        <v>Consumer</v>
      </c>
      <c r="M291" s="10" t="str">
        <f>IFERROR(INDEX(Employees!$B$2:$B$37,MATCH(C291,Employees!$A$2:$A$37,0))&amp;" "&amp;INDEX(Employees!$C$2:$C$37,MATCH(C291,Employees!$A$2:$A$37,0)),"")</f>
        <v>Daniel Brown</v>
      </c>
      <c r="N291" s="10">
        <f t="shared" si="14"/>
        <v>6</v>
      </c>
    </row>
    <row r="292" spans="1:14" ht="15" customHeight="1" x14ac:dyDescent="0.25">
      <c r="A292" s="10">
        <v>291</v>
      </c>
      <c r="B292" s="10">
        <v>34</v>
      </c>
      <c r="C292" s="10">
        <v>8</v>
      </c>
      <c r="D292" s="10" t="s">
        <v>1126</v>
      </c>
      <c r="E292" s="10" t="s">
        <v>839</v>
      </c>
      <c r="F292" s="10" t="s">
        <v>14</v>
      </c>
      <c r="G292" s="10" t="s">
        <v>39</v>
      </c>
      <c r="H292" s="19">
        <f>SUMIF(OrderItems!$B$2:$B$1254,A292,OrderItems!$G$2:$G$1254)</f>
        <v>9664.6285000000007</v>
      </c>
      <c r="I292" s="19">
        <f>SUMIF(OrderItems!$B$2:$B$1254,A292,OrderItems!$K$2:$K$1254)</f>
        <v>5280.03</v>
      </c>
      <c r="J292" s="19">
        <f t="shared" si="12"/>
        <v>4384.598500000001</v>
      </c>
      <c r="K292" s="10" t="str">
        <f t="shared" si="13"/>
        <v>2024-03</v>
      </c>
      <c r="L292" s="10" t="str">
        <f>IFERROR(INDEX(Customers!$G$2:$G$61,MATCH(B292,Customers!$A$2:$A$61,0)),"")</f>
        <v>Small Business</v>
      </c>
      <c r="M292" s="10" t="str">
        <f>IFERROR(INDEX(Employees!$B$2:$B$37,MATCH(C292,Employees!$A$2:$A$37,0))&amp;" "&amp;INDEX(Employees!$C$2:$C$37,MATCH(C292,Employees!$A$2:$A$37,0)),"")</f>
        <v>John Gonzalez</v>
      </c>
      <c r="N292" s="10">
        <f t="shared" si="14"/>
        <v>2</v>
      </c>
    </row>
    <row r="293" spans="1:14" ht="15" customHeight="1" x14ac:dyDescent="0.25">
      <c r="A293" s="10">
        <v>292</v>
      </c>
      <c r="B293" s="10">
        <v>34</v>
      </c>
      <c r="C293" s="10">
        <v>10</v>
      </c>
      <c r="D293" s="10" t="s">
        <v>1058</v>
      </c>
      <c r="E293" s="10" t="s">
        <v>1127</v>
      </c>
      <c r="F293" s="10" t="s">
        <v>14</v>
      </c>
      <c r="G293" s="10" t="s">
        <v>37</v>
      </c>
      <c r="H293" s="19">
        <f>SUMIF(OrderItems!$B$2:$B$1254,A293,OrderItems!$G$2:$G$1254)</f>
        <v>2076.5280000000002</v>
      </c>
      <c r="I293" s="19">
        <f>SUMIF(OrderItems!$B$2:$B$1254,A293,OrderItems!$K$2:$K$1254)</f>
        <v>1366.1</v>
      </c>
      <c r="J293" s="19">
        <f t="shared" si="12"/>
        <v>710.42800000000034</v>
      </c>
      <c r="K293" s="10" t="str">
        <f t="shared" si="13"/>
        <v>2025-10</v>
      </c>
      <c r="L293" s="10" t="str">
        <f>IFERROR(INDEX(Customers!$G$2:$G$61,MATCH(B293,Customers!$A$2:$A$61,0)),"")</f>
        <v>Small Business</v>
      </c>
      <c r="M293" s="10" t="str">
        <f>IFERROR(INDEX(Employees!$B$2:$B$37,MATCH(C293,Employees!$A$2:$A$37,0))&amp;" "&amp;INDEX(Employees!$C$2:$C$37,MATCH(C293,Employees!$A$2:$A$37,0)),"")</f>
        <v>John Moore</v>
      </c>
      <c r="N293" s="10">
        <f t="shared" si="14"/>
        <v>10</v>
      </c>
    </row>
    <row r="294" spans="1:14" ht="15" customHeight="1" x14ac:dyDescent="0.25">
      <c r="A294" s="10">
        <v>293</v>
      </c>
      <c r="B294" s="10">
        <v>27</v>
      </c>
      <c r="C294" s="10">
        <v>1</v>
      </c>
      <c r="D294" s="10" t="s">
        <v>1128</v>
      </c>
      <c r="F294" s="10" t="s">
        <v>16</v>
      </c>
      <c r="G294" s="10" t="s">
        <v>39</v>
      </c>
      <c r="H294" s="19">
        <f>SUMIF(OrderItems!$B$2:$B$1254,A294,OrderItems!$G$2:$G$1254)</f>
        <v>2928.038</v>
      </c>
      <c r="I294" s="19">
        <f>SUMIF(OrderItems!$B$2:$B$1254,A294,OrderItems!$K$2:$K$1254)</f>
        <v>1636.41</v>
      </c>
      <c r="J294" s="19">
        <f t="shared" si="12"/>
        <v>1291.6279999999999</v>
      </c>
      <c r="K294" s="10" t="str">
        <f t="shared" si="13"/>
        <v>2024-11</v>
      </c>
      <c r="L294" s="10" t="str">
        <f>IFERROR(INDEX(Customers!$G$2:$G$61,MATCH(B294,Customers!$A$2:$A$61,0)),"")</f>
        <v>Small Business</v>
      </c>
      <c r="M294" s="10" t="str">
        <f>IFERROR(INDEX(Employees!$B$2:$B$37,MATCH(C294,Employees!$A$2:$A$37,0))&amp;" "&amp;INDEX(Employees!$C$2:$C$37,MATCH(C294,Employees!$A$2:$A$37,0)),"")</f>
        <v>Daniel Brown</v>
      </c>
      <c r="N294" s="10" t="str">
        <f t="shared" si="14"/>
        <v/>
      </c>
    </row>
    <row r="295" spans="1:14" ht="15" customHeight="1" x14ac:dyDescent="0.25">
      <c r="A295" s="10">
        <v>294</v>
      </c>
      <c r="B295" s="10">
        <v>33</v>
      </c>
      <c r="C295" s="10">
        <v>9</v>
      </c>
      <c r="D295" s="10" t="s">
        <v>1129</v>
      </c>
      <c r="E295" s="10" t="s">
        <v>981</v>
      </c>
      <c r="F295" s="10" t="s">
        <v>14</v>
      </c>
      <c r="G295" s="10" t="s">
        <v>38</v>
      </c>
      <c r="H295" s="19">
        <f>SUMIF(OrderItems!$B$2:$B$1254,A295,OrderItems!$G$2:$G$1254)</f>
        <v>7743.5340000000006</v>
      </c>
      <c r="I295" s="19">
        <f>SUMIF(OrderItems!$B$2:$B$1254,A295,OrderItems!$K$2:$K$1254)</f>
        <v>4556.3899999999994</v>
      </c>
      <c r="J295" s="19">
        <f t="shared" si="12"/>
        <v>3187.1440000000011</v>
      </c>
      <c r="K295" s="10" t="str">
        <f t="shared" si="13"/>
        <v>2023-01</v>
      </c>
      <c r="L295" s="10" t="str">
        <f>IFERROR(INDEX(Customers!$G$2:$G$61,MATCH(B295,Customers!$A$2:$A$61,0)),"")</f>
        <v>Consumer</v>
      </c>
      <c r="M295" s="10" t="str">
        <f>IFERROR(INDEX(Employees!$B$2:$B$37,MATCH(C295,Employees!$A$2:$A$37,0))&amp;" "&amp;INDEX(Employees!$C$2:$C$37,MATCH(C295,Employees!$A$2:$A$37,0)),"")</f>
        <v>William Johnson</v>
      </c>
      <c r="N295" s="10">
        <f t="shared" si="14"/>
        <v>6</v>
      </c>
    </row>
    <row r="296" spans="1:14" ht="15" customHeight="1" x14ac:dyDescent="0.25">
      <c r="A296" s="10">
        <v>295</v>
      </c>
      <c r="B296" s="10">
        <v>31</v>
      </c>
      <c r="C296" s="10">
        <v>8</v>
      </c>
      <c r="D296" s="10" t="s">
        <v>1130</v>
      </c>
      <c r="F296" s="10" t="s">
        <v>16</v>
      </c>
      <c r="G296" s="10" t="s">
        <v>40</v>
      </c>
      <c r="H296" s="19">
        <f>SUMIF(OrderItems!$B$2:$B$1254,A296,OrderItems!$G$2:$G$1254)</f>
        <v>5761.9639999999999</v>
      </c>
      <c r="I296" s="19">
        <f>SUMIF(OrderItems!$B$2:$B$1254,A296,OrderItems!$K$2:$K$1254)</f>
        <v>3413</v>
      </c>
      <c r="J296" s="19">
        <f t="shared" si="12"/>
        <v>2348.9639999999999</v>
      </c>
      <c r="K296" s="10" t="str">
        <f t="shared" si="13"/>
        <v>2025-08</v>
      </c>
      <c r="L296" s="10" t="str">
        <f>IFERROR(INDEX(Customers!$G$2:$G$61,MATCH(B296,Customers!$A$2:$A$61,0)),"")</f>
        <v>Consumer</v>
      </c>
      <c r="M296" s="10" t="str">
        <f>IFERROR(INDEX(Employees!$B$2:$B$37,MATCH(C296,Employees!$A$2:$A$37,0))&amp;" "&amp;INDEX(Employees!$C$2:$C$37,MATCH(C296,Employees!$A$2:$A$37,0)),"")</f>
        <v>John Gonzalez</v>
      </c>
      <c r="N296" s="10" t="str">
        <f t="shared" si="14"/>
        <v/>
      </c>
    </row>
    <row r="297" spans="1:14" ht="15" customHeight="1" x14ac:dyDescent="0.25">
      <c r="A297" s="10">
        <v>296</v>
      </c>
      <c r="B297" s="10">
        <v>10</v>
      </c>
      <c r="C297" s="10">
        <v>9</v>
      </c>
      <c r="D297" s="10" t="s">
        <v>960</v>
      </c>
      <c r="F297" s="10" t="s">
        <v>16</v>
      </c>
      <c r="G297" s="10" t="s">
        <v>40</v>
      </c>
      <c r="H297" s="19">
        <f>SUMIF(OrderItems!$B$2:$B$1254,A297,OrderItems!$G$2:$G$1254)</f>
        <v>5752.6109999999999</v>
      </c>
      <c r="I297" s="19">
        <f>SUMIF(OrderItems!$B$2:$B$1254,A297,OrderItems!$K$2:$K$1254)</f>
        <v>3338.0800000000004</v>
      </c>
      <c r="J297" s="19">
        <f t="shared" si="12"/>
        <v>2414.5309999999995</v>
      </c>
      <c r="K297" s="10" t="str">
        <f t="shared" si="13"/>
        <v>2023-03</v>
      </c>
      <c r="L297" s="10" t="str">
        <f>IFERROR(INDEX(Customers!$G$2:$G$61,MATCH(B297,Customers!$A$2:$A$61,0)),"")</f>
        <v>Corporate</v>
      </c>
      <c r="M297" s="10" t="str">
        <f>IFERROR(INDEX(Employees!$B$2:$B$37,MATCH(C297,Employees!$A$2:$A$37,0))&amp;" "&amp;INDEX(Employees!$C$2:$C$37,MATCH(C297,Employees!$A$2:$A$37,0)),"")</f>
        <v>William Johnson</v>
      </c>
      <c r="N297" s="10" t="str">
        <f t="shared" si="14"/>
        <v/>
      </c>
    </row>
    <row r="298" spans="1:14" ht="15" customHeight="1" x14ac:dyDescent="0.25">
      <c r="A298" s="10">
        <v>297</v>
      </c>
      <c r="B298" s="10">
        <v>29</v>
      </c>
      <c r="C298" s="10">
        <v>9</v>
      </c>
      <c r="D298" s="10" t="s">
        <v>583</v>
      </c>
      <c r="E298" s="10" t="s">
        <v>1131</v>
      </c>
      <c r="F298" s="10" t="s">
        <v>18</v>
      </c>
      <c r="G298" s="10" t="s">
        <v>36</v>
      </c>
      <c r="H298" s="19">
        <f>SUMIF(OrderItems!$B$2:$B$1254,A298,OrderItems!$G$2:$G$1254)</f>
        <v>5296.9740000000002</v>
      </c>
      <c r="I298" s="19">
        <f>SUMIF(OrderItems!$B$2:$B$1254,A298,OrderItems!$K$2:$K$1254)</f>
        <v>3078.7</v>
      </c>
      <c r="J298" s="19">
        <f t="shared" si="12"/>
        <v>2218.2740000000003</v>
      </c>
      <c r="K298" s="10" t="str">
        <f t="shared" si="13"/>
        <v>2024-03</v>
      </c>
      <c r="L298" s="10" t="str">
        <f>IFERROR(INDEX(Customers!$G$2:$G$61,MATCH(B298,Customers!$A$2:$A$61,0)),"")</f>
        <v>Consumer</v>
      </c>
      <c r="M298" s="10" t="str">
        <f>IFERROR(INDEX(Employees!$B$2:$B$37,MATCH(C298,Employees!$A$2:$A$37,0))&amp;" "&amp;INDEX(Employees!$C$2:$C$37,MATCH(C298,Employees!$A$2:$A$37,0)),"")</f>
        <v>William Johnson</v>
      </c>
      <c r="N298" s="10">
        <f t="shared" si="14"/>
        <v>3</v>
      </c>
    </row>
    <row r="299" spans="1:14" ht="15" customHeight="1" x14ac:dyDescent="0.25">
      <c r="A299" s="10">
        <v>298</v>
      </c>
      <c r="B299" s="10">
        <v>22</v>
      </c>
      <c r="C299" s="10">
        <v>10</v>
      </c>
      <c r="D299" s="10" t="s">
        <v>1132</v>
      </c>
      <c r="E299" s="10" t="s">
        <v>1133</v>
      </c>
      <c r="F299" s="10" t="s">
        <v>18</v>
      </c>
      <c r="G299" s="10" t="s">
        <v>37</v>
      </c>
      <c r="H299" s="19">
        <f>SUMIF(OrderItems!$B$2:$B$1254,A299,OrderItems!$G$2:$G$1254)</f>
        <v>361.44</v>
      </c>
      <c r="I299" s="19">
        <f>SUMIF(OrderItems!$B$2:$B$1254,A299,OrderItems!$K$2:$K$1254)</f>
        <v>189.60000000000002</v>
      </c>
      <c r="J299" s="19">
        <f t="shared" si="12"/>
        <v>171.83999999999997</v>
      </c>
      <c r="K299" s="10" t="str">
        <f t="shared" si="13"/>
        <v>2025-12</v>
      </c>
      <c r="L299" s="10" t="str">
        <f>IFERROR(INDEX(Customers!$G$2:$G$61,MATCH(B299,Customers!$A$2:$A$61,0)),"")</f>
        <v>Small Business</v>
      </c>
      <c r="M299" s="10" t="str">
        <f>IFERROR(INDEX(Employees!$B$2:$B$37,MATCH(C299,Employees!$A$2:$A$37,0))&amp;" "&amp;INDEX(Employees!$C$2:$C$37,MATCH(C299,Employees!$A$2:$A$37,0)),"")</f>
        <v>John Moore</v>
      </c>
      <c r="N299" s="10">
        <f t="shared" si="14"/>
        <v>6</v>
      </c>
    </row>
    <row r="300" spans="1:14" ht="15" customHeight="1" x14ac:dyDescent="0.25">
      <c r="A300" s="10">
        <v>299</v>
      </c>
      <c r="B300" s="10">
        <v>30</v>
      </c>
      <c r="C300" s="10">
        <v>10</v>
      </c>
      <c r="D300" s="10" t="s">
        <v>1134</v>
      </c>
      <c r="E300" s="10" t="s">
        <v>1002</v>
      </c>
      <c r="F300" s="10" t="s">
        <v>14</v>
      </c>
      <c r="G300" s="10" t="s">
        <v>38</v>
      </c>
      <c r="H300" s="19">
        <f>SUMIF(OrderItems!$B$2:$B$1254,A300,OrderItems!$G$2:$G$1254)</f>
        <v>1506.88</v>
      </c>
      <c r="I300" s="19">
        <f>SUMIF(OrderItems!$B$2:$B$1254,A300,OrderItems!$K$2:$K$1254)</f>
        <v>1121.0999999999999</v>
      </c>
      <c r="J300" s="19">
        <f t="shared" si="12"/>
        <v>385.7800000000002</v>
      </c>
      <c r="K300" s="10" t="str">
        <f t="shared" si="13"/>
        <v>2025-12</v>
      </c>
      <c r="L300" s="10" t="str">
        <f>IFERROR(INDEX(Customers!$G$2:$G$61,MATCH(B300,Customers!$A$2:$A$61,0)),"")</f>
        <v>Consumer</v>
      </c>
      <c r="M300" s="10" t="str">
        <f>IFERROR(INDEX(Employees!$B$2:$B$37,MATCH(C300,Employees!$A$2:$A$37,0))&amp;" "&amp;INDEX(Employees!$C$2:$C$37,MATCH(C300,Employees!$A$2:$A$37,0)),"")</f>
        <v>John Moore</v>
      </c>
      <c r="N300" s="10">
        <f t="shared" si="14"/>
        <v>1</v>
      </c>
    </row>
    <row r="301" spans="1:14" ht="15" customHeight="1" x14ac:dyDescent="0.25">
      <c r="A301" s="10">
        <v>300</v>
      </c>
      <c r="B301" s="10">
        <v>30</v>
      </c>
      <c r="C301" s="10">
        <v>1</v>
      </c>
      <c r="D301" s="10" t="s">
        <v>532</v>
      </c>
      <c r="E301" s="10" t="s">
        <v>1009</v>
      </c>
      <c r="F301" s="10" t="s">
        <v>18</v>
      </c>
      <c r="G301" s="10" t="s">
        <v>39</v>
      </c>
      <c r="H301" s="19">
        <f>SUMIF(OrderItems!$B$2:$B$1254,A301,OrderItems!$G$2:$G$1254)</f>
        <v>6212.6100000000006</v>
      </c>
      <c r="I301" s="19">
        <f>SUMIF(OrderItems!$B$2:$B$1254,A301,OrderItems!$K$2:$K$1254)</f>
        <v>3539.12</v>
      </c>
      <c r="J301" s="19">
        <f t="shared" si="12"/>
        <v>2673.4900000000007</v>
      </c>
      <c r="K301" s="10" t="str">
        <f t="shared" si="13"/>
        <v>2023-07</v>
      </c>
      <c r="L301" s="10" t="str">
        <f>IFERROR(INDEX(Customers!$G$2:$G$61,MATCH(B301,Customers!$A$2:$A$61,0)),"")</f>
        <v>Consumer</v>
      </c>
      <c r="M301" s="10" t="str">
        <f>IFERROR(INDEX(Employees!$B$2:$B$37,MATCH(C301,Employees!$A$2:$A$37,0))&amp;" "&amp;INDEX(Employees!$C$2:$C$37,MATCH(C301,Employees!$A$2:$A$37,0)),"")</f>
        <v>Daniel Brown</v>
      </c>
      <c r="N301" s="10">
        <f t="shared" si="14"/>
        <v>1</v>
      </c>
    </row>
    <row r="302" spans="1:14" ht="15" customHeight="1" x14ac:dyDescent="0.25">
      <c r="A302" s="10">
        <v>301</v>
      </c>
      <c r="B302" s="10">
        <v>18</v>
      </c>
      <c r="C302" s="10">
        <v>8</v>
      </c>
      <c r="D302" s="10" t="s">
        <v>1135</v>
      </c>
      <c r="E302" s="10" t="s">
        <v>1136</v>
      </c>
      <c r="F302" s="10" t="s">
        <v>18</v>
      </c>
      <c r="G302" s="10" t="s">
        <v>36</v>
      </c>
      <c r="H302" s="19">
        <f>SUMIF(OrderItems!$B$2:$B$1254,A302,OrderItems!$G$2:$G$1254)</f>
        <v>6437.4285</v>
      </c>
      <c r="I302" s="19">
        <f>SUMIF(OrderItems!$B$2:$B$1254,A302,OrderItems!$K$2:$K$1254)</f>
        <v>3500.23</v>
      </c>
      <c r="J302" s="19">
        <f t="shared" si="12"/>
        <v>2937.1985</v>
      </c>
      <c r="K302" s="10" t="str">
        <f t="shared" si="13"/>
        <v>2023-11</v>
      </c>
      <c r="L302" s="10" t="str">
        <f>IFERROR(INDEX(Customers!$G$2:$G$61,MATCH(B302,Customers!$A$2:$A$61,0)),"")</f>
        <v>Small Business</v>
      </c>
      <c r="M302" s="10" t="str">
        <f>IFERROR(INDEX(Employees!$B$2:$B$37,MATCH(C302,Employees!$A$2:$A$37,0))&amp;" "&amp;INDEX(Employees!$C$2:$C$37,MATCH(C302,Employees!$A$2:$A$37,0)),"")</f>
        <v>John Gonzalez</v>
      </c>
      <c r="N302" s="10">
        <f t="shared" si="14"/>
        <v>2</v>
      </c>
    </row>
    <row r="303" spans="1:14" ht="15" customHeight="1" x14ac:dyDescent="0.25">
      <c r="A303" s="10">
        <v>302</v>
      </c>
      <c r="B303" s="10">
        <v>40</v>
      </c>
      <c r="C303" s="10">
        <v>9</v>
      </c>
      <c r="D303" s="10" t="s">
        <v>1137</v>
      </c>
      <c r="E303" s="10" t="s">
        <v>1138</v>
      </c>
      <c r="F303" s="10" t="s">
        <v>14</v>
      </c>
      <c r="G303" s="10" t="s">
        <v>36</v>
      </c>
      <c r="H303" s="19">
        <f>SUMIF(OrderItems!$B$2:$B$1254,A303,OrderItems!$G$2:$G$1254)</f>
        <v>5984.0775000000003</v>
      </c>
      <c r="I303" s="19">
        <f>SUMIF(OrderItems!$B$2:$B$1254,A303,OrderItems!$K$2:$K$1254)</f>
        <v>3841.2200000000003</v>
      </c>
      <c r="J303" s="19">
        <f t="shared" si="12"/>
        <v>2142.8575000000001</v>
      </c>
      <c r="K303" s="10" t="str">
        <f t="shared" si="13"/>
        <v>2025-06</v>
      </c>
      <c r="L303" s="10" t="str">
        <f>IFERROR(INDEX(Customers!$G$2:$G$61,MATCH(B303,Customers!$A$2:$A$61,0)),"")</f>
        <v>Corporate</v>
      </c>
      <c r="M303" s="10" t="str">
        <f>IFERROR(INDEX(Employees!$B$2:$B$37,MATCH(C303,Employees!$A$2:$A$37,0))&amp;" "&amp;INDEX(Employees!$C$2:$C$37,MATCH(C303,Employees!$A$2:$A$37,0)),"")</f>
        <v>William Johnson</v>
      </c>
      <c r="N303" s="10">
        <f t="shared" si="14"/>
        <v>3</v>
      </c>
    </row>
    <row r="304" spans="1:14" ht="15" customHeight="1" x14ac:dyDescent="0.25">
      <c r="A304" s="10">
        <v>303</v>
      </c>
      <c r="B304" s="10">
        <v>40</v>
      </c>
      <c r="C304" s="10">
        <v>9</v>
      </c>
      <c r="D304" s="10" t="s">
        <v>1139</v>
      </c>
      <c r="F304" s="10" t="s">
        <v>16</v>
      </c>
      <c r="G304" s="10" t="s">
        <v>37</v>
      </c>
      <c r="H304" s="19">
        <f>SUMIF(OrderItems!$B$2:$B$1254,A304,OrderItems!$G$2:$G$1254)</f>
        <v>6331.4920000000002</v>
      </c>
      <c r="I304" s="19">
        <f>SUMIF(OrderItems!$B$2:$B$1254,A304,OrderItems!$K$2:$K$1254)</f>
        <v>3380.95</v>
      </c>
      <c r="J304" s="19">
        <f t="shared" si="12"/>
        <v>2950.5420000000004</v>
      </c>
      <c r="K304" s="10" t="str">
        <f t="shared" si="13"/>
        <v>2024-10</v>
      </c>
      <c r="L304" s="10" t="str">
        <f>IFERROR(INDEX(Customers!$G$2:$G$61,MATCH(B304,Customers!$A$2:$A$61,0)),"")</f>
        <v>Corporate</v>
      </c>
      <c r="M304" s="10" t="str">
        <f>IFERROR(INDEX(Employees!$B$2:$B$37,MATCH(C304,Employees!$A$2:$A$37,0))&amp;" "&amp;INDEX(Employees!$C$2:$C$37,MATCH(C304,Employees!$A$2:$A$37,0)),"")</f>
        <v>William Johnson</v>
      </c>
      <c r="N304" s="10" t="str">
        <f t="shared" si="14"/>
        <v/>
      </c>
    </row>
    <row r="305" spans="1:14" ht="15" customHeight="1" x14ac:dyDescent="0.25">
      <c r="A305" s="10">
        <v>304</v>
      </c>
      <c r="B305" s="10">
        <v>59</v>
      </c>
      <c r="C305" s="10">
        <v>9</v>
      </c>
      <c r="D305" s="10" t="s">
        <v>1037</v>
      </c>
      <c r="E305" s="10" t="s">
        <v>1140</v>
      </c>
      <c r="F305" s="10" t="s">
        <v>14</v>
      </c>
      <c r="G305" s="10" t="s">
        <v>38</v>
      </c>
      <c r="H305" s="19">
        <f>SUMIF(OrderItems!$B$2:$B$1254,A305,OrderItems!$G$2:$G$1254)</f>
        <v>5559.8760000000002</v>
      </c>
      <c r="I305" s="19">
        <f>SUMIF(OrderItems!$B$2:$B$1254,A305,OrderItems!$K$2:$K$1254)</f>
        <v>3126.1499999999996</v>
      </c>
      <c r="J305" s="19">
        <f t="shared" si="12"/>
        <v>2433.7260000000006</v>
      </c>
      <c r="K305" s="10" t="str">
        <f t="shared" si="13"/>
        <v>2025-03</v>
      </c>
      <c r="L305" s="10" t="str">
        <f>IFERROR(INDEX(Customers!$G$2:$G$61,MATCH(B305,Customers!$A$2:$A$61,0)),"")</f>
        <v>Corporate</v>
      </c>
      <c r="M305" s="10" t="str">
        <f>IFERROR(INDEX(Employees!$B$2:$B$37,MATCH(C305,Employees!$A$2:$A$37,0))&amp;" "&amp;INDEX(Employees!$C$2:$C$37,MATCH(C305,Employees!$A$2:$A$37,0)),"")</f>
        <v>William Johnson</v>
      </c>
      <c r="N305" s="10">
        <f t="shared" si="14"/>
        <v>6</v>
      </c>
    </row>
    <row r="306" spans="1:14" ht="15" customHeight="1" x14ac:dyDescent="0.25">
      <c r="A306" s="10">
        <v>305</v>
      </c>
      <c r="B306" s="10">
        <v>33</v>
      </c>
      <c r="C306" s="10">
        <v>1</v>
      </c>
      <c r="D306" s="10" t="s">
        <v>1141</v>
      </c>
      <c r="E306" s="10" t="s">
        <v>1142</v>
      </c>
      <c r="F306" s="10" t="s">
        <v>14</v>
      </c>
      <c r="G306" s="10" t="s">
        <v>39</v>
      </c>
      <c r="H306" s="19">
        <f>SUMIF(OrderItems!$B$2:$B$1254,A306,OrderItems!$G$2:$G$1254)</f>
        <v>362.86199999999997</v>
      </c>
      <c r="I306" s="19">
        <f>SUMIF(OrderItems!$B$2:$B$1254,A306,OrderItems!$K$2:$K$1254)</f>
        <v>191.70000000000002</v>
      </c>
      <c r="J306" s="19">
        <f t="shared" si="12"/>
        <v>171.16199999999995</v>
      </c>
      <c r="K306" s="10" t="str">
        <f t="shared" si="13"/>
        <v>2025-04</v>
      </c>
      <c r="L306" s="10" t="str">
        <f>IFERROR(INDEX(Customers!$G$2:$G$61,MATCH(B306,Customers!$A$2:$A$61,0)),"")</f>
        <v>Consumer</v>
      </c>
      <c r="M306" s="10" t="str">
        <f>IFERROR(INDEX(Employees!$B$2:$B$37,MATCH(C306,Employees!$A$2:$A$37,0))&amp;" "&amp;INDEX(Employees!$C$2:$C$37,MATCH(C306,Employees!$A$2:$A$37,0)),"")</f>
        <v>Daniel Brown</v>
      </c>
      <c r="N306" s="10">
        <f t="shared" si="14"/>
        <v>6</v>
      </c>
    </row>
    <row r="307" spans="1:14" ht="15" customHeight="1" x14ac:dyDescent="0.25">
      <c r="A307" s="10">
        <v>306</v>
      </c>
      <c r="B307" s="10">
        <v>16</v>
      </c>
      <c r="C307" s="10">
        <v>8</v>
      </c>
      <c r="D307" s="10" t="s">
        <v>822</v>
      </c>
      <c r="E307" s="10" t="s">
        <v>832</v>
      </c>
      <c r="F307" s="10" t="s">
        <v>15</v>
      </c>
      <c r="G307" s="10" t="s">
        <v>36</v>
      </c>
      <c r="H307" s="19">
        <f>SUMIF(OrderItems!$B$2:$B$1254,A307,OrderItems!$G$2:$G$1254)</f>
        <v>5557.8519999999999</v>
      </c>
      <c r="I307" s="19">
        <f>SUMIF(OrderItems!$B$2:$B$1254,A307,OrderItems!$K$2:$K$1254)</f>
        <v>3393.91</v>
      </c>
      <c r="J307" s="19">
        <f t="shared" si="12"/>
        <v>2163.942</v>
      </c>
      <c r="K307" s="10" t="str">
        <f t="shared" si="13"/>
        <v>2023-11</v>
      </c>
      <c r="L307" s="10" t="str">
        <f>IFERROR(INDEX(Customers!$G$2:$G$61,MATCH(B307,Customers!$A$2:$A$61,0)),"")</f>
        <v>Small Business</v>
      </c>
      <c r="M307" s="10" t="str">
        <f>IFERROR(INDEX(Employees!$B$2:$B$37,MATCH(C307,Employees!$A$2:$A$37,0))&amp;" "&amp;INDEX(Employees!$C$2:$C$37,MATCH(C307,Employees!$A$2:$A$37,0)),"")</f>
        <v>John Gonzalez</v>
      </c>
      <c r="N307" s="10">
        <f t="shared" si="14"/>
        <v>7</v>
      </c>
    </row>
    <row r="308" spans="1:14" ht="15" customHeight="1" x14ac:dyDescent="0.25">
      <c r="A308" s="10">
        <v>307</v>
      </c>
      <c r="B308" s="10">
        <v>48</v>
      </c>
      <c r="C308" s="10">
        <v>10</v>
      </c>
      <c r="D308" s="10" t="s">
        <v>1143</v>
      </c>
      <c r="E308" s="10" t="s">
        <v>1144</v>
      </c>
      <c r="F308" s="10" t="s">
        <v>15</v>
      </c>
      <c r="G308" s="10" t="s">
        <v>39</v>
      </c>
      <c r="H308" s="19">
        <f>SUMIF(OrderItems!$B$2:$B$1254,A308,OrderItems!$G$2:$G$1254)</f>
        <v>1071.81</v>
      </c>
      <c r="I308" s="19">
        <f>SUMIF(OrderItems!$B$2:$B$1254,A308,OrderItems!$K$2:$K$1254)</f>
        <v>644.58000000000004</v>
      </c>
      <c r="J308" s="19">
        <f t="shared" si="12"/>
        <v>427.2299999999999</v>
      </c>
      <c r="K308" s="10" t="str">
        <f t="shared" si="13"/>
        <v>2023-08</v>
      </c>
      <c r="L308" s="10" t="str">
        <f>IFERROR(INDEX(Customers!$G$2:$G$61,MATCH(B308,Customers!$A$2:$A$61,0)),"")</f>
        <v>Corporate</v>
      </c>
      <c r="M308" s="10" t="str">
        <f>IFERROR(INDEX(Employees!$B$2:$B$37,MATCH(C308,Employees!$A$2:$A$37,0))&amp;" "&amp;INDEX(Employees!$C$2:$C$37,MATCH(C308,Employees!$A$2:$A$37,0)),"")</f>
        <v>John Moore</v>
      </c>
      <c r="N308" s="10">
        <f t="shared" si="14"/>
        <v>6</v>
      </c>
    </row>
    <row r="309" spans="1:14" ht="15" customHeight="1" x14ac:dyDescent="0.25">
      <c r="A309" s="10">
        <v>308</v>
      </c>
      <c r="B309" s="10">
        <v>44</v>
      </c>
      <c r="C309" s="10">
        <v>10</v>
      </c>
      <c r="D309" s="10" t="s">
        <v>1145</v>
      </c>
      <c r="E309" s="10" t="s">
        <v>1146</v>
      </c>
      <c r="F309" s="10" t="s">
        <v>15</v>
      </c>
      <c r="G309" s="10" t="s">
        <v>36</v>
      </c>
      <c r="H309" s="19">
        <f>SUMIF(OrderItems!$B$2:$B$1254,A309,OrderItems!$G$2:$G$1254)</f>
        <v>1034.0334999999998</v>
      </c>
      <c r="I309" s="19">
        <f>SUMIF(OrderItems!$B$2:$B$1254,A309,OrderItems!$K$2:$K$1254)</f>
        <v>832.74</v>
      </c>
      <c r="J309" s="19">
        <f t="shared" si="12"/>
        <v>201.29349999999977</v>
      </c>
      <c r="K309" s="10" t="str">
        <f t="shared" si="13"/>
        <v>2024-11</v>
      </c>
      <c r="L309" s="10" t="str">
        <f>IFERROR(INDEX(Customers!$G$2:$G$61,MATCH(B309,Customers!$A$2:$A$61,0)),"")</f>
        <v>Corporate</v>
      </c>
      <c r="M309" s="10" t="str">
        <f>IFERROR(INDEX(Employees!$B$2:$B$37,MATCH(C309,Employees!$A$2:$A$37,0))&amp;" "&amp;INDEX(Employees!$C$2:$C$37,MATCH(C309,Employees!$A$2:$A$37,0)),"")</f>
        <v>John Moore</v>
      </c>
      <c r="N309" s="10">
        <f t="shared" si="14"/>
        <v>1</v>
      </c>
    </row>
    <row r="310" spans="1:14" ht="15" customHeight="1" x14ac:dyDescent="0.25">
      <c r="A310" s="10">
        <v>309</v>
      </c>
      <c r="B310" s="10">
        <v>25</v>
      </c>
      <c r="C310" s="10">
        <v>10</v>
      </c>
      <c r="D310" s="10" t="s">
        <v>1147</v>
      </c>
      <c r="E310" s="10" t="s">
        <v>1148</v>
      </c>
      <c r="F310" s="10" t="s">
        <v>14</v>
      </c>
      <c r="G310" s="10" t="s">
        <v>38</v>
      </c>
      <c r="H310" s="19">
        <f>SUMIF(OrderItems!$B$2:$B$1254,A310,OrderItems!$G$2:$G$1254)</f>
        <v>6022.8274999999994</v>
      </c>
      <c r="I310" s="19">
        <f>SUMIF(OrderItems!$B$2:$B$1254,A310,OrderItems!$K$2:$K$1254)</f>
        <v>3510.9100000000008</v>
      </c>
      <c r="J310" s="19">
        <f t="shared" si="12"/>
        <v>2511.9174999999987</v>
      </c>
      <c r="K310" s="10" t="str">
        <f t="shared" si="13"/>
        <v>2024-02</v>
      </c>
      <c r="L310" s="10" t="str">
        <f>IFERROR(INDEX(Customers!$G$2:$G$61,MATCH(B310,Customers!$A$2:$A$61,0)),"")</f>
        <v>Small Business</v>
      </c>
      <c r="M310" s="10" t="str">
        <f>IFERROR(INDEX(Employees!$B$2:$B$37,MATCH(C310,Employees!$A$2:$A$37,0))&amp;" "&amp;INDEX(Employees!$C$2:$C$37,MATCH(C310,Employees!$A$2:$A$37,0)),"")</f>
        <v>John Moore</v>
      </c>
      <c r="N310" s="10">
        <f t="shared" si="14"/>
        <v>6</v>
      </c>
    </row>
    <row r="311" spans="1:14" ht="15" customHeight="1" x14ac:dyDescent="0.25">
      <c r="A311" s="10">
        <v>310</v>
      </c>
      <c r="B311" s="10">
        <v>1</v>
      </c>
      <c r="C311" s="10">
        <v>9</v>
      </c>
      <c r="D311" s="10" t="s">
        <v>1149</v>
      </c>
      <c r="E311" s="10" t="s">
        <v>1105</v>
      </c>
      <c r="F311" s="10" t="s">
        <v>18</v>
      </c>
      <c r="G311" s="10" t="s">
        <v>37</v>
      </c>
      <c r="H311" s="19">
        <f>SUMIF(OrderItems!$B$2:$B$1254,A311,OrderItems!$G$2:$G$1254)</f>
        <v>10518.3105</v>
      </c>
      <c r="I311" s="19">
        <f>SUMIF(OrderItems!$B$2:$B$1254,A311,OrderItems!$K$2:$K$1254)</f>
        <v>5603.67</v>
      </c>
      <c r="J311" s="19">
        <f t="shared" si="12"/>
        <v>4914.6404999999995</v>
      </c>
      <c r="K311" s="10" t="str">
        <f t="shared" si="13"/>
        <v>2023-08</v>
      </c>
      <c r="L311" s="10" t="str">
        <f>IFERROR(INDEX(Customers!$G$2:$G$61,MATCH(B311,Customers!$A$2:$A$61,0)),"")</f>
        <v>Corporate</v>
      </c>
      <c r="M311" s="10" t="str">
        <f>IFERROR(INDEX(Employees!$B$2:$B$37,MATCH(C311,Employees!$A$2:$A$37,0))&amp;" "&amp;INDEX(Employees!$C$2:$C$37,MATCH(C311,Employees!$A$2:$A$37,0)),"")</f>
        <v>William Johnson</v>
      </c>
      <c r="N311" s="10">
        <f t="shared" si="14"/>
        <v>1</v>
      </c>
    </row>
    <row r="312" spans="1:14" ht="15" customHeight="1" x14ac:dyDescent="0.25">
      <c r="A312" s="10">
        <v>311</v>
      </c>
      <c r="B312" s="10">
        <v>31</v>
      </c>
      <c r="C312" s="10">
        <v>8</v>
      </c>
      <c r="D312" s="10" t="s">
        <v>1150</v>
      </c>
      <c r="F312" s="10" t="s">
        <v>17</v>
      </c>
      <c r="G312" s="10" t="s">
        <v>38</v>
      </c>
      <c r="H312" s="19">
        <f>SUMIF(OrderItems!$B$2:$B$1254,A312,OrderItems!$G$2:$G$1254)</f>
        <v>2939.3549999999996</v>
      </c>
      <c r="I312" s="19">
        <f>SUMIF(OrderItems!$B$2:$B$1254,A312,OrderItems!$K$2:$K$1254)</f>
        <v>2071.46</v>
      </c>
      <c r="J312" s="19">
        <f t="shared" si="12"/>
        <v>867.89499999999953</v>
      </c>
      <c r="K312" s="10" t="str">
        <f t="shared" si="13"/>
        <v>2024-01</v>
      </c>
      <c r="L312" s="10" t="str">
        <f>IFERROR(INDEX(Customers!$G$2:$G$61,MATCH(B312,Customers!$A$2:$A$61,0)),"")</f>
        <v>Consumer</v>
      </c>
      <c r="M312" s="10" t="str">
        <f>IFERROR(INDEX(Employees!$B$2:$B$37,MATCH(C312,Employees!$A$2:$A$37,0))&amp;" "&amp;INDEX(Employees!$C$2:$C$37,MATCH(C312,Employees!$A$2:$A$37,0)),"")</f>
        <v>John Gonzalez</v>
      </c>
      <c r="N312" s="10" t="str">
        <f t="shared" si="14"/>
        <v/>
      </c>
    </row>
    <row r="313" spans="1:14" ht="15" customHeight="1" x14ac:dyDescent="0.25">
      <c r="A313" s="10">
        <v>312</v>
      </c>
      <c r="B313" s="10">
        <v>28</v>
      </c>
      <c r="C313" s="10">
        <v>8</v>
      </c>
      <c r="D313" s="10" t="s">
        <v>1151</v>
      </c>
      <c r="E313" s="10" t="s">
        <v>775</v>
      </c>
      <c r="F313" s="10" t="s">
        <v>14</v>
      </c>
      <c r="G313" s="10" t="s">
        <v>40</v>
      </c>
      <c r="H313" s="19">
        <f>SUMIF(OrderItems!$B$2:$B$1254,A313,OrderItems!$G$2:$G$1254)</f>
        <v>7312.2210000000005</v>
      </c>
      <c r="I313" s="19">
        <f>SUMIF(OrderItems!$B$2:$B$1254,A313,OrderItems!$K$2:$K$1254)</f>
        <v>4257.6099999999997</v>
      </c>
      <c r="J313" s="19">
        <f t="shared" si="12"/>
        <v>3054.6110000000008</v>
      </c>
      <c r="K313" s="10" t="str">
        <f t="shared" si="13"/>
        <v>2023-06</v>
      </c>
      <c r="L313" s="10" t="str">
        <f>IFERROR(INDEX(Customers!$G$2:$G$61,MATCH(B313,Customers!$A$2:$A$61,0)),"")</f>
        <v>Small Business</v>
      </c>
      <c r="M313" s="10" t="str">
        <f>IFERROR(INDEX(Employees!$B$2:$B$37,MATCH(C313,Employees!$A$2:$A$37,0))&amp;" "&amp;INDEX(Employees!$C$2:$C$37,MATCH(C313,Employees!$A$2:$A$37,0)),"")</f>
        <v>John Gonzalez</v>
      </c>
      <c r="N313" s="10">
        <f t="shared" si="14"/>
        <v>7</v>
      </c>
    </row>
    <row r="314" spans="1:14" ht="15" customHeight="1" x14ac:dyDescent="0.25">
      <c r="A314" s="10">
        <v>313</v>
      </c>
      <c r="B314" s="10">
        <v>55</v>
      </c>
      <c r="C314" s="10">
        <v>8</v>
      </c>
      <c r="D314" s="10" t="s">
        <v>1152</v>
      </c>
      <c r="E314" s="10" t="s">
        <v>1106</v>
      </c>
      <c r="F314" s="10" t="s">
        <v>18</v>
      </c>
      <c r="G314" s="10" t="s">
        <v>39</v>
      </c>
      <c r="H314" s="19">
        <f>SUMIF(OrderItems!$B$2:$B$1254,A314,OrderItems!$G$2:$G$1254)</f>
        <v>7448.9474999999984</v>
      </c>
      <c r="I314" s="19">
        <f>SUMIF(OrderItems!$B$2:$B$1254,A314,OrderItems!$K$2:$K$1254)</f>
        <v>3769.6800000000003</v>
      </c>
      <c r="J314" s="19">
        <f t="shared" si="12"/>
        <v>3679.2674999999981</v>
      </c>
      <c r="K314" s="10" t="str">
        <f t="shared" si="13"/>
        <v>2025-10</v>
      </c>
      <c r="L314" s="10" t="str">
        <f>IFERROR(INDEX(Customers!$G$2:$G$61,MATCH(B314,Customers!$A$2:$A$61,0)),"")</f>
        <v>Consumer</v>
      </c>
      <c r="M314" s="10" t="str">
        <f>IFERROR(INDEX(Employees!$B$2:$B$37,MATCH(C314,Employees!$A$2:$A$37,0))&amp;" "&amp;INDEX(Employees!$C$2:$C$37,MATCH(C314,Employees!$A$2:$A$37,0)),"")</f>
        <v>John Gonzalez</v>
      </c>
      <c r="N314" s="10">
        <f t="shared" si="14"/>
        <v>7</v>
      </c>
    </row>
    <row r="315" spans="1:14" ht="15" customHeight="1" x14ac:dyDescent="0.25">
      <c r="A315" s="10">
        <v>314</v>
      </c>
      <c r="B315" s="10">
        <v>34</v>
      </c>
      <c r="C315" s="10">
        <v>1</v>
      </c>
      <c r="D315" s="10" t="s">
        <v>1153</v>
      </c>
      <c r="E315" s="10" t="s">
        <v>1154</v>
      </c>
      <c r="F315" s="10" t="s">
        <v>15</v>
      </c>
      <c r="G315" s="10" t="s">
        <v>39</v>
      </c>
      <c r="H315" s="19">
        <f>SUMIF(OrderItems!$B$2:$B$1254,A315,OrderItems!$G$2:$G$1254)</f>
        <v>5604.8945000000003</v>
      </c>
      <c r="I315" s="19">
        <f>SUMIF(OrderItems!$B$2:$B$1254,A315,OrderItems!$K$2:$K$1254)</f>
        <v>3482.8099999999995</v>
      </c>
      <c r="J315" s="19">
        <f t="shared" si="12"/>
        <v>2122.0845000000008</v>
      </c>
      <c r="K315" s="10" t="str">
        <f t="shared" si="13"/>
        <v>2024-05</v>
      </c>
      <c r="L315" s="10" t="str">
        <f>IFERROR(INDEX(Customers!$G$2:$G$61,MATCH(B315,Customers!$A$2:$A$61,0)),"")</f>
        <v>Small Business</v>
      </c>
      <c r="M315" s="10" t="str">
        <f>IFERROR(INDEX(Employees!$B$2:$B$37,MATCH(C315,Employees!$A$2:$A$37,0))&amp;" "&amp;INDEX(Employees!$C$2:$C$37,MATCH(C315,Employees!$A$2:$A$37,0)),"")</f>
        <v>Daniel Brown</v>
      </c>
      <c r="N315" s="10">
        <f t="shared" si="14"/>
        <v>2</v>
      </c>
    </row>
    <row r="316" spans="1:14" ht="15" customHeight="1" x14ac:dyDescent="0.25">
      <c r="A316" s="10">
        <v>315</v>
      </c>
      <c r="B316" s="10">
        <v>45</v>
      </c>
      <c r="C316" s="10">
        <v>9</v>
      </c>
      <c r="D316" s="10" t="s">
        <v>942</v>
      </c>
      <c r="E316" s="10" t="s">
        <v>999</v>
      </c>
      <c r="F316" s="10" t="s">
        <v>14</v>
      </c>
      <c r="G316" s="10" t="s">
        <v>39</v>
      </c>
      <c r="H316" s="19">
        <f>SUMIF(OrderItems!$B$2:$B$1254,A316,OrderItems!$G$2:$G$1254)</f>
        <v>2308.3200000000002</v>
      </c>
      <c r="I316" s="19">
        <f>SUMIF(OrderItems!$B$2:$B$1254,A316,OrderItems!$K$2:$K$1254)</f>
        <v>1330.4</v>
      </c>
      <c r="J316" s="19">
        <f t="shared" si="12"/>
        <v>977.92000000000007</v>
      </c>
      <c r="K316" s="10" t="str">
        <f t="shared" si="13"/>
        <v>2024-06</v>
      </c>
      <c r="L316" s="10" t="str">
        <f>IFERROR(INDEX(Customers!$G$2:$G$61,MATCH(B316,Customers!$A$2:$A$61,0)),"")</f>
        <v>Consumer</v>
      </c>
      <c r="M316" s="10" t="str">
        <f>IFERROR(INDEX(Employees!$B$2:$B$37,MATCH(C316,Employees!$A$2:$A$37,0))&amp;" "&amp;INDEX(Employees!$C$2:$C$37,MATCH(C316,Employees!$A$2:$A$37,0)),"")</f>
        <v>William Johnson</v>
      </c>
      <c r="N316" s="10">
        <f t="shared" si="14"/>
        <v>8</v>
      </c>
    </row>
    <row r="317" spans="1:14" ht="15" customHeight="1" x14ac:dyDescent="0.25">
      <c r="A317" s="10">
        <v>316</v>
      </c>
      <c r="B317" s="10">
        <v>6</v>
      </c>
      <c r="C317" s="10">
        <v>8</v>
      </c>
      <c r="D317" s="10" t="s">
        <v>1155</v>
      </c>
      <c r="E317" s="10" t="s">
        <v>1156</v>
      </c>
      <c r="F317" s="10" t="s">
        <v>14</v>
      </c>
      <c r="G317" s="10" t="s">
        <v>38</v>
      </c>
      <c r="H317" s="19">
        <f>SUMIF(OrderItems!$B$2:$B$1254,A317,OrderItems!$G$2:$G$1254)</f>
        <v>3843.13</v>
      </c>
      <c r="I317" s="19">
        <f>SUMIF(OrderItems!$B$2:$B$1254,A317,OrderItems!$K$2:$K$1254)</f>
        <v>2257.25</v>
      </c>
      <c r="J317" s="19">
        <f t="shared" si="12"/>
        <v>1585.88</v>
      </c>
      <c r="K317" s="10" t="str">
        <f t="shared" si="13"/>
        <v>2025-11</v>
      </c>
      <c r="L317" s="10" t="str">
        <f>IFERROR(INDEX(Customers!$G$2:$G$61,MATCH(B317,Customers!$A$2:$A$61,0)),"")</f>
        <v>Consumer</v>
      </c>
      <c r="M317" s="10" t="str">
        <f>IFERROR(INDEX(Employees!$B$2:$B$37,MATCH(C317,Employees!$A$2:$A$37,0))&amp;" "&amp;INDEX(Employees!$C$2:$C$37,MATCH(C317,Employees!$A$2:$A$37,0)),"")</f>
        <v>John Gonzalez</v>
      </c>
      <c r="N317" s="10">
        <f t="shared" si="14"/>
        <v>5</v>
      </c>
    </row>
    <row r="318" spans="1:14" ht="15" customHeight="1" x14ac:dyDescent="0.25">
      <c r="A318" s="10">
        <v>317</v>
      </c>
      <c r="B318" s="10">
        <v>39</v>
      </c>
      <c r="C318" s="10">
        <v>8</v>
      </c>
      <c r="D318" s="10" t="s">
        <v>1157</v>
      </c>
      <c r="E318" s="10" t="s">
        <v>821</v>
      </c>
      <c r="F318" s="10" t="s">
        <v>15</v>
      </c>
      <c r="G318" s="10" t="s">
        <v>37</v>
      </c>
      <c r="H318" s="19">
        <f>SUMIF(OrderItems!$B$2:$B$1254,A318,OrderItems!$G$2:$G$1254)</f>
        <v>812.81400000000008</v>
      </c>
      <c r="I318" s="19">
        <f>SUMIF(OrderItems!$B$2:$B$1254,A318,OrderItems!$K$2:$K$1254)</f>
        <v>684.05</v>
      </c>
      <c r="J318" s="19">
        <f t="shared" si="12"/>
        <v>128.76400000000012</v>
      </c>
      <c r="K318" s="10" t="str">
        <f t="shared" si="13"/>
        <v>2023-11</v>
      </c>
      <c r="L318" s="10" t="str">
        <f>IFERROR(INDEX(Customers!$G$2:$G$61,MATCH(B318,Customers!$A$2:$A$61,0)),"")</f>
        <v>Consumer</v>
      </c>
      <c r="M318" s="10" t="str">
        <f>IFERROR(INDEX(Employees!$B$2:$B$37,MATCH(C318,Employees!$A$2:$A$37,0))&amp;" "&amp;INDEX(Employees!$C$2:$C$37,MATCH(C318,Employees!$A$2:$A$37,0)),"")</f>
        <v>John Gonzalez</v>
      </c>
      <c r="N318" s="10">
        <f t="shared" si="14"/>
        <v>6</v>
      </c>
    </row>
    <row r="319" spans="1:14" ht="15" customHeight="1" x14ac:dyDescent="0.25">
      <c r="A319" s="10">
        <v>318</v>
      </c>
      <c r="B319" s="10">
        <v>54</v>
      </c>
      <c r="C319" s="10">
        <v>10</v>
      </c>
      <c r="D319" s="10" t="s">
        <v>427</v>
      </c>
      <c r="F319" s="10" t="s">
        <v>17</v>
      </c>
      <c r="G319" s="10" t="s">
        <v>37</v>
      </c>
      <c r="H319" s="19">
        <f>SUMIF(OrderItems!$B$2:$B$1254,A319,OrderItems!$G$2:$G$1254)</f>
        <v>6312.06</v>
      </c>
      <c r="I319" s="19">
        <f>SUMIF(OrderItems!$B$2:$B$1254,A319,OrderItems!$K$2:$K$1254)</f>
        <v>3562.14</v>
      </c>
      <c r="J319" s="19">
        <f t="shared" si="12"/>
        <v>2749.9200000000005</v>
      </c>
      <c r="K319" s="10" t="str">
        <f t="shared" si="13"/>
        <v>2025-04</v>
      </c>
      <c r="L319" s="10" t="str">
        <f>IFERROR(INDEX(Customers!$G$2:$G$61,MATCH(B319,Customers!$A$2:$A$61,0)),"")</f>
        <v>Corporate</v>
      </c>
      <c r="M319" s="10" t="str">
        <f>IFERROR(INDEX(Employees!$B$2:$B$37,MATCH(C319,Employees!$A$2:$A$37,0))&amp;" "&amp;INDEX(Employees!$C$2:$C$37,MATCH(C319,Employees!$A$2:$A$37,0)),"")</f>
        <v>John Moore</v>
      </c>
      <c r="N319" s="10" t="str">
        <f t="shared" si="14"/>
        <v/>
      </c>
    </row>
    <row r="320" spans="1:14" ht="15" customHeight="1" x14ac:dyDescent="0.25">
      <c r="A320" s="10">
        <v>319</v>
      </c>
      <c r="B320" s="10">
        <v>11</v>
      </c>
      <c r="C320" s="10">
        <v>10</v>
      </c>
      <c r="D320" s="10" t="s">
        <v>845</v>
      </c>
      <c r="E320" s="10" t="s">
        <v>1158</v>
      </c>
      <c r="F320" s="10" t="s">
        <v>15</v>
      </c>
      <c r="G320" s="10" t="s">
        <v>40</v>
      </c>
      <c r="H320" s="19">
        <f>SUMIF(OrderItems!$B$2:$B$1254,A320,OrderItems!$G$2:$G$1254)</f>
        <v>9044.8399999999983</v>
      </c>
      <c r="I320" s="19">
        <f>SUMIF(OrderItems!$B$2:$B$1254,A320,OrderItems!$K$2:$K$1254)</f>
        <v>5063.8899999999994</v>
      </c>
      <c r="J320" s="19">
        <f t="shared" si="12"/>
        <v>3980.9499999999989</v>
      </c>
      <c r="K320" s="10" t="str">
        <f t="shared" si="13"/>
        <v>2025-03</v>
      </c>
      <c r="L320" s="10" t="str">
        <f>IFERROR(INDEX(Customers!$G$2:$G$61,MATCH(B320,Customers!$A$2:$A$61,0)),"")</f>
        <v>Consumer</v>
      </c>
      <c r="M320" s="10" t="str">
        <f>IFERROR(INDEX(Employees!$B$2:$B$37,MATCH(C320,Employees!$A$2:$A$37,0))&amp;" "&amp;INDEX(Employees!$C$2:$C$37,MATCH(C320,Employees!$A$2:$A$37,0)),"")</f>
        <v>John Moore</v>
      </c>
      <c r="N320" s="10">
        <f t="shared" si="14"/>
        <v>5</v>
      </c>
    </row>
    <row r="321" spans="1:14" ht="15" customHeight="1" x14ac:dyDescent="0.25">
      <c r="A321" s="10">
        <v>320</v>
      </c>
      <c r="B321" s="10">
        <v>55</v>
      </c>
      <c r="C321" s="10">
        <v>10</v>
      </c>
      <c r="D321" s="10" t="s">
        <v>938</v>
      </c>
      <c r="F321" s="10" t="s">
        <v>16</v>
      </c>
      <c r="G321" s="10" t="s">
        <v>38</v>
      </c>
      <c r="H321" s="19">
        <f>SUMIF(OrderItems!$B$2:$B$1254,A321,OrderItems!$G$2:$G$1254)</f>
        <v>7065.0749999999998</v>
      </c>
      <c r="I321" s="19">
        <f>SUMIF(OrderItems!$B$2:$B$1254,A321,OrderItems!$K$2:$K$1254)</f>
        <v>3519.16</v>
      </c>
      <c r="J321" s="19">
        <f t="shared" si="12"/>
        <v>3545.915</v>
      </c>
      <c r="K321" s="10" t="str">
        <f t="shared" si="13"/>
        <v>2024-07</v>
      </c>
      <c r="L321" s="10" t="str">
        <f>IFERROR(INDEX(Customers!$G$2:$G$61,MATCH(B321,Customers!$A$2:$A$61,0)),"")</f>
        <v>Consumer</v>
      </c>
      <c r="M321" s="10" t="str">
        <f>IFERROR(INDEX(Employees!$B$2:$B$37,MATCH(C321,Employees!$A$2:$A$37,0))&amp;" "&amp;INDEX(Employees!$C$2:$C$37,MATCH(C321,Employees!$A$2:$A$37,0)),"")</f>
        <v>John Moore</v>
      </c>
      <c r="N321" s="10" t="str">
        <f t="shared" si="14"/>
        <v/>
      </c>
    </row>
    <row r="322" spans="1:14" ht="15" customHeight="1" x14ac:dyDescent="0.25">
      <c r="A322" s="10">
        <v>321</v>
      </c>
      <c r="B322" s="10">
        <v>44</v>
      </c>
      <c r="C322" s="10">
        <v>8</v>
      </c>
      <c r="D322" s="10" t="s">
        <v>1159</v>
      </c>
      <c r="E322" s="10" t="s">
        <v>1010</v>
      </c>
      <c r="F322" s="10" t="s">
        <v>14</v>
      </c>
      <c r="G322" s="10" t="s">
        <v>36</v>
      </c>
      <c r="H322" s="19">
        <f>SUMIF(OrderItems!$B$2:$B$1254,A322,OrderItems!$G$2:$G$1254)</f>
        <v>961.2</v>
      </c>
      <c r="I322" s="19">
        <f>SUMIF(OrderItems!$B$2:$B$1254,A322,OrderItems!$K$2:$K$1254)</f>
        <v>481.18</v>
      </c>
      <c r="J322" s="19">
        <f t="shared" ref="J322:J385" si="15">H322-I322</f>
        <v>480.02000000000004</v>
      </c>
      <c r="K322" s="10" t="str">
        <f t="shared" ref="K322:K385" si="16">IF(D322="","",TEXT(D322,"YYYY-MM"))</f>
        <v>2024-10</v>
      </c>
      <c r="L322" s="10" t="str">
        <f>IFERROR(INDEX(Customers!$G$2:$G$61,MATCH(B322,Customers!$A$2:$A$61,0)),"")</f>
        <v>Corporate</v>
      </c>
      <c r="M322" s="10" t="str">
        <f>IFERROR(INDEX(Employees!$B$2:$B$37,MATCH(C322,Employees!$A$2:$A$37,0))&amp;" "&amp;INDEX(Employees!$C$2:$C$37,MATCH(C322,Employees!$A$2:$A$37,0)),"")</f>
        <v>John Gonzalez</v>
      </c>
      <c r="N322" s="10">
        <f t="shared" ref="N322:N385" si="17">IF(E322="","",E322-D322)</f>
        <v>1</v>
      </c>
    </row>
    <row r="323" spans="1:14" ht="15" customHeight="1" x14ac:dyDescent="0.25">
      <c r="A323" s="10">
        <v>322</v>
      </c>
      <c r="B323" s="10">
        <v>23</v>
      </c>
      <c r="C323" s="10">
        <v>8</v>
      </c>
      <c r="D323" s="10" t="s">
        <v>1160</v>
      </c>
      <c r="E323" s="10" t="s">
        <v>1161</v>
      </c>
      <c r="F323" s="10" t="s">
        <v>18</v>
      </c>
      <c r="G323" s="10" t="s">
        <v>36</v>
      </c>
      <c r="H323" s="19">
        <f>SUMIF(OrderItems!$B$2:$B$1254,A323,OrderItems!$G$2:$G$1254)</f>
        <v>585.29999999999995</v>
      </c>
      <c r="I323" s="19">
        <f>SUMIF(OrderItems!$B$2:$B$1254,A323,OrderItems!$K$2:$K$1254)</f>
        <v>436.96</v>
      </c>
      <c r="J323" s="19">
        <f t="shared" si="15"/>
        <v>148.33999999999997</v>
      </c>
      <c r="K323" s="10" t="str">
        <f t="shared" si="16"/>
        <v>2024-08</v>
      </c>
      <c r="L323" s="10" t="str">
        <f>IFERROR(INDEX(Customers!$G$2:$G$61,MATCH(B323,Customers!$A$2:$A$61,0)),"")</f>
        <v>Small Business</v>
      </c>
      <c r="M323" s="10" t="str">
        <f>IFERROR(INDEX(Employees!$B$2:$B$37,MATCH(C323,Employees!$A$2:$A$37,0))&amp;" "&amp;INDEX(Employees!$C$2:$C$37,MATCH(C323,Employees!$A$2:$A$37,0)),"")</f>
        <v>John Gonzalez</v>
      </c>
      <c r="N323" s="10">
        <f t="shared" si="17"/>
        <v>4</v>
      </c>
    </row>
    <row r="324" spans="1:14" ht="15" customHeight="1" x14ac:dyDescent="0.25">
      <c r="A324" s="10">
        <v>323</v>
      </c>
      <c r="B324" s="10">
        <v>39</v>
      </c>
      <c r="C324" s="10">
        <v>1</v>
      </c>
      <c r="D324" s="10" t="s">
        <v>1087</v>
      </c>
      <c r="E324" s="10" t="s">
        <v>1162</v>
      </c>
      <c r="F324" s="10" t="s">
        <v>14</v>
      </c>
      <c r="G324" s="10" t="s">
        <v>37</v>
      </c>
      <c r="H324" s="19">
        <f>SUMIF(OrderItems!$B$2:$B$1254,A324,OrderItems!$G$2:$G$1254)</f>
        <v>2171.3615</v>
      </c>
      <c r="I324" s="19">
        <f>SUMIF(OrderItems!$B$2:$B$1254,A324,OrderItems!$K$2:$K$1254)</f>
        <v>1412.02</v>
      </c>
      <c r="J324" s="19">
        <f t="shared" si="15"/>
        <v>759.3415</v>
      </c>
      <c r="K324" s="10" t="str">
        <f t="shared" si="16"/>
        <v>2023-09</v>
      </c>
      <c r="L324" s="10" t="str">
        <f>IFERROR(INDEX(Customers!$G$2:$G$61,MATCH(B324,Customers!$A$2:$A$61,0)),"")</f>
        <v>Consumer</v>
      </c>
      <c r="M324" s="10" t="str">
        <f>IFERROR(INDEX(Employees!$B$2:$B$37,MATCH(C324,Employees!$A$2:$A$37,0))&amp;" "&amp;INDEX(Employees!$C$2:$C$37,MATCH(C324,Employees!$A$2:$A$37,0)),"")</f>
        <v>Daniel Brown</v>
      </c>
      <c r="N324" s="10">
        <f t="shared" si="17"/>
        <v>10</v>
      </c>
    </row>
    <row r="325" spans="1:14" ht="15" customHeight="1" x14ac:dyDescent="0.25">
      <c r="A325" s="10">
        <v>324</v>
      </c>
      <c r="B325" s="10">
        <v>50</v>
      </c>
      <c r="C325" s="10">
        <v>10</v>
      </c>
      <c r="D325" s="10" t="s">
        <v>1163</v>
      </c>
      <c r="E325" s="10" t="s">
        <v>759</v>
      </c>
      <c r="F325" s="10" t="s">
        <v>18</v>
      </c>
      <c r="G325" s="10" t="s">
        <v>36</v>
      </c>
      <c r="H325" s="19">
        <f>SUMIF(OrderItems!$B$2:$B$1254,A325,OrderItems!$G$2:$G$1254)</f>
        <v>2765.18</v>
      </c>
      <c r="I325" s="19">
        <f>SUMIF(OrderItems!$B$2:$B$1254,A325,OrderItems!$K$2:$K$1254)</f>
        <v>1603.75</v>
      </c>
      <c r="J325" s="19">
        <f t="shared" si="15"/>
        <v>1161.4299999999998</v>
      </c>
      <c r="K325" s="10" t="str">
        <f t="shared" si="16"/>
        <v>2024-10</v>
      </c>
      <c r="L325" s="10" t="str">
        <f>IFERROR(INDEX(Customers!$G$2:$G$61,MATCH(B325,Customers!$A$2:$A$61,0)),"")</f>
        <v>Consumer</v>
      </c>
      <c r="M325" s="10" t="str">
        <f>IFERROR(INDEX(Employees!$B$2:$B$37,MATCH(C325,Employees!$A$2:$A$37,0))&amp;" "&amp;INDEX(Employees!$C$2:$C$37,MATCH(C325,Employees!$A$2:$A$37,0)),"")</f>
        <v>John Moore</v>
      </c>
      <c r="N325" s="10">
        <f t="shared" si="17"/>
        <v>3</v>
      </c>
    </row>
    <row r="326" spans="1:14" ht="15" customHeight="1" x14ac:dyDescent="0.25">
      <c r="A326" s="10">
        <v>325</v>
      </c>
      <c r="B326" s="10">
        <v>32</v>
      </c>
      <c r="C326" s="10">
        <v>8</v>
      </c>
      <c r="D326" s="10" t="s">
        <v>1099</v>
      </c>
      <c r="E326" s="10" t="s">
        <v>1164</v>
      </c>
      <c r="F326" s="10" t="s">
        <v>14</v>
      </c>
      <c r="G326" s="10" t="s">
        <v>36</v>
      </c>
      <c r="H326" s="19">
        <f>SUMIF(OrderItems!$B$2:$B$1254,A326,OrderItems!$G$2:$G$1254)</f>
        <v>3845.07</v>
      </c>
      <c r="I326" s="19">
        <f>SUMIF(OrderItems!$B$2:$B$1254,A326,OrderItems!$K$2:$K$1254)</f>
        <v>2618.48</v>
      </c>
      <c r="J326" s="19">
        <f t="shared" si="15"/>
        <v>1226.5900000000001</v>
      </c>
      <c r="K326" s="10" t="str">
        <f t="shared" si="16"/>
        <v>2025-03</v>
      </c>
      <c r="L326" s="10" t="str">
        <f>IFERROR(INDEX(Customers!$G$2:$G$61,MATCH(B326,Customers!$A$2:$A$61,0)),"")</f>
        <v>Small Business</v>
      </c>
      <c r="M326" s="10" t="str">
        <f>IFERROR(INDEX(Employees!$B$2:$B$37,MATCH(C326,Employees!$A$2:$A$37,0))&amp;" "&amp;INDEX(Employees!$C$2:$C$37,MATCH(C326,Employees!$A$2:$A$37,0)),"")</f>
        <v>John Gonzalez</v>
      </c>
      <c r="N326" s="10">
        <f t="shared" si="17"/>
        <v>8</v>
      </c>
    </row>
    <row r="327" spans="1:14" ht="15" customHeight="1" x14ac:dyDescent="0.25">
      <c r="A327" s="10">
        <v>326</v>
      </c>
      <c r="B327" s="10">
        <v>46</v>
      </c>
      <c r="C327" s="10">
        <v>9</v>
      </c>
      <c r="D327" s="10" t="s">
        <v>532</v>
      </c>
      <c r="E327" s="10" t="s">
        <v>1165</v>
      </c>
      <c r="F327" s="10" t="s">
        <v>14</v>
      </c>
      <c r="G327" s="10" t="s">
        <v>36</v>
      </c>
      <c r="H327" s="19">
        <f>SUMIF(OrderItems!$B$2:$B$1254,A327,OrderItems!$G$2:$G$1254)</f>
        <v>6675.8784999999998</v>
      </c>
      <c r="I327" s="19">
        <f>SUMIF(OrderItems!$B$2:$B$1254,A327,OrderItems!$K$2:$K$1254)</f>
        <v>4057.46</v>
      </c>
      <c r="J327" s="19">
        <f t="shared" si="15"/>
        <v>2618.4184999999998</v>
      </c>
      <c r="K327" s="10" t="str">
        <f t="shared" si="16"/>
        <v>2023-07</v>
      </c>
      <c r="L327" s="10" t="str">
        <f>IFERROR(INDEX(Customers!$G$2:$G$61,MATCH(B327,Customers!$A$2:$A$61,0)),"")</f>
        <v>Small Business</v>
      </c>
      <c r="M327" s="10" t="str">
        <f>IFERROR(INDEX(Employees!$B$2:$B$37,MATCH(C327,Employees!$A$2:$A$37,0))&amp;" "&amp;INDEX(Employees!$C$2:$C$37,MATCH(C327,Employees!$A$2:$A$37,0)),"")</f>
        <v>William Johnson</v>
      </c>
      <c r="N327" s="10">
        <f t="shared" si="17"/>
        <v>2</v>
      </c>
    </row>
    <row r="328" spans="1:14" ht="15" customHeight="1" x14ac:dyDescent="0.25">
      <c r="A328" s="10">
        <v>327</v>
      </c>
      <c r="B328" s="10">
        <v>33</v>
      </c>
      <c r="C328" s="10">
        <v>10</v>
      </c>
      <c r="D328" s="10" t="s">
        <v>1166</v>
      </c>
      <c r="F328" s="10" t="s">
        <v>17</v>
      </c>
      <c r="G328" s="10" t="s">
        <v>40</v>
      </c>
      <c r="H328" s="19">
        <f>SUMIF(OrderItems!$B$2:$B$1254,A328,OrderItems!$G$2:$G$1254)</f>
        <v>597.24</v>
      </c>
      <c r="I328" s="19">
        <f>SUMIF(OrderItems!$B$2:$B$1254,A328,OrderItems!$K$2:$K$1254)</f>
        <v>306.95999999999998</v>
      </c>
      <c r="J328" s="19">
        <f t="shared" si="15"/>
        <v>290.28000000000003</v>
      </c>
      <c r="K328" s="10" t="str">
        <f t="shared" si="16"/>
        <v>2025-09</v>
      </c>
      <c r="L328" s="10" t="str">
        <f>IFERROR(INDEX(Customers!$G$2:$G$61,MATCH(B328,Customers!$A$2:$A$61,0)),"")</f>
        <v>Consumer</v>
      </c>
      <c r="M328" s="10" t="str">
        <f>IFERROR(INDEX(Employees!$B$2:$B$37,MATCH(C328,Employees!$A$2:$A$37,0))&amp;" "&amp;INDEX(Employees!$C$2:$C$37,MATCH(C328,Employees!$A$2:$A$37,0)),"")</f>
        <v>John Moore</v>
      </c>
      <c r="N328" s="10" t="str">
        <f t="shared" si="17"/>
        <v/>
      </c>
    </row>
    <row r="329" spans="1:14" ht="15" customHeight="1" x14ac:dyDescent="0.25">
      <c r="A329" s="10">
        <v>328</v>
      </c>
      <c r="B329" s="10">
        <v>25</v>
      </c>
      <c r="C329" s="10">
        <v>10</v>
      </c>
      <c r="D329" s="10" t="s">
        <v>1167</v>
      </c>
      <c r="F329" s="10" t="s">
        <v>16</v>
      </c>
      <c r="G329" s="10" t="s">
        <v>38</v>
      </c>
      <c r="H329" s="19">
        <f>SUMIF(OrderItems!$B$2:$B$1254,A329,OrderItems!$G$2:$G$1254)</f>
        <v>7123.18</v>
      </c>
      <c r="I329" s="19">
        <f>SUMIF(OrderItems!$B$2:$B$1254,A329,OrderItems!$K$2:$K$1254)</f>
        <v>3640.29</v>
      </c>
      <c r="J329" s="19">
        <f t="shared" si="15"/>
        <v>3482.8900000000003</v>
      </c>
      <c r="K329" s="10" t="str">
        <f t="shared" si="16"/>
        <v>2023-09</v>
      </c>
      <c r="L329" s="10" t="str">
        <f>IFERROR(INDEX(Customers!$G$2:$G$61,MATCH(B329,Customers!$A$2:$A$61,0)),"")</f>
        <v>Small Business</v>
      </c>
      <c r="M329" s="10" t="str">
        <f>IFERROR(INDEX(Employees!$B$2:$B$37,MATCH(C329,Employees!$A$2:$A$37,0))&amp;" "&amp;INDEX(Employees!$C$2:$C$37,MATCH(C329,Employees!$A$2:$A$37,0)),"")</f>
        <v>John Moore</v>
      </c>
      <c r="N329" s="10" t="str">
        <f t="shared" si="17"/>
        <v/>
      </c>
    </row>
    <row r="330" spans="1:14" ht="15" customHeight="1" x14ac:dyDescent="0.25">
      <c r="A330" s="10">
        <v>329</v>
      </c>
      <c r="B330" s="10">
        <v>12</v>
      </c>
      <c r="C330" s="10">
        <v>1</v>
      </c>
      <c r="D330" s="10" t="s">
        <v>1168</v>
      </c>
      <c r="E330" s="10" t="s">
        <v>979</v>
      </c>
      <c r="F330" s="10" t="s">
        <v>14</v>
      </c>
      <c r="G330" s="10" t="s">
        <v>40</v>
      </c>
      <c r="H330" s="19">
        <f>SUMIF(OrderItems!$B$2:$B$1254,A330,OrderItems!$G$2:$G$1254)</f>
        <v>3015.2999999999997</v>
      </c>
      <c r="I330" s="19">
        <f>SUMIF(OrderItems!$B$2:$B$1254,A330,OrderItems!$K$2:$K$1254)</f>
        <v>1496.16</v>
      </c>
      <c r="J330" s="19">
        <f t="shared" si="15"/>
        <v>1519.1399999999996</v>
      </c>
      <c r="K330" s="10" t="str">
        <f t="shared" si="16"/>
        <v>2025-02</v>
      </c>
      <c r="L330" s="10" t="str">
        <f>IFERROR(INDEX(Customers!$G$2:$G$61,MATCH(B330,Customers!$A$2:$A$61,0)),"")</f>
        <v>Small Business</v>
      </c>
      <c r="M330" s="10" t="str">
        <f>IFERROR(INDEX(Employees!$B$2:$B$37,MATCH(C330,Employees!$A$2:$A$37,0))&amp;" "&amp;INDEX(Employees!$C$2:$C$37,MATCH(C330,Employees!$A$2:$A$37,0)),"")</f>
        <v>Daniel Brown</v>
      </c>
      <c r="N330" s="10">
        <f t="shared" si="17"/>
        <v>5</v>
      </c>
    </row>
    <row r="331" spans="1:14" ht="15" customHeight="1" x14ac:dyDescent="0.25">
      <c r="A331" s="10">
        <v>330</v>
      </c>
      <c r="B331" s="10">
        <v>48</v>
      </c>
      <c r="C331" s="10">
        <v>8</v>
      </c>
      <c r="D331" s="10" t="s">
        <v>1169</v>
      </c>
      <c r="E331" s="10" t="s">
        <v>1170</v>
      </c>
      <c r="F331" s="10" t="s">
        <v>14</v>
      </c>
      <c r="G331" s="10" t="s">
        <v>36</v>
      </c>
      <c r="H331" s="19">
        <f>SUMIF(OrderItems!$B$2:$B$1254,A331,OrderItems!$G$2:$G$1254)</f>
        <v>4281.290500000001</v>
      </c>
      <c r="I331" s="19">
        <f>SUMIF(OrderItems!$B$2:$B$1254,A331,OrderItems!$K$2:$K$1254)</f>
        <v>2525.66</v>
      </c>
      <c r="J331" s="19">
        <f t="shared" si="15"/>
        <v>1755.6305000000011</v>
      </c>
      <c r="K331" s="10" t="str">
        <f t="shared" si="16"/>
        <v>2023-10</v>
      </c>
      <c r="L331" s="10" t="str">
        <f>IFERROR(INDEX(Customers!$G$2:$G$61,MATCH(B331,Customers!$A$2:$A$61,0)),"")</f>
        <v>Corporate</v>
      </c>
      <c r="M331" s="10" t="str">
        <f>IFERROR(INDEX(Employees!$B$2:$B$37,MATCH(C331,Employees!$A$2:$A$37,0))&amp;" "&amp;INDEX(Employees!$C$2:$C$37,MATCH(C331,Employees!$A$2:$A$37,0)),"")</f>
        <v>John Gonzalez</v>
      </c>
      <c r="N331" s="10">
        <f t="shared" si="17"/>
        <v>4</v>
      </c>
    </row>
    <row r="332" spans="1:14" ht="15" customHeight="1" x14ac:dyDescent="0.25">
      <c r="A332" s="10">
        <v>331</v>
      </c>
      <c r="B332" s="10">
        <v>26</v>
      </c>
      <c r="C332" s="10">
        <v>1</v>
      </c>
      <c r="D332" s="10" t="s">
        <v>1040</v>
      </c>
      <c r="E332" s="10" t="s">
        <v>583</v>
      </c>
      <c r="F332" s="10" t="s">
        <v>15</v>
      </c>
      <c r="G332" s="10" t="s">
        <v>37</v>
      </c>
      <c r="H332" s="19">
        <f>SUMIF(OrderItems!$B$2:$B$1254,A332,OrderItems!$G$2:$G$1254)</f>
        <v>8921.3559999999998</v>
      </c>
      <c r="I332" s="19">
        <f>SUMIF(OrderItems!$B$2:$B$1254,A332,OrderItems!$K$2:$K$1254)</f>
        <v>4927.2599999999993</v>
      </c>
      <c r="J332" s="19">
        <f t="shared" si="15"/>
        <v>3994.0960000000005</v>
      </c>
      <c r="K332" s="10" t="str">
        <f t="shared" si="16"/>
        <v>2024-03</v>
      </c>
      <c r="L332" s="10" t="str">
        <f>IFERROR(INDEX(Customers!$G$2:$G$61,MATCH(B332,Customers!$A$2:$A$61,0)),"")</f>
        <v>Small Business</v>
      </c>
      <c r="M332" s="10" t="str">
        <f>IFERROR(INDEX(Employees!$B$2:$B$37,MATCH(C332,Employees!$A$2:$A$37,0))&amp;" "&amp;INDEX(Employees!$C$2:$C$37,MATCH(C332,Employees!$A$2:$A$37,0)),"")</f>
        <v>Daniel Brown</v>
      </c>
      <c r="N332" s="10">
        <f t="shared" si="17"/>
        <v>9</v>
      </c>
    </row>
    <row r="333" spans="1:14" ht="15" customHeight="1" x14ac:dyDescent="0.25">
      <c r="A333" s="10">
        <v>332</v>
      </c>
      <c r="B333" s="10">
        <v>30</v>
      </c>
      <c r="C333" s="10">
        <v>8</v>
      </c>
      <c r="D333" s="10" t="s">
        <v>1171</v>
      </c>
      <c r="E333" s="10" t="s">
        <v>1172</v>
      </c>
      <c r="F333" s="10" t="s">
        <v>14</v>
      </c>
      <c r="G333" s="10" t="s">
        <v>40</v>
      </c>
      <c r="H333" s="19">
        <f>SUMIF(OrderItems!$B$2:$B$1254,A333,OrderItems!$G$2:$G$1254)</f>
        <v>6770.1119999999992</v>
      </c>
      <c r="I333" s="19">
        <f>SUMIF(OrderItems!$B$2:$B$1254,A333,OrderItems!$K$2:$K$1254)</f>
        <v>4112.55</v>
      </c>
      <c r="J333" s="19">
        <f t="shared" si="15"/>
        <v>2657.561999999999</v>
      </c>
      <c r="K333" s="10" t="str">
        <f t="shared" si="16"/>
        <v>2023-05</v>
      </c>
      <c r="L333" s="10" t="str">
        <f>IFERROR(INDEX(Customers!$G$2:$G$61,MATCH(B333,Customers!$A$2:$A$61,0)),"")</f>
        <v>Consumer</v>
      </c>
      <c r="M333" s="10" t="str">
        <f>IFERROR(INDEX(Employees!$B$2:$B$37,MATCH(C333,Employees!$A$2:$A$37,0))&amp;" "&amp;INDEX(Employees!$C$2:$C$37,MATCH(C333,Employees!$A$2:$A$37,0)),"")</f>
        <v>John Gonzalez</v>
      </c>
      <c r="N333" s="10">
        <f t="shared" si="17"/>
        <v>2</v>
      </c>
    </row>
    <row r="334" spans="1:14" ht="15" customHeight="1" x14ac:dyDescent="0.25">
      <c r="A334" s="10">
        <v>333</v>
      </c>
      <c r="B334" s="10">
        <v>38</v>
      </c>
      <c r="C334" s="10">
        <v>8</v>
      </c>
      <c r="D334" s="10" t="s">
        <v>1173</v>
      </c>
      <c r="E334" s="10" t="s">
        <v>1174</v>
      </c>
      <c r="F334" s="10" t="s">
        <v>14</v>
      </c>
      <c r="G334" s="10" t="s">
        <v>38</v>
      </c>
      <c r="H334" s="19">
        <f>SUMIF(OrderItems!$B$2:$B$1254,A334,OrderItems!$G$2:$G$1254)</f>
        <v>2358.0930000000003</v>
      </c>
      <c r="I334" s="19">
        <f>SUMIF(OrderItems!$B$2:$B$1254,A334,OrderItems!$K$2:$K$1254)</f>
        <v>1341.7199999999998</v>
      </c>
      <c r="J334" s="19">
        <f t="shared" si="15"/>
        <v>1016.3730000000005</v>
      </c>
      <c r="K334" s="10" t="str">
        <f t="shared" si="16"/>
        <v>2024-11</v>
      </c>
      <c r="L334" s="10" t="str">
        <f>IFERROR(INDEX(Customers!$G$2:$G$61,MATCH(B334,Customers!$A$2:$A$61,0)),"")</f>
        <v>Small Business</v>
      </c>
      <c r="M334" s="10" t="str">
        <f>IFERROR(INDEX(Employees!$B$2:$B$37,MATCH(C334,Employees!$A$2:$A$37,0))&amp;" "&amp;INDEX(Employees!$C$2:$C$37,MATCH(C334,Employees!$A$2:$A$37,0)),"")</f>
        <v>John Gonzalez</v>
      </c>
      <c r="N334" s="10">
        <f t="shared" si="17"/>
        <v>2</v>
      </c>
    </row>
    <row r="335" spans="1:14" ht="15" customHeight="1" x14ac:dyDescent="0.25">
      <c r="A335" s="10">
        <v>334</v>
      </c>
      <c r="B335" s="10">
        <v>16</v>
      </c>
      <c r="C335" s="10">
        <v>1</v>
      </c>
      <c r="D335" s="10" t="s">
        <v>462</v>
      </c>
      <c r="E335" s="10" t="s">
        <v>1034</v>
      </c>
      <c r="F335" s="10" t="s">
        <v>14</v>
      </c>
      <c r="G335" s="10" t="s">
        <v>40</v>
      </c>
      <c r="H335" s="19">
        <f>SUMIF(OrderItems!$B$2:$B$1254,A335,OrderItems!$G$2:$G$1254)</f>
        <v>223.75</v>
      </c>
      <c r="I335" s="19">
        <f>SUMIF(OrderItems!$B$2:$B$1254,A335,OrderItems!$K$2:$K$1254)</f>
        <v>124.53</v>
      </c>
      <c r="J335" s="19">
        <f t="shared" si="15"/>
        <v>99.22</v>
      </c>
      <c r="K335" s="10" t="str">
        <f t="shared" si="16"/>
        <v>2023-10</v>
      </c>
      <c r="L335" s="10" t="str">
        <f>IFERROR(INDEX(Customers!$G$2:$G$61,MATCH(B335,Customers!$A$2:$A$61,0)),"")</f>
        <v>Small Business</v>
      </c>
      <c r="M335" s="10" t="str">
        <f>IFERROR(INDEX(Employees!$B$2:$B$37,MATCH(C335,Employees!$A$2:$A$37,0))&amp;" "&amp;INDEX(Employees!$C$2:$C$37,MATCH(C335,Employees!$A$2:$A$37,0)),"")</f>
        <v>Daniel Brown</v>
      </c>
      <c r="N335" s="10">
        <f t="shared" si="17"/>
        <v>10</v>
      </c>
    </row>
    <row r="336" spans="1:14" ht="15" customHeight="1" x14ac:dyDescent="0.25">
      <c r="A336" s="10">
        <v>335</v>
      </c>
      <c r="B336" s="10">
        <v>27</v>
      </c>
      <c r="C336" s="10">
        <v>10</v>
      </c>
      <c r="D336" s="10" t="s">
        <v>929</v>
      </c>
      <c r="E336" s="10" t="s">
        <v>1175</v>
      </c>
      <c r="F336" s="10" t="s">
        <v>14</v>
      </c>
      <c r="G336" s="10" t="s">
        <v>38</v>
      </c>
      <c r="H336" s="19">
        <f>SUMIF(OrderItems!$B$2:$B$1254,A336,OrderItems!$G$2:$G$1254)</f>
        <v>4820.5959999999995</v>
      </c>
      <c r="I336" s="19">
        <f>SUMIF(OrderItems!$B$2:$B$1254,A336,OrderItems!$K$2:$K$1254)</f>
        <v>2964.34</v>
      </c>
      <c r="J336" s="19">
        <f t="shared" si="15"/>
        <v>1856.2559999999994</v>
      </c>
      <c r="K336" s="10" t="str">
        <f t="shared" si="16"/>
        <v>2023-09</v>
      </c>
      <c r="L336" s="10" t="str">
        <f>IFERROR(INDEX(Customers!$G$2:$G$61,MATCH(B336,Customers!$A$2:$A$61,0)),"")</f>
        <v>Small Business</v>
      </c>
      <c r="M336" s="10" t="str">
        <f>IFERROR(INDEX(Employees!$B$2:$B$37,MATCH(C336,Employees!$A$2:$A$37,0))&amp;" "&amp;INDEX(Employees!$C$2:$C$37,MATCH(C336,Employees!$A$2:$A$37,0)),"")</f>
        <v>John Moore</v>
      </c>
      <c r="N336" s="10">
        <f t="shared" si="17"/>
        <v>3</v>
      </c>
    </row>
    <row r="337" spans="1:14" ht="15" customHeight="1" x14ac:dyDescent="0.25">
      <c r="A337" s="10">
        <v>336</v>
      </c>
      <c r="B337" s="10">
        <v>36</v>
      </c>
      <c r="C337" s="10">
        <v>8</v>
      </c>
      <c r="D337" s="10" t="s">
        <v>1176</v>
      </c>
      <c r="E337" s="10" t="s">
        <v>1177</v>
      </c>
      <c r="F337" s="10" t="s">
        <v>14</v>
      </c>
      <c r="G337" s="10" t="s">
        <v>36</v>
      </c>
      <c r="H337" s="19">
        <f>SUMIF(OrderItems!$B$2:$B$1254,A337,OrderItems!$G$2:$G$1254)</f>
        <v>1693.3240000000001</v>
      </c>
      <c r="I337" s="19">
        <f>SUMIF(OrderItems!$B$2:$B$1254,A337,OrderItems!$K$2:$K$1254)</f>
        <v>1174.4299999999998</v>
      </c>
      <c r="J337" s="19">
        <f t="shared" si="15"/>
        <v>518.89400000000023</v>
      </c>
      <c r="K337" s="10" t="str">
        <f t="shared" si="16"/>
        <v>2024-01</v>
      </c>
      <c r="L337" s="10" t="str">
        <f>IFERROR(INDEX(Customers!$G$2:$G$61,MATCH(B337,Customers!$A$2:$A$61,0)),"")</f>
        <v>Corporate</v>
      </c>
      <c r="M337" s="10" t="str">
        <f>IFERROR(INDEX(Employees!$B$2:$B$37,MATCH(C337,Employees!$A$2:$A$37,0))&amp;" "&amp;INDEX(Employees!$C$2:$C$37,MATCH(C337,Employees!$A$2:$A$37,0)),"")</f>
        <v>John Gonzalez</v>
      </c>
      <c r="N337" s="10">
        <f t="shared" si="17"/>
        <v>9</v>
      </c>
    </row>
    <row r="338" spans="1:14" ht="15" customHeight="1" x14ac:dyDescent="0.25">
      <c r="A338" s="10">
        <v>337</v>
      </c>
      <c r="B338" s="10">
        <v>12</v>
      </c>
      <c r="C338" s="10">
        <v>8</v>
      </c>
      <c r="D338" s="10" t="s">
        <v>1178</v>
      </c>
      <c r="E338" s="10" t="s">
        <v>1179</v>
      </c>
      <c r="F338" s="10" t="s">
        <v>14</v>
      </c>
      <c r="G338" s="10" t="s">
        <v>38</v>
      </c>
      <c r="H338" s="19">
        <f>SUMIF(OrderItems!$B$2:$B$1254,A338,OrderItems!$G$2:$G$1254)</f>
        <v>5834.398000000001</v>
      </c>
      <c r="I338" s="19">
        <f>SUMIF(OrderItems!$B$2:$B$1254,A338,OrderItems!$K$2:$K$1254)</f>
        <v>2909.92</v>
      </c>
      <c r="J338" s="19">
        <f t="shared" si="15"/>
        <v>2924.478000000001</v>
      </c>
      <c r="K338" s="10" t="str">
        <f t="shared" si="16"/>
        <v>2023-03</v>
      </c>
      <c r="L338" s="10" t="str">
        <f>IFERROR(INDEX(Customers!$G$2:$G$61,MATCH(B338,Customers!$A$2:$A$61,0)),"")</f>
        <v>Small Business</v>
      </c>
      <c r="M338" s="10" t="str">
        <f>IFERROR(INDEX(Employees!$B$2:$B$37,MATCH(C338,Employees!$A$2:$A$37,0))&amp;" "&amp;INDEX(Employees!$C$2:$C$37,MATCH(C338,Employees!$A$2:$A$37,0)),"")</f>
        <v>John Gonzalez</v>
      </c>
      <c r="N338" s="10">
        <f t="shared" si="17"/>
        <v>6</v>
      </c>
    </row>
    <row r="339" spans="1:14" ht="15" customHeight="1" x14ac:dyDescent="0.25">
      <c r="A339" s="10">
        <v>338</v>
      </c>
      <c r="B339" s="10">
        <v>60</v>
      </c>
      <c r="C339" s="10">
        <v>8</v>
      </c>
      <c r="D339" s="10" t="s">
        <v>1180</v>
      </c>
      <c r="E339" s="10" t="s">
        <v>820</v>
      </c>
      <c r="F339" s="10" t="s">
        <v>14</v>
      </c>
      <c r="G339" s="10" t="s">
        <v>39</v>
      </c>
      <c r="H339" s="19">
        <f>SUMIF(OrderItems!$B$2:$B$1254,A339,OrderItems!$G$2:$G$1254)</f>
        <v>1343.816</v>
      </c>
      <c r="I339" s="19">
        <f>SUMIF(OrderItems!$B$2:$B$1254,A339,OrderItems!$K$2:$K$1254)</f>
        <v>783.84</v>
      </c>
      <c r="J339" s="19">
        <f t="shared" si="15"/>
        <v>559.976</v>
      </c>
      <c r="K339" s="10" t="str">
        <f t="shared" si="16"/>
        <v>2023-11</v>
      </c>
      <c r="L339" s="10" t="str">
        <f>IFERROR(INDEX(Customers!$G$2:$G$61,MATCH(B339,Customers!$A$2:$A$61,0)),"")</f>
        <v>Consumer</v>
      </c>
      <c r="M339" s="10" t="str">
        <f>IFERROR(INDEX(Employees!$B$2:$B$37,MATCH(C339,Employees!$A$2:$A$37,0))&amp;" "&amp;INDEX(Employees!$C$2:$C$37,MATCH(C339,Employees!$A$2:$A$37,0)),"")</f>
        <v>John Gonzalez</v>
      </c>
      <c r="N339" s="10">
        <f t="shared" si="17"/>
        <v>8</v>
      </c>
    </row>
    <row r="340" spans="1:14" ht="15" customHeight="1" x14ac:dyDescent="0.25">
      <c r="A340" s="10">
        <v>339</v>
      </c>
      <c r="B340" s="10">
        <v>27</v>
      </c>
      <c r="C340" s="10">
        <v>8</v>
      </c>
      <c r="D340" s="10" t="s">
        <v>784</v>
      </c>
      <c r="E340" s="10" t="s">
        <v>1181</v>
      </c>
      <c r="F340" s="10" t="s">
        <v>14</v>
      </c>
      <c r="G340" s="10" t="s">
        <v>38</v>
      </c>
      <c r="H340" s="19">
        <f>SUMIF(OrderItems!$B$2:$B$1254,A340,OrderItems!$G$2:$G$1254)</f>
        <v>2372.0500000000002</v>
      </c>
      <c r="I340" s="19">
        <f>SUMIF(OrderItems!$B$2:$B$1254,A340,OrderItems!$K$2:$K$1254)</f>
        <v>1329.02</v>
      </c>
      <c r="J340" s="19">
        <f t="shared" si="15"/>
        <v>1043.0300000000002</v>
      </c>
      <c r="K340" s="10" t="str">
        <f t="shared" si="16"/>
        <v>2024-10</v>
      </c>
      <c r="L340" s="10" t="str">
        <f>IFERROR(INDEX(Customers!$G$2:$G$61,MATCH(B340,Customers!$A$2:$A$61,0)),"")</f>
        <v>Small Business</v>
      </c>
      <c r="M340" s="10" t="str">
        <f>IFERROR(INDEX(Employees!$B$2:$B$37,MATCH(C340,Employees!$A$2:$A$37,0))&amp;" "&amp;INDEX(Employees!$C$2:$C$37,MATCH(C340,Employees!$A$2:$A$37,0)),"")</f>
        <v>John Gonzalez</v>
      </c>
      <c r="N340" s="10">
        <f t="shared" si="17"/>
        <v>2</v>
      </c>
    </row>
    <row r="341" spans="1:14" ht="15" customHeight="1" x14ac:dyDescent="0.25">
      <c r="A341" s="10">
        <v>340</v>
      </c>
      <c r="B341" s="10">
        <v>31</v>
      </c>
      <c r="C341" s="10">
        <v>10</v>
      </c>
      <c r="D341" s="10" t="s">
        <v>1182</v>
      </c>
      <c r="F341" s="10" t="s">
        <v>17</v>
      </c>
      <c r="G341" s="10" t="s">
        <v>37</v>
      </c>
      <c r="H341" s="19">
        <f>SUMIF(OrderItems!$B$2:$B$1254,A341,OrderItems!$G$2:$G$1254)</f>
        <v>1461.9870000000001</v>
      </c>
      <c r="I341" s="19">
        <f>SUMIF(OrderItems!$B$2:$B$1254,A341,OrderItems!$K$2:$K$1254)</f>
        <v>835.56</v>
      </c>
      <c r="J341" s="19">
        <f t="shared" si="15"/>
        <v>626.42700000000013</v>
      </c>
      <c r="K341" s="10" t="str">
        <f t="shared" si="16"/>
        <v>2023-04</v>
      </c>
      <c r="L341" s="10" t="str">
        <f>IFERROR(INDEX(Customers!$G$2:$G$61,MATCH(B341,Customers!$A$2:$A$61,0)),"")</f>
        <v>Consumer</v>
      </c>
      <c r="M341" s="10" t="str">
        <f>IFERROR(INDEX(Employees!$B$2:$B$37,MATCH(C341,Employees!$A$2:$A$37,0))&amp;" "&amp;INDEX(Employees!$C$2:$C$37,MATCH(C341,Employees!$A$2:$A$37,0)),"")</f>
        <v>John Moore</v>
      </c>
      <c r="N341" s="10" t="str">
        <f t="shared" si="17"/>
        <v/>
      </c>
    </row>
    <row r="342" spans="1:14" ht="15" customHeight="1" x14ac:dyDescent="0.25">
      <c r="A342" s="10">
        <v>341</v>
      </c>
      <c r="B342" s="10">
        <v>30</v>
      </c>
      <c r="C342" s="10">
        <v>8</v>
      </c>
      <c r="D342" s="10" t="s">
        <v>748</v>
      </c>
      <c r="E342" s="10" t="s">
        <v>1183</v>
      </c>
      <c r="F342" s="10" t="s">
        <v>18</v>
      </c>
      <c r="G342" s="10" t="s">
        <v>38</v>
      </c>
      <c r="H342" s="19">
        <f>SUMIF(OrderItems!$B$2:$B$1254,A342,OrderItems!$G$2:$G$1254)</f>
        <v>4664</v>
      </c>
      <c r="I342" s="19">
        <f>SUMIF(OrderItems!$B$2:$B$1254,A342,OrderItems!$K$2:$K$1254)</f>
        <v>2216.8500000000004</v>
      </c>
      <c r="J342" s="19">
        <f t="shared" si="15"/>
        <v>2447.1499999999996</v>
      </c>
      <c r="K342" s="10" t="str">
        <f t="shared" si="16"/>
        <v>2025-01</v>
      </c>
      <c r="L342" s="10" t="str">
        <f>IFERROR(INDEX(Customers!$G$2:$G$61,MATCH(B342,Customers!$A$2:$A$61,0)),"")</f>
        <v>Consumer</v>
      </c>
      <c r="M342" s="10" t="str">
        <f>IFERROR(INDEX(Employees!$B$2:$B$37,MATCH(C342,Employees!$A$2:$A$37,0))&amp;" "&amp;INDEX(Employees!$C$2:$C$37,MATCH(C342,Employees!$A$2:$A$37,0)),"")</f>
        <v>John Gonzalez</v>
      </c>
      <c r="N342" s="10">
        <f t="shared" si="17"/>
        <v>4</v>
      </c>
    </row>
    <row r="343" spans="1:14" ht="15" customHeight="1" x14ac:dyDescent="0.25">
      <c r="A343" s="10">
        <v>342</v>
      </c>
      <c r="B343" s="10">
        <v>30</v>
      </c>
      <c r="C343" s="10">
        <v>10</v>
      </c>
      <c r="D343" s="10" t="s">
        <v>1184</v>
      </c>
      <c r="F343" s="10" t="s">
        <v>16</v>
      </c>
      <c r="G343" s="10" t="s">
        <v>37</v>
      </c>
      <c r="H343" s="19">
        <f>SUMIF(OrderItems!$B$2:$B$1254,A343,OrderItems!$G$2:$G$1254)</f>
        <v>6576.46</v>
      </c>
      <c r="I343" s="19">
        <f>SUMIF(OrderItems!$B$2:$B$1254,A343,OrderItems!$K$2:$K$1254)</f>
        <v>3291.62</v>
      </c>
      <c r="J343" s="19">
        <f t="shared" si="15"/>
        <v>3284.84</v>
      </c>
      <c r="K343" s="10" t="str">
        <f t="shared" si="16"/>
        <v>2023-12</v>
      </c>
      <c r="L343" s="10" t="str">
        <f>IFERROR(INDEX(Customers!$G$2:$G$61,MATCH(B343,Customers!$A$2:$A$61,0)),"")</f>
        <v>Consumer</v>
      </c>
      <c r="M343" s="10" t="str">
        <f>IFERROR(INDEX(Employees!$B$2:$B$37,MATCH(C343,Employees!$A$2:$A$37,0))&amp;" "&amp;INDEX(Employees!$C$2:$C$37,MATCH(C343,Employees!$A$2:$A$37,0)),"")</f>
        <v>John Moore</v>
      </c>
      <c r="N343" s="10" t="str">
        <f t="shared" si="17"/>
        <v/>
      </c>
    </row>
    <row r="344" spans="1:14" ht="15" customHeight="1" x14ac:dyDescent="0.25">
      <c r="A344" s="10">
        <v>343</v>
      </c>
      <c r="B344" s="10">
        <v>56</v>
      </c>
      <c r="C344" s="10">
        <v>8</v>
      </c>
      <c r="D344" s="10" t="s">
        <v>1185</v>
      </c>
      <c r="E344" s="10" t="s">
        <v>409</v>
      </c>
      <c r="F344" s="10" t="s">
        <v>15</v>
      </c>
      <c r="G344" s="10" t="s">
        <v>36</v>
      </c>
      <c r="H344" s="19">
        <f>SUMIF(OrderItems!$B$2:$B$1254,A344,OrderItems!$G$2:$G$1254)</f>
        <v>15626.39</v>
      </c>
      <c r="I344" s="19">
        <f>SUMIF(OrderItems!$B$2:$B$1254,A344,OrderItems!$K$2:$K$1254)</f>
        <v>8274.92</v>
      </c>
      <c r="J344" s="19">
        <f t="shared" si="15"/>
        <v>7351.4699999999993</v>
      </c>
      <c r="K344" s="10" t="str">
        <f t="shared" si="16"/>
        <v>2025-08</v>
      </c>
      <c r="L344" s="10" t="str">
        <f>IFERROR(INDEX(Customers!$G$2:$G$61,MATCH(B344,Customers!$A$2:$A$61,0)),"")</f>
        <v>Consumer</v>
      </c>
      <c r="M344" s="10" t="str">
        <f>IFERROR(INDEX(Employees!$B$2:$B$37,MATCH(C344,Employees!$A$2:$A$37,0))&amp;" "&amp;INDEX(Employees!$C$2:$C$37,MATCH(C344,Employees!$A$2:$A$37,0)),"")</f>
        <v>John Gonzalez</v>
      </c>
      <c r="N344" s="10">
        <f t="shared" si="17"/>
        <v>5</v>
      </c>
    </row>
    <row r="345" spans="1:14" ht="15" customHeight="1" x14ac:dyDescent="0.25">
      <c r="A345" s="10">
        <v>344</v>
      </c>
      <c r="B345" s="10">
        <v>28</v>
      </c>
      <c r="C345" s="10">
        <v>10</v>
      </c>
      <c r="D345" s="10" t="s">
        <v>1186</v>
      </c>
      <c r="E345" s="10" t="s">
        <v>1187</v>
      </c>
      <c r="F345" s="10" t="s">
        <v>14</v>
      </c>
      <c r="G345" s="10" t="s">
        <v>40</v>
      </c>
      <c r="H345" s="19">
        <f>SUMIF(OrderItems!$B$2:$B$1254,A345,OrderItems!$G$2:$G$1254)</f>
        <v>4041.4350000000004</v>
      </c>
      <c r="I345" s="19">
        <f>SUMIF(OrderItems!$B$2:$B$1254,A345,OrderItems!$K$2:$K$1254)</f>
        <v>1844.1599999999999</v>
      </c>
      <c r="J345" s="19">
        <f t="shared" si="15"/>
        <v>2197.2750000000005</v>
      </c>
      <c r="K345" s="10" t="str">
        <f t="shared" si="16"/>
        <v>2025-09</v>
      </c>
      <c r="L345" s="10" t="str">
        <f>IFERROR(INDEX(Customers!$G$2:$G$61,MATCH(B345,Customers!$A$2:$A$61,0)),"")</f>
        <v>Small Business</v>
      </c>
      <c r="M345" s="10" t="str">
        <f>IFERROR(INDEX(Employees!$B$2:$B$37,MATCH(C345,Employees!$A$2:$A$37,0))&amp;" "&amp;INDEX(Employees!$C$2:$C$37,MATCH(C345,Employees!$A$2:$A$37,0)),"")</f>
        <v>John Moore</v>
      </c>
      <c r="N345" s="10">
        <f t="shared" si="17"/>
        <v>8</v>
      </c>
    </row>
    <row r="346" spans="1:14" ht="15" customHeight="1" x14ac:dyDescent="0.25">
      <c r="A346" s="10">
        <v>345</v>
      </c>
      <c r="B346" s="10">
        <v>19</v>
      </c>
      <c r="C346" s="10">
        <v>8</v>
      </c>
      <c r="D346" s="10" t="s">
        <v>1052</v>
      </c>
      <c r="E346" s="10" t="s">
        <v>1188</v>
      </c>
      <c r="F346" s="10" t="s">
        <v>14</v>
      </c>
      <c r="G346" s="10" t="s">
        <v>38</v>
      </c>
      <c r="H346" s="19">
        <f>SUMIF(OrderItems!$B$2:$B$1254,A346,OrderItems!$G$2:$G$1254)</f>
        <v>2213.145</v>
      </c>
      <c r="I346" s="19">
        <f>SUMIF(OrderItems!$B$2:$B$1254,A346,OrderItems!$K$2:$K$1254)</f>
        <v>1075.5</v>
      </c>
      <c r="J346" s="19">
        <f t="shared" si="15"/>
        <v>1137.645</v>
      </c>
      <c r="K346" s="10" t="str">
        <f t="shared" si="16"/>
        <v>2023-07</v>
      </c>
      <c r="L346" s="10" t="str">
        <f>IFERROR(INDEX(Customers!$G$2:$G$61,MATCH(B346,Customers!$A$2:$A$61,0)),"")</f>
        <v>Corporate</v>
      </c>
      <c r="M346" s="10" t="str">
        <f>IFERROR(INDEX(Employees!$B$2:$B$37,MATCH(C346,Employees!$A$2:$A$37,0))&amp;" "&amp;INDEX(Employees!$C$2:$C$37,MATCH(C346,Employees!$A$2:$A$37,0)),"")</f>
        <v>John Gonzalez</v>
      </c>
      <c r="N346" s="10">
        <f t="shared" si="17"/>
        <v>8</v>
      </c>
    </row>
    <row r="347" spans="1:14" ht="15" customHeight="1" x14ac:dyDescent="0.25">
      <c r="A347" s="10">
        <v>346</v>
      </c>
      <c r="B347" s="10">
        <v>50</v>
      </c>
      <c r="C347" s="10">
        <v>8</v>
      </c>
      <c r="D347" s="10" t="s">
        <v>1141</v>
      </c>
      <c r="E347" s="10" t="s">
        <v>1142</v>
      </c>
      <c r="F347" s="10" t="s">
        <v>14</v>
      </c>
      <c r="G347" s="10" t="s">
        <v>40</v>
      </c>
      <c r="H347" s="19">
        <f>SUMIF(OrderItems!$B$2:$B$1254,A347,OrderItems!$G$2:$G$1254)</f>
        <v>1005.0999999999999</v>
      </c>
      <c r="I347" s="19">
        <f>SUMIF(OrderItems!$B$2:$B$1254,A347,OrderItems!$K$2:$K$1254)</f>
        <v>498.72</v>
      </c>
      <c r="J347" s="19">
        <f t="shared" si="15"/>
        <v>506.37999999999988</v>
      </c>
      <c r="K347" s="10" t="str">
        <f t="shared" si="16"/>
        <v>2025-04</v>
      </c>
      <c r="L347" s="10" t="str">
        <f>IFERROR(INDEX(Customers!$G$2:$G$61,MATCH(B347,Customers!$A$2:$A$61,0)),"")</f>
        <v>Consumer</v>
      </c>
      <c r="M347" s="10" t="str">
        <f>IFERROR(INDEX(Employees!$B$2:$B$37,MATCH(C347,Employees!$A$2:$A$37,0))&amp;" "&amp;INDEX(Employees!$C$2:$C$37,MATCH(C347,Employees!$A$2:$A$37,0)),"")</f>
        <v>John Gonzalez</v>
      </c>
      <c r="N347" s="10">
        <f t="shared" si="17"/>
        <v>6</v>
      </c>
    </row>
    <row r="348" spans="1:14" ht="15" customHeight="1" x14ac:dyDescent="0.25">
      <c r="A348" s="10">
        <v>347</v>
      </c>
      <c r="B348" s="10">
        <v>34</v>
      </c>
      <c r="C348" s="10">
        <v>1</v>
      </c>
      <c r="D348" s="10" t="s">
        <v>848</v>
      </c>
      <c r="F348" s="10" t="s">
        <v>17</v>
      </c>
      <c r="G348" s="10" t="s">
        <v>38</v>
      </c>
      <c r="H348" s="19">
        <f>SUMIF(OrderItems!$B$2:$B$1254,A348,OrderItems!$G$2:$G$1254)</f>
        <v>5991.7460000000001</v>
      </c>
      <c r="I348" s="19">
        <f>SUMIF(OrderItems!$B$2:$B$1254,A348,OrderItems!$K$2:$K$1254)</f>
        <v>3093.8</v>
      </c>
      <c r="J348" s="19">
        <f t="shared" si="15"/>
        <v>2897.9459999999999</v>
      </c>
      <c r="K348" s="10" t="str">
        <f t="shared" si="16"/>
        <v>2024-08</v>
      </c>
      <c r="L348" s="10" t="str">
        <f>IFERROR(INDEX(Customers!$G$2:$G$61,MATCH(B348,Customers!$A$2:$A$61,0)),"")</f>
        <v>Small Business</v>
      </c>
      <c r="M348" s="10" t="str">
        <f>IFERROR(INDEX(Employees!$B$2:$B$37,MATCH(C348,Employees!$A$2:$A$37,0))&amp;" "&amp;INDEX(Employees!$C$2:$C$37,MATCH(C348,Employees!$A$2:$A$37,0)),"")</f>
        <v>Daniel Brown</v>
      </c>
      <c r="N348" s="10" t="str">
        <f t="shared" si="17"/>
        <v/>
      </c>
    </row>
    <row r="349" spans="1:14" ht="15" customHeight="1" x14ac:dyDescent="0.25">
      <c r="A349" s="10">
        <v>348</v>
      </c>
      <c r="B349" s="10">
        <v>40</v>
      </c>
      <c r="C349" s="10">
        <v>1</v>
      </c>
      <c r="D349" s="10" t="s">
        <v>1038</v>
      </c>
      <c r="F349" s="10" t="s">
        <v>16</v>
      </c>
      <c r="G349" s="10" t="s">
        <v>37</v>
      </c>
      <c r="H349" s="19">
        <f>SUMIF(OrderItems!$B$2:$B$1254,A349,OrderItems!$G$2:$G$1254)</f>
        <v>6597.98</v>
      </c>
      <c r="I349" s="19">
        <f>SUMIF(OrderItems!$B$2:$B$1254,A349,OrderItems!$K$2:$K$1254)</f>
        <v>4182.62</v>
      </c>
      <c r="J349" s="19">
        <f t="shared" si="15"/>
        <v>2415.3599999999997</v>
      </c>
      <c r="K349" s="10" t="str">
        <f t="shared" si="16"/>
        <v>2025-01</v>
      </c>
      <c r="L349" s="10" t="str">
        <f>IFERROR(INDEX(Customers!$G$2:$G$61,MATCH(B349,Customers!$A$2:$A$61,0)),"")</f>
        <v>Corporate</v>
      </c>
      <c r="M349" s="10" t="str">
        <f>IFERROR(INDEX(Employees!$B$2:$B$37,MATCH(C349,Employees!$A$2:$A$37,0))&amp;" "&amp;INDEX(Employees!$C$2:$C$37,MATCH(C349,Employees!$A$2:$A$37,0)),"")</f>
        <v>Daniel Brown</v>
      </c>
      <c r="N349" s="10" t="str">
        <f t="shared" si="17"/>
        <v/>
      </c>
    </row>
    <row r="350" spans="1:14" ht="15" customHeight="1" x14ac:dyDescent="0.25">
      <c r="A350" s="10">
        <v>349</v>
      </c>
      <c r="B350" s="10">
        <v>21</v>
      </c>
      <c r="C350" s="10">
        <v>9</v>
      </c>
      <c r="D350" s="10" t="s">
        <v>1189</v>
      </c>
      <c r="F350" s="10" t="s">
        <v>17</v>
      </c>
      <c r="G350" s="10" t="s">
        <v>38</v>
      </c>
      <c r="H350" s="19">
        <f>SUMIF(OrderItems!$B$2:$B$1254,A350,OrderItems!$G$2:$G$1254)</f>
        <v>1531.08</v>
      </c>
      <c r="I350" s="19">
        <f>SUMIF(OrderItems!$B$2:$B$1254,A350,OrderItems!$K$2:$K$1254)</f>
        <v>1128.06</v>
      </c>
      <c r="J350" s="19">
        <f t="shared" si="15"/>
        <v>403.02</v>
      </c>
      <c r="K350" s="10" t="str">
        <f t="shared" si="16"/>
        <v>2024-07</v>
      </c>
      <c r="L350" s="10" t="str">
        <f>IFERROR(INDEX(Customers!$G$2:$G$61,MATCH(B350,Customers!$A$2:$A$61,0)),"")</f>
        <v>Corporate</v>
      </c>
      <c r="M350" s="10" t="str">
        <f>IFERROR(INDEX(Employees!$B$2:$B$37,MATCH(C350,Employees!$A$2:$A$37,0))&amp;" "&amp;INDEX(Employees!$C$2:$C$37,MATCH(C350,Employees!$A$2:$A$37,0)),"")</f>
        <v>William Johnson</v>
      </c>
      <c r="N350" s="10" t="str">
        <f t="shared" si="17"/>
        <v/>
      </c>
    </row>
    <row r="351" spans="1:14" ht="15" customHeight="1" x14ac:dyDescent="0.25">
      <c r="A351" s="10">
        <v>350</v>
      </c>
      <c r="B351" s="10">
        <v>29</v>
      </c>
      <c r="C351" s="10">
        <v>10</v>
      </c>
      <c r="D351" s="10" t="s">
        <v>1190</v>
      </c>
      <c r="E351" s="10" t="s">
        <v>1106</v>
      </c>
      <c r="F351" s="10" t="s">
        <v>14</v>
      </c>
      <c r="G351" s="10" t="s">
        <v>39</v>
      </c>
      <c r="H351" s="19">
        <f>SUMIF(OrderItems!$B$2:$B$1254,A351,OrderItems!$G$2:$G$1254)</f>
        <v>5389.0050000000001</v>
      </c>
      <c r="I351" s="19">
        <f>SUMIF(OrderItems!$B$2:$B$1254,A351,OrderItems!$K$2:$K$1254)</f>
        <v>2973.37</v>
      </c>
      <c r="J351" s="19">
        <f t="shared" si="15"/>
        <v>2415.6350000000002</v>
      </c>
      <c r="K351" s="10" t="str">
        <f t="shared" si="16"/>
        <v>2025-10</v>
      </c>
      <c r="L351" s="10" t="str">
        <f>IFERROR(INDEX(Customers!$G$2:$G$61,MATCH(B351,Customers!$A$2:$A$61,0)),"")</f>
        <v>Consumer</v>
      </c>
      <c r="M351" s="10" t="str">
        <f>IFERROR(INDEX(Employees!$B$2:$B$37,MATCH(C351,Employees!$A$2:$A$37,0))&amp;" "&amp;INDEX(Employees!$C$2:$C$37,MATCH(C351,Employees!$A$2:$A$37,0)),"")</f>
        <v>John Moore</v>
      </c>
      <c r="N351" s="10">
        <f t="shared" si="17"/>
        <v>8</v>
      </c>
    </row>
    <row r="352" spans="1:14" ht="15" customHeight="1" x14ac:dyDescent="0.25">
      <c r="A352" s="10">
        <v>351</v>
      </c>
      <c r="B352" s="10">
        <v>8</v>
      </c>
      <c r="C352" s="10">
        <v>8</v>
      </c>
      <c r="D352" s="10" t="s">
        <v>1191</v>
      </c>
      <c r="E352" s="10" t="s">
        <v>1192</v>
      </c>
      <c r="F352" s="10" t="s">
        <v>14</v>
      </c>
      <c r="G352" s="10" t="s">
        <v>39</v>
      </c>
      <c r="H352" s="19">
        <f>SUMIF(OrderItems!$B$2:$B$1254,A352,OrderItems!$G$2:$G$1254)</f>
        <v>874.17399999999986</v>
      </c>
      <c r="I352" s="19">
        <f>SUMIF(OrderItems!$B$2:$B$1254,A352,OrderItems!$K$2:$K$1254)</f>
        <v>457.52</v>
      </c>
      <c r="J352" s="19">
        <f t="shared" si="15"/>
        <v>416.65399999999988</v>
      </c>
      <c r="K352" s="10" t="str">
        <f t="shared" si="16"/>
        <v>2025-10</v>
      </c>
      <c r="L352" s="10" t="str">
        <f>IFERROR(INDEX(Customers!$G$2:$G$61,MATCH(B352,Customers!$A$2:$A$61,0)),"")</f>
        <v>Consumer</v>
      </c>
      <c r="M352" s="10" t="str">
        <f>IFERROR(INDEX(Employees!$B$2:$B$37,MATCH(C352,Employees!$A$2:$A$37,0))&amp;" "&amp;INDEX(Employees!$C$2:$C$37,MATCH(C352,Employees!$A$2:$A$37,0)),"")</f>
        <v>John Gonzalez</v>
      </c>
      <c r="N352" s="10">
        <f t="shared" si="17"/>
        <v>4</v>
      </c>
    </row>
    <row r="353" spans="1:14" ht="15" customHeight="1" x14ac:dyDescent="0.25">
      <c r="A353" s="10">
        <v>352</v>
      </c>
      <c r="B353" s="10">
        <v>31</v>
      </c>
      <c r="C353" s="10">
        <v>9</v>
      </c>
      <c r="D353" s="10" t="s">
        <v>1193</v>
      </c>
      <c r="E353" s="10" t="s">
        <v>1194</v>
      </c>
      <c r="F353" s="10" t="s">
        <v>15</v>
      </c>
      <c r="G353" s="10" t="s">
        <v>38</v>
      </c>
      <c r="H353" s="19">
        <f>SUMIF(OrderItems!$B$2:$B$1254,A353,OrderItems!$G$2:$G$1254)</f>
        <v>1595.193</v>
      </c>
      <c r="I353" s="19">
        <f>SUMIF(OrderItems!$B$2:$B$1254,A353,OrderItems!$K$2:$K$1254)</f>
        <v>1266.8400000000001</v>
      </c>
      <c r="J353" s="19">
        <f t="shared" si="15"/>
        <v>328.35299999999984</v>
      </c>
      <c r="K353" s="10" t="str">
        <f t="shared" si="16"/>
        <v>2025-05</v>
      </c>
      <c r="L353" s="10" t="str">
        <f>IFERROR(INDEX(Customers!$G$2:$G$61,MATCH(B353,Customers!$A$2:$A$61,0)),"")</f>
        <v>Consumer</v>
      </c>
      <c r="M353" s="10" t="str">
        <f>IFERROR(INDEX(Employees!$B$2:$B$37,MATCH(C353,Employees!$A$2:$A$37,0))&amp;" "&amp;INDEX(Employees!$C$2:$C$37,MATCH(C353,Employees!$A$2:$A$37,0)),"")</f>
        <v>William Johnson</v>
      </c>
      <c r="N353" s="10">
        <f t="shared" si="17"/>
        <v>1</v>
      </c>
    </row>
    <row r="354" spans="1:14" ht="15" customHeight="1" x14ac:dyDescent="0.25">
      <c r="A354" s="10">
        <v>353</v>
      </c>
      <c r="B354" s="10">
        <v>42</v>
      </c>
      <c r="C354" s="10">
        <v>9</v>
      </c>
      <c r="D354" s="10" t="s">
        <v>826</v>
      </c>
      <c r="E354" s="10" t="s">
        <v>1195</v>
      </c>
      <c r="F354" s="10" t="s">
        <v>15</v>
      </c>
      <c r="G354" s="10" t="s">
        <v>38</v>
      </c>
      <c r="H354" s="19">
        <f>SUMIF(OrderItems!$B$2:$B$1254,A354,OrderItems!$G$2:$G$1254)</f>
        <v>9139.19</v>
      </c>
      <c r="I354" s="19">
        <f>SUMIF(OrderItems!$B$2:$B$1254,A354,OrderItems!$K$2:$K$1254)</f>
        <v>5792.21</v>
      </c>
      <c r="J354" s="19">
        <f t="shared" si="15"/>
        <v>3346.9800000000005</v>
      </c>
      <c r="K354" s="10" t="str">
        <f t="shared" si="16"/>
        <v>2025-09</v>
      </c>
      <c r="L354" s="10" t="str">
        <f>IFERROR(INDEX(Customers!$G$2:$G$61,MATCH(B354,Customers!$A$2:$A$61,0)),"")</f>
        <v>Small Business</v>
      </c>
      <c r="M354" s="10" t="str">
        <f>IFERROR(INDEX(Employees!$B$2:$B$37,MATCH(C354,Employees!$A$2:$A$37,0))&amp;" "&amp;INDEX(Employees!$C$2:$C$37,MATCH(C354,Employees!$A$2:$A$37,0)),"")</f>
        <v>William Johnson</v>
      </c>
      <c r="N354" s="10">
        <f t="shared" si="17"/>
        <v>8</v>
      </c>
    </row>
    <row r="355" spans="1:14" ht="15" customHeight="1" x14ac:dyDescent="0.25">
      <c r="A355" s="10">
        <v>354</v>
      </c>
      <c r="B355" s="10">
        <v>54</v>
      </c>
      <c r="C355" s="10">
        <v>8</v>
      </c>
      <c r="D355" s="10" t="s">
        <v>949</v>
      </c>
      <c r="E355" s="10" t="s">
        <v>832</v>
      </c>
      <c r="F355" s="10" t="s">
        <v>14</v>
      </c>
      <c r="G355" s="10" t="s">
        <v>36</v>
      </c>
      <c r="H355" s="19">
        <f>SUMIF(OrderItems!$B$2:$B$1254,A355,OrderItems!$G$2:$G$1254)</f>
        <v>4382.0355</v>
      </c>
      <c r="I355" s="19">
        <f>SUMIF(OrderItems!$B$2:$B$1254,A355,OrderItems!$K$2:$K$1254)</f>
        <v>2879.4400000000005</v>
      </c>
      <c r="J355" s="19">
        <f t="shared" si="15"/>
        <v>1502.5954999999994</v>
      </c>
      <c r="K355" s="10" t="str">
        <f t="shared" si="16"/>
        <v>2023-11</v>
      </c>
      <c r="L355" s="10" t="str">
        <f>IFERROR(INDEX(Customers!$G$2:$G$61,MATCH(B355,Customers!$A$2:$A$61,0)),"")</f>
        <v>Corporate</v>
      </c>
      <c r="M355" s="10" t="str">
        <f>IFERROR(INDEX(Employees!$B$2:$B$37,MATCH(C355,Employees!$A$2:$A$37,0))&amp;" "&amp;INDEX(Employees!$C$2:$C$37,MATCH(C355,Employees!$A$2:$A$37,0)),"")</f>
        <v>John Gonzalez</v>
      </c>
      <c r="N355" s="10">
        <f t="shared" si="17"/>
        <v>2</v>
      </c>
    </row>
    <row r="356" spans="1:14" ht="15" customHeight="1" x14ac:dyDescent="0.25">
      <c r="A356" s="10">
        <v>355</v>
      </c>
      <c r="B356" s="10">
        <v>23</v>
      </c>
      <c r="C356" s="10">
        <v>8</v>
      </c>
      <c r="D356" s="10" t="s">
        <v>1196</v>
      </c>
      <c r="E356" s="10" t="s">
        <v>934</v>
      </c>
      <c r="F356" s="10" t="s">
        <v>15</v>
      </c>
      <c r="G356" s="10" t="s">
        <v>37</v>
      </c>
      <c r="H356" s="19">
        <f>SUMIF(OrderItems!$B$2:$B$1254,A356,OrderItems!$G$2:$G$1254)</f>
        <v>7705.3004999999994</v>
      </c>
      <c r="I356" s="19">
        <f>SUMIF(OrderItems!$B$2:$B$1254,A356,OrderItems!$K$2:$K$1254)</f>
        <v>4144.09</v>
      </c>
      <c r="J356" s="19">
        <f t="shared" si="15"/>
        <v>3561.2104999999992</v>
      </c>
      <c r="K356" s="10" t="str">
        <f t="shared" si="16"/>
        <v>2025-02</v>
      </c>
      <c r="L356" s="10" t="str">
        <f>IFERROR(INDEX(Customers!$G$2:$G$61,MATCH(B356,Customers!$A$2:$A$61,0)),"")</f>
        <v>Small Business</v>
      </c>
      <c r="M356" s="10" t="str">
        <f>IFERROR(INDEX(Employees!$B$2:$B$37,MATCH(C356,Employees!$A$2:$A$37,0))&amp;" "&amp;INDEX(Employees!$C$2:$C$37,MATCH(C356,Employees!$A$2:$A$37,0)),"")</f>
        <v>John Gonzalez</v>
      </c>
      <c r="N356" s="10">
        <f t="shared" si="17"/>
        <v>9</v>
      </c>
    </row>
    <row r="357" spans="1:14" ht="15" customHeight="1" x14ac:dyDescent="0.25">
      <c r="A357" s="10">
        <v>356</v>
      </c>
      <c r="B357" s="10">
        <v>52</v>
      </c>
      <c r="C357" s="10">
        <v>10</v>
      </c>
      <c r="D357" s="10" t="s">
        <v>1197</v>
      </c>
      <c r="E357" s="10" t="s">
        <v>776</v>
      </c>
      <c r="F357" s="10" t="s">
        <v>14</v>
      </c>
      <c r="G357" s="10" t="s">
        <v>36</v>
      </c>
      <c r="H357" s="19">
        <f>SUMIF(OrderItems!$B$2:$B$1254,A357,OrderItems!$G$2:$G$1254)</f>
        <v>1032.4559999999999</v>
      </c>
      <c r="I357" s="19">
        <f>SUMIF(OrderItems!$B$2:$B$1254,A357,OrderItems!$K$2:$K$1254)</f>
        <v>586.09</v>
      </c>
      <c r="J357" s="19">
        <f t="shared" si="15"/>
        <v>446.36599999999987</v>
      </c>
      <c r="K357" s="10" t="str">
        <f t="shared" si="16"/>
        <v>2024-11</v>
      </c>
      <c r="L357" s="10" t="str">
        <f>IFERROR(INDEX(Customers!$G$2:$G$61,MATCH(B357,Customers!$A$2:$A$61,0)),"")</f>
        <v>Corporate</v>
      </c>
      <c r="M357" s="10" t="str">
        <f>IFERROR(INDEX(Employees!$B$2:$B$37,MATCH(C357,Employees!$A$2:$A$37,0))&amp;" "&amp;INDEX(Employees!$C$2:$C$37,MATCH(C357,Employees!$A$2:$A$37,0)),"")</f>
        <v>John Moore</v>
      </c>
      <c r="N357" s="10">
        <f t="shared" si="17"/>
        <v>8</v>
      </c>
    </row>
    <row r="358" spans="1:14" ht="15" customHeight="1" x14ac:dyDescent="0.25">
      <c r="A358" s="10">
        <v>357</v>
      </c>
      <c r="B358" s="10">
        <v>29</v>
      </c>
      <c r="C358" s="10">
        <v>9</v>
      </c>
      <c r="D358" s="10" t="s">
        <v>1198</v>
      </c>
      <c r="F358" s="10" t="s">
        <v>16</v>
      </c>
      <c r="G358" s="10" t="s">
        <v>36</v>
      </c>
      <c r="H358" s="19">
        <f>SUMIF(OrderItems!$B$2:$B$1254,A358,OrderItems!$G$2:$G$1254)</f>
        <v>5522.6660000000011</v>
      </c>
      <c r="I358" s="19">
        <f>SUMIF(OrderItems!$B$2:$B$1254,A358,OrderItems!$K$2:$K$1254)</f>
        <v>4443.3500000000004</v>
      </c>
      <c r="J358" s="19">
        <f t="shared" si="15"/>
        <v>1079.3160000000007</v>
      </c>
      <c r="K358" s="10" t="str">
        <f t="shared" si="16"/>
        <v>2023-07</v>
      </c>
      <c r="L358" s="10" t="str">
        <f>IFERROR(INDEX(Customers!$G$2:$G$61,MATCH(B358,Customers!$A$2:$A$61,0)),"")</f>
        <v>Consumer</v>
      </c>
      <c r="M358" s="10" t="str">
        <f>IFERROR(INDEX(Employees!$B$2:$B$37,MATCH(C358,Employees!$A$2:$A$37,0))&amp;" "&amp;INDEX(Employees!$C$2:$C$37,MATCH(C358,Employees!$A$2:$A$37,0)),"")</f>
        <v>William Johnson</v>
      </c>
      <c r="N358" s="10" t="str">
        <f t="shared" si="17"/>
        <v/>
      </c>
    </row>
    <row r="359" spans="1:14" ht="15" customHeight="1" x14ac:dyDescent="0.25">
      <c r="A359" s="10">
        <v>358</v>
      </c>
      <c r="B359" s="10">
        <v>21</v>
      </c>
      <c r="C359" s="10">
        <v>1</v>
      </c>
      <c r="D359" s="10" t="s">
        <v>1199</v>
      </c>
      <c r="F359" s="10" t="s">
        <v>17</v>
      </c>
      <c r="G359" s="10" t="s">
        <v>37</v>
      </c>
      <c r="H359" s="19">
        <f>SUMIF(OrderItems!$B$2:$B$1254,A359,OrderItems!$G$2:$G$1254)</f>
        <v>6656.4435000000003</v>
      </c>
      <c r="I359" s="19">
        <f>SUMIF(OrderItems!$B$2:$B$1254,A359,OrderItems!$K$2:$K$1254)</f>
        <v>3603.33</v>
      </c>
      <c r="J359" s="19">
        <f t="shared" si="15"/>
        <v>3053.1135000000004</v>
      </c>
      <c r="K359" s="10" t="str">
        <f t="shared" si="16"/>
        <v>2025-01</v>
      </c>
      <c r="L359" s="10" t="str">
        <f>IFERROR(INDEX(Customers!$G$2:$G$61,MATCH(B359,Customers!$A$2:$A$61,0)),"")</f>
        <v>Corporate</v>
      </c>
      <c r="M359" s="10" t="str">
        <f>IFERROR(INDEX(Employees!$B$2:$B$37,MATCH(C359,Employees!$A$2:$A$37,0))&amp;" "&amp;INDEX(Employees!$C$2:$C$37,MATCH(C359,Employees!$A$2:$A$37,0)),"")</f>
        <v>Daniel Brown</v>
      </c>
      <c r="N359" s="10" t="str">
        <f t="shared" si="17"/>
        <v/>
      </c>
    </row>
    <row r="360" spans="1:14" ht="15" customHeight="1" x14ac:dyDescent="0.25">
      <c r="A360" s="10">
        <v>359</v>
      </c>
      <c r="B360" s="10">
        <v>57</v>
      </c>
      <c r="C360" s="10">
        <v>10</v>
      </c>
      <c r="D360" s="10" t="s">
        <v>1200</v>
      </c>
      <c r="E360" s="10" t="s">
        <v>1201</v>
      </c>
      <c r="F360" s="10" t="s">
        <v>15</v>
      </c>
      <c r="G360" s="10" t="s">
        <v>37</v>
      </c>
      <c r="H360" s="19">
        <f>SUMIF(OrderItems!$B$2:$B$1254,A360,OrderItems!$G$2:$G$1254)</f>
        <v>8691.3374999999996</v>
      </c>
      <c r="I360" s="19">
        <f>SUMIF(OrderItems!$B$2:$B$1254,A360,OrderItems!$K$2:$K$1254)</f>
        <v>5142.8900000000003</v>
      </c>
      <c r="J360" s="19">
        <f t="shared" si="15"/>
        <v>3548.4474999999993</v>
      </c>
      <c r="K360" s="10" t="str">
        <f t="shared" si="16"/>
        <v>2025-05</v>
      </c>
      <c r="L360" s="10" t="str">
        <f>IFERROR(INDEX(Customers!$G$2:$G$61,MATCH(B360,Customers!$A$2:$A$61,0)),"")</f>
        <v>Small Business</v>
      </c>
      <c r="M360" s="10" t="str">
        <f>IFERROR(INDEX(Employees!$B$2:$B$37,MATCH(C360,Employees!$A$2:$A$37,0))&amp;" "&amp;INDEX(Employees!$C$2:$C$37,MATCH(C360,Employees!$A$2:$A$37,0)),"")</f>
        <v>John Moore</v>
      </c>
      <c r="N360" s="10">
        <f t="shared" si="17"/>
        <v>5</v>
      </c>
    </row>
    <row r="361" spans="1:14" ht="15" customHeight="1" x14ac:dyDescent="0.25">
      <c r="A361" s="10">
        <v>360</v>
      </c>
      <c r="B361" s="10">
        <v>27</v>
      </c>
      <c r="C361" s="10">
        <v>9</v>
      </c>
      <c r="D361" s="10" t="s">
        <v>873</v>
      </c>
      <c r="E361" s="10" t="s">
        <v>774</v>
      </c>
      <c r="F361" s="10" t="s">
        <v>14</v>
      </c>
      <c r="G361" s="10" t="s">
        <v>40</v>
      </c>
      <c r="H361" s="19">
        <f>SUMIF(OrderItems!$B$2:$B$1254,A361,OrderItems!$G$2:$G$1254)</f>
        <v>4709.53</v>
      </c>
      <c r="I361" s="19">
        <f>SUMIF(OrderItems!$B$2:$B$1254,A361,OrderItems!$K$2:$K$1254)</f>
        <v>2775.2</v>
      </c>
      <c r="J361" s="19">
        <f t="shared" si="15"/>
        <v>1934.33</v>
      </c>
      <c r="K361" s="10" t="str">
        <f t="shared" si="16"/>
        <v>2025-04</v>
      </c>
      <c r="L361" s="10" t="str">
        <f>IFERROR(INDEX(Customers!$G$2:$G$61,MATCH(B361,Customers!$A$2:$A$61,0)),"")</f>
        <v>Small Business</v>
      </c>
      <c r="M361" s="10" t="str">
        <f>IFERROR(INDEX(Employees!$B$2:$B$37,MATCH(C361,Employees!$A$2:$A$37,0))&amp;" "&amp;INDEX(Employees!$C$2:$C$37,MATCH(C361,Employees!$A$2:$A$37,0)),"")</f>
        <v>William Johnson</v>
      </c>
      <c r="N361" s="10">
        <f t="shared" si="17"/>
        <v>9</v>
      </c>
    </row>
    <row r="362" spans="1:14" ht="15" customHeight="1" x14ac:dyDescent="0.25">
      <c r="A362" s="10">
        <v>361</v>
      </c>
      <c r="B362" s="10">
        <v>15</v>
      </c>
      <c r="C362" s="10">
        <v>1</v>
      </c>
      <c r="D362" s="10" t="s">
        <v>1202</v>
      </c>
      <c r="E362" s="10" t="s">
        <v>1203</v>
      </c>
      <c r="F362" s="10" t="s">
        <v>14</v>
      </c>
      <c r="G362" s="10" t="s">
        <v>38</v>
      </c>
      <c r="H362" s="19">
        <f>SUMIF(OrderItems!$B$2:$B$1254,A362,OrderItems!$G$2:$G$1254)</f>
        <v>4870.3639999999996</v>
      </c>
      <c r="I362" s="19">
        <f>SUMIF(OrderItems!$B$2:$B$1254,A362,OrderItems!$K$2:$K$1254)</f>
        <v>2731.64</v>
      </c>
      <c r="J362" s="19">
        <f t="shared" si="15"/>
        <v>2138.7239999999997</v>
      </c>
      <c r="K362" s="10" t="str">
        <f t="shared" si="16"/>
        <v>2023-01</v>
      </c>
      <c r="L362" s="10" t="str">
        <f>IFERROR(INDEX(Customers!$G$2:$G$61,MATCH(B362,Customers!$A$2:$A$61,0)),"")</f>
        <v>Small Business</v>
      </c>
      <c r="M362" s="10" t="str">
        <f>IFERROR(INDEX(Employees!$B$2:$B$37,MATCH(C362,Employees!$A$2:$A$37,0))&amp;" "&amp;INDEX(Employees!$C$2:$C$37,MATCH(C362,Employees!$A$2:$A$37,0)),"")</f>
        <v>Daniel Brown</v>
      </c>
      <c r="N362" s="10">
        <f t="shared" si="17"/>
        <v>5</v>
      </c>
    </row>
    <row r="363" spans="1:14" ht="15" customHeight="1" x14ac:dyDescent="0.25">
      <c r="A363" s="10">
        <v>362</v>
      </c>
      <c r="B363" s="10">
        <v>5</v>
      </c>
      <c r="C363" s="10">
        <v>9</v>
      </c>
      <c r="D363" s="10" t="s">
        <v>1074</v>
      </c>
      <c r="F363" s="10" t="s">
        <v>17</v>
      </c>
      <c r="G363" s="10" t="s">
        <v>38</v>
      </c>
      <c r="H363" s="19">
        <f>SUMIF(OrderItems!$B$2:$B$1254,A363,OrderItems!$G$2:$G$1254)</f>
        <v>7373.4400000000005</v>
      </c>
      <c r="I363" s="19">
        <f>SUMIF(OrderItems!$B$2:$B$1254,A363,OrderItems!$K$2:$K$1254)</f>
        <v>3908.3700000000003</v>
      </c>
      <c r="J363" s="19">
        <f t="shared" si="15"/>
        <v>3465.07</v>
      </c>
      <c r="K363" s="10" t="str">
        <f t="shared" si="16"/>
        <v>2025-09</v>
      </c>
      <c r="L363" s="10" t="str">
        <f>IFERROR(INDEX(Customers!$G$2:$G$61,MATCH(B363,Customers!$A$2:$A$61,0)),"")</f>
        <v>Consumer</v>
      </c>
      <c r="M363" s="10" t="str">
        <f>IFERROR(INDEX(Employees!$B$2:$B$37,MATCH(C363,Employees!$A$2:$A$37,0))&amp;" "&amp;INDEX(Employees!$C$2:$C$37,MATCH(C363,Employees!$A$2:$A$37,0)),"")</f>
        <v>William Johnson</v>
      </c>
      <c r="N363" s="10" t="str">
        <f t="shared" si="17"/>
        <v/>
      </c>
    </row>
    <row r="364" spans="1:14" ht="15" customHeight="1" x14ac:dyDescent="0.25">
      <c r="A364" s="10">
        <v>363</v>
      </c>
      <c r="B364" s="10">
        <v>30</v>
      </c>
      <c r="C364" s="10">
        <v>8</v>
      </c>
      <c r="D364" s="10" t="s">
        <v>1204</v>
      </c>
      <c r="E364" s="10" t="s">
        <v>1205</v>
      </c>
      <c r="F364" s="10" t="s">
        <v>14</v>
      </c>
      <c r="G364" s="10" t="s">
        <v>38</v>
      </c>
      <c r="H364" s="19">
        <f>SUMIF(OrderItems!$B$2:$B$1254,A364,OrderItems!$G$2:$G$1254)</f>
        <v>2381.5080000000003</v>
      </c>
      <c r="I364" s="19">
        <f>SUMIF(OrderItems!$B$2:$B$1254,A364,OrderItems!$K$2:$K$1254)</f>
        <v>1418.8799999999999</v>
      </c>
      <c r="J364" s="19">
        <f t="shared" si="15"/>
        <v>962.62800000000038</v>
      </c>
      <c r="K364" s="10" t="str">
        <f t="shared" si="16"/>
        <v>2025-01</v>
      </c>
      <c r="L364" s="10" t="str">
        <f>IFERROR(INDEX(Customers!$G$2:$G$61,MATCH(B364,Customers!$A$2:$A$61,0)),"")</f>
        <v>Consumer</v>
      </c>
      <c r="M364" s="10" t="str">
        <f>IFERROR(INDEX(Employees!$B$2:$B$37,MATCH(C364,Employees!$A$2:$A$37,0))&amp;" "&amp;INDEX(Employees!$C$2:$C$37,MATCH(C364,Employees!$A$2:$A$37,0)),"")</f>
        <v>John Gonzalez</v>
      </c>
      <c r="N364" s="10">
        <f t="shared" si="17"/>
        <v>1</v>
      </c>
    </row>
    <row r="365" spans="1:14" ht="15" customHeight="1" x14ac:dyDescent="0.25">
      <c r="A365" s="10">
        <v>364</v>
      </c>
      <c r="B365" s="10">
        <v>49</v>
      </c>
      <c r="C365" s="10">
        <v>1</v>
      </c>
      <c r="D365" s="10" t="s">
        <v>1206</v>
      </c>
      <c r="F365" s="10" t="s">
        <v>16</v>
      </c>
      <c r="G365" s="10" t="s">
        <v>38</v>
      </c>
      <c r="H365" s="19">
        <f>SUMIF(OrderItems!$B$2:$B$1254,A365,OrderItems!$G$2:$G$1254)</f>
        <v>3064.5960000000005</v>
      </c>
      <c r="I365" s="19">
        <f>SUMIF(OrderItems!$B$2:$B$1254,A365,OrderItems!$K$2:$K$1254)</f>
        <v>1994.6100000000001</v>
      </c>
      <c r="J365" s="19">
        <f t="shared" si="15"/>
        <v>1069.9860000000003</v>
      </c>
      <c r="K365" s="10" t="str">
        <f t="shared" si="16"/>
        <v>2023-12</v>
      </c>
      <c r="L365" s="10" t="str">
        <f>IFERROR(INDEX(Customers!$G$2:$G$61,MATCH(B365,Customers!$A$2:$A$61,0)),"")</f>
        <v>Corporate</v>
      </c>
      <c r="M365" s="10" t="str">
        <f>IFERROR(INDEX(Employees!$B$2:$B$37,MATCH(C365,Employees!$A$2:$A$37,0))&amp;" "&amp;INDEX(Employees!$C$2:$C$37,MATCH(C365,Employees!$A$2:$A$37,0)),"")</f>
        <v>Daniel Brown</v>
      </c>
      <c r="N365" s="10" t="str">
        <f t="shared" si="17"/>
        <v/>
      </c>
    </row>
    <row r="366" spans="1:14" ht="15" customHeight="1" x14ac:dyDescent="0.25">
      <c r="A366" s="10">
        <v>365</v>
      </c>
      <c r="B366" s="10">
        <v>34</v>
      </c>
      <c r="C366" s="10">
        <v>9</v>
      </c>
      <c r="D366" s="10" t="s">
        <v>1196</v>
      </c>
      <c r="E366" s="10" t="s">
        <v>933</v>
      </c>
      <c r="F366" s="10" t="s">
        <v>15</v>
      </c>
      <c r="G366" s="10" t="s">
        <v>38</v>
      </c>
      <c r="H366" s="19">
        <f>SUMIF(OrderItems!$B$2:$B$1254,A366,OrderItems!$G$2:$G$1254)</f>
        <v>1404.3030000000001</v>
      </c>
      <c r="I366" s="19">
        <f>SUMIF(OrderItems!$B$2:$B$1254,A366,OrderItems!$K$2:$K$1254)</f>
        <v>1178.67</v>
      </c>
      <c r="J366" s="19">
        <f t="shared" si="15"/>
        <v>225.63300000000004</v>
      </c>
      <c r="K366" s="10" t="str">
        <f t="shared" si="16"/>
        <v>2025-02</v>
      </c>
      <c r="L366" s="10" t="str">
        <f>IFERROR(INDEX(Customers!$G$2:$G$61,MATCH(B366,Customers!$A$2:$A$61,0)),"")</f>
        <v>Small Business</v>
      </c>
      <c r="M366" s="10" t="str">
        <f>IFERROR(INDEX(Employees!$B$2:$B$37,MATCH(C366,Employees!$A$2:$A$37,0))&amp;" "&amp;INDEX(Employees!$C$2:$C$37,MATCH(C366,Employees!$A$2:$A$37,0)),"")</f>
        <v>William Johnson</v>
      </c>
      <c r="N366" s="10">
        <f t="shared" si="17"/>
        <v>7</v>
      </c>
    </row>
    <row r="367" spans="1:14" ht="15" customHeight="1" x14ac:dyDescent="0.25">
      <c r="A367" s="10">
        <v>366</v>
      </c>
      <c r="B367" s="10">
        <v>59</v>
      </c>
      <c r="C367" s="10">
        <v>1</v>
      </c>
      <c r="D367" s="10" t="s">
        <v>1207</v>
      </c>
      <c r="E367" s="10" t="s">
        <v>1208</v>
      </c>
      <c r="F367" s="10" t="s">
        <v>14</v>
      </c>
      <c r="G367" s="10" t="s">
        <v>40</v>
      </c>
      <c r="H367" s="19">
        <f>SUMIF(OrderItems!$B$2:$B$1254,A367,OrderItems!$G$2:$G$1254)</f>
        <v>3740.9279999999999</v>
      </c>
      <c r="I367" s="19">
        <f>SUMIF(OrderItems!$B$2:$B$1254,A367,OrderItems!$K$2:$K$1254)</f>
        <v>2646.31</v>
      </c>
      <c r="J367" s="19">
        <f t="shared" si="15"/>
        <v>1094.6179999999999</v>
      </c>
      <c r="K367" s="10" t="str">
        <f t="shared" si="16"/>
        <v>2023-08</v>
      </c>
      <c r="L367" s="10" t="str">
        <f>IFERROR(INDEX(Customers!$G$2:$G$61,MATCH(B367,Customers!$A$2:$A$61,0)),"")</f>
        <v>Corporate</v>
      </c>
      <c r="M367" s="10" t="str">
        <f>IFERROR(INDEX(Employees!$B$2:$B$37,MATCH(C367,Employees!$A$2:$A$37,0))&amp;" "&amp;INDEX(Employees!$C$2:$C$37,MATCH(C367,Employees!$A$2:$A$37,0)),"")</f>
        <v>Daniel Brown</v>
      </c>
      <c r="N367" s="10">
        <f t="shared" si="17"/>
        <v>1</v>
      </c>
    </row>
    <row r="368" spans="1:14" ht="15" customHeight="1" x14ac:dyDescent="0.25">
      <c r="A368" s="10">
        <v>367</v>
      </c>
      <c r="B368" s="10">
        <v>46</v>
      </c>
      <c r="C368" s="10">
        <v>9</v>
      </c>
      <c r="D368" s="10" t="s">
        <v>923</v>
      </c>
      <c r="E368" s="10" t="s">
        <v>1209</v>
      </c>
      <c r="F368" s="10" t="s">
        <v>14</v>
      </c>
      <c r="G368" s="10" t="s">
        <v>37</v>
      </c>
      <c r="H368" s="19">
        <f>SUMIF(OrderItems!$B$2:$B$1254,A368,OrderItems!$G$2:$G$1254)</f>
        <v>3462.92</v>
      </c>
      <c r="I368" s="19">
        <f>SUMIF(OrderItems!$B$2:$B$1254,A368,OrderItems!$K$2:$K$1254)</f>
        <v>1864.23</v>
      </c>
      <c r="J368" s="19">
        <f t="shared" si="15"/>
        <v>1598.69</v>
      </c>
      <c r="K368" s="10" t="str">
        <f t="shared" si="16"/>
        <v>2023-02</v>
      </c>
      <c r="L368" s="10" t="str">
        <f>IFERROR(INDEX(Customers!$G$2:$G$61,MATCH(B368,Customers!$A$2:$A$61,0)),"")</f>
        <v>Small Business</v>
      </c>
      <c r="M368" s="10" t="str">
        <f>IFERROR(INDEX(Employees!$B$2:$B$37,MATCH(C368,Employees!$A$2:$A$37,0))&amp;" "&amp;INDEX(Employees!$C$2:$C$37,MATCH(C368,Employees!$A$2:$A$37,0)),"")</f>
        <v>William Johnson</v>
      </c>
      <c r="N368" s="10">
        <f t="shared" si="17"/>
        <v>4</v>
      </c>
    </row>
    <row r="369" spans="1:14" ht="15" customHeight="1" x14ac:dyDescent="0.25">
      <c r="A369" s="10">
        <v>368</v>
      </c>
      <c r="B369" s="10">
        <v>45</v>
      </c>
      <c r="C369" s="10">
        <v>1</v>
      </c>
      <c r="D369" s="10" t="s">
        <v>919</v>
      </c>
      <c r="E369" s="10" t="s">
        <v>962</v>
      </c>
      <c r="F369" s="10" t="s">
        <v>14</v>
      </c>
      <c r="G369" s="10" t="s">
        <v>40</v>
      </c>
      <c r="H369" s="19">
        <f>SUMIF(OrderItems!$B$2:$B$1254,A369,OrderItems!$G$2:$G$1254)</f>
        <v>524.16</v>
      </c>
      <c r="I369" s="19">
        <f>SUMIF(OrderItems!$B$2:$B$1254,A369,OrderItems!$K$2:$K$1254)</f>
        <v>280.56</v>
      </c>
      <c r="J369" s="19">
        <f t="shared" si="15"/>
        <v>243.59999999999997</v>
      </c>
      <c r="K369" s="10" t="str">
        <f t="shared" si="16"/>
        <v>2023-06</v>
      </c>
      <c r="L369" s="10" t="str">
        <f>IFERROR(INDEX(Customers!$G$2:$G$61,MATCH(B369,Customers!$A$2:$A$61,0)),"")</f>
        <v>Consumer</v>
      </c>
      <c r="M369" s="10" t="str">
        <f>IFERROR(INDEX(Employees!$B$2:$B$37,MATCH(C369,Employees!$A$2:$A$37,0))&amp;" "&amp;INDEX(Employees!$C$2:$C$37,MATCH(C369,Employees!$A$2:$A$37,0)),"")</f>
        <v>Daniel Brown</v>
      </c>
      <c r="N369" s="10">
        <f t="shared" si="17"/>
        <v>8</v>
      </c>
    </row>
    <row r="370" spans="1:14" ht="15" customHeight="1" x14ac:dyDescent="0.25">
      <c r="A370" s="10">
        <v>369</v>
      </c>
      <c r="B370" s="10">
        <v>31</v>
      </c>
      <c r="C370" s="10">
        <v>1</v>
      </c>
      <c r="D370" s="10" t="s">
        <v>288</v>
      </c>
      <c r="E370" s="10" t="s">
        <v>1210</v>
      </c>
      <c r="F370" s="10" t="s">
        <v>14</v>
      </c>
      <c r="G370" s="10" t="s">
        <v>38</v>
      </c>
      <c r="H370" s="19">
        <f>SUMIF(OrderItems!$B$2:$B$1254,A370,OrderItems!$G$2:$G$1254)</f>
        <v>130.52799999999999</v>
      </c>
      <c r="I370" s="19">
        <f>SUMIF(OrderItems!$B$2:$B$1254,A370,OrderItems!$K$2:$K$1254)</f>
        <v>70.92</v>
      </c>
      <c r="J370" s="19">
        <f t="shared" si="15"/>
        <v>59.60799999999999</v>
      </c>
      <c r="K370" s="10" t="str">
        <f t="shared" si="16"/>
        <v>2024-06</v>
      </c>
      <c r="L370" s="10" t="str">
        <f>IFERROR(INDEX(Customers!$G$2:$G$61,MATCH(B370,Customers!$A$2:$A$61,0)),"")</f>
        <v>Consumer</v>
      </c>
      <c r="M370" s="10" t="str">
        <f>IFERROR(INDEX(Employees!$B$2:$B$37,MATCH(C370,Employees!$A$2:$A$37,0))&amp;" "&amp;INDEX(Employees!$C$2:$C$37,MATCH(C370,Employees!$A$2:$A$37,0)),"")</f>
        <v>Daniel Brown</v>
      </c>
      <c r="N370" s="10">
        <f t="shared" si="17"/>
        <v>2</v>
      </c>
    </row>
    <row r="371" spans="1:14" ht="15" customHeight="1" x14ac:dyDescent="0.25">
      <c r="A371" s="10">
        <v>370</v>
      </c>
      <c r="B371" s="10">
        <v>38</v>
      </c>
      <c r="C371" s="10">
        <v>8</v>
      </c>
      <c r="D371" s="10" t="s">
        <v>1211</v>
      </c>
      <c r="F371" s="10" t="s">
        <v>16</v>
      </c>
      <c r="G371" s="10" t="s">
        <v>36</v>
      </c>
      <c r="H371" s="19">
        <f>SUMIF(OrderItems!$B$2:$B$1254,A371,OrderItems!$G$2:$G$1254)</f>
        <v>1313.5049999999999</v>
      </c>
      <c r="I371" s="19">
        <f>SUMIF(OrderItems!$B$2:$B$1254,A371,OrderItems!$K$2:$K$1254)</f>
        <v>1030.5999999999999</v>
      </c>
      <c r="J371" s="19">
        <f t="shared" si="15"/>
        <v>282.90499999999997</v>
      </c>
      <c r="K371" s="10" t="str">
        <f t="shared" si="16"/>
        <v>2024-01</v>
      </c>
      <c r="L371" s="10" t="str">
        <f>IFERROR(INDEX(Customers!$G$2:$G$61,MATCH(B371,Customers!$A$2:$A$61,0)),"")</f>
        <v>Small Business</v>
      </c>
      <c r="M371" s="10" t="str">
        <f>IFERROR(INDEX(Employees!$B$2:$B$37,MATCH(C371,Employees!$A$2:$A$37,0))&amp;" "&amp;INDEX(Employees!$C$2:$C$37,MATCH(C371,Employees!$A$2:$A$37,0)),"")</f>
        <v>John Gonzalez</v>
      </c>
      <c r="N371" s="10" t="str">
        <f t="shared" si="17"/>
        <v/>
      </c>
    </row>
    <row r="372" spans="1:14" ht="15" customHeight="1" x14ac:dyDescent="0.25">
      <c r="A372" s="10">
        <v>371</v>
      </c>
      <c r="B372" s="10">
        <v>55</v>
      </c>
      <c r="C372" s="10">
        <v>8</v>
      </c>
      <c r="D372" s="10" t="s">
        <v>1106</v>
      </c>
      <c r="E372" s="10" t="s">
        <v>1212</v>
      </c>
      <c r="F372" s="10" t="s">
        <v>14</v>
      </c>
      <c r="G372" s="10" t="s">
        <v>39</v>
      </c>
      <c r="H372" s="19">
        <f>SUMIF(OrderItems!$B$2:$B$1254,A372,OrderItems!$G$2:$G$1254)</f>
        <v>923.64400000000001</v>
      </c>
      <c r="I372" s="19">
        <f>SUMIF(OrderItems!$B$2:$B$1254,A372,OrderItems!$K$2:$K$1254)</f>
        <v>749.32</v>
      </c>
      <c r="J372" s="19">
        <f t="shared" si="15"/>
        <v>174.32399999999996</v>
      </c>
      <c r="K372" s="10" t="str">
        <f t="shared" si="16"/>
        <v>2025-10</v>
      </c>
      <c r="L372" s="10" t="str">
        <f>IFERROR(INDEX(Customers!$G$2:$G$61,MATCH(B372,Customers!$A$2:$A$61,0)),"")</f>
        <v>Consumer</v>
      </c>
      <c r="M372" s="10" t="str">
        <f>IFERROR(INDEX(Employees!$B$2:$B$37,MATCH(C372,Employees!$A$2:$A$37,0))&amp;" "&amp;INDEX(Employees!$C$2:$C$37,MATCH(C372,Employees!$A$2:$A$37,0)),"")</f>
        <v>John Gonzalez</v>
      </c>
      <c r="N372" s="10">
        <f t="shared" si="17"/>
        <v>2</v>
      </c>
    </row>
    <row r="373" spans="1:14" ht="15" customHeight="1" x14ac:dyDescent="0.25">
      <c r="A373" s="10">
        <v>372</v>
      </c>
      <c r="B373" s="10">
        <v>11</v>
      </c>
      <c r="C373" s="10">
        <v>1</v>
      </c>
      <c r="D373" s="10" t="s">
        <v>1213</v>
      </c>
      <c r="E373" s="10" t="s">
        <v>532</v>
      </c>
      <c r="F373" s="10" t="s">
        <v>14</v>
      </c>
      <c r="G373" s="10" t="s">
        <v>40</v>
      </c>
      <c r="H373" s="19">
        <f>SUMIF(OrderItems!$B$2:$B$1254,A373,OrderItems!$G$2:$G$1254)</f>
        <v>2029.1009999999997</v>
      </c>
      <c r="I373" s="19">
        <f>SUMIF(OrderItems!$B$2:$B$1254,A373,OrderItems!$K$2:$K$1254)</f>
        <v>1189.1199999999999</v>
      </c>
      <c r="J373" s="19">
        <f t="shared" si="15"/>
        <v>839.98099999999977</v>
      </c>
      <c r="K373" s="10" t="str">
        <f t="shared" si="16"/>
        <v>2023-07</v>
      </c>
      <c r="L373" s="10" t="str">
        <f>IFERROR(INDEX(Customers!$G$2:$G$61,MATCH(B373,Customers!$A$2:$A$61,0)),"")</f>
        <v>Consumer</v>
      </c>
      <c r="M373" s="10" t="str">
        <f>IFERROR(INDEX(Employees!$B$2:$B$37,MATCH(C373,Employees!$A$2:$A$37,0))&amp;" "&amp;INDEX(Employees!$C$2:$C$37,MATCH(C373,Employees!$A$2:$A$37,0)),"")</f>
        <v>Daniel Brown</v>
      </c>
      <c r="N373" s="10">
        <f t="shared" si="17"/>
        <v>9</v>
      </c>
    </row>
    <row r="374" spans="1:14" ht="15" customHeight="1" x14ac:dyDescent="0.25">
      <c r="A374" s="10">
        <v>373</v>
      </c>
      <c r="B374" s="10">
        <v>33</v>
      </c>
      <c r="C374" s="10">
        <v>8</v>
      </c>
      <c r="D374" s="10" t="s">
        <v>1214</v>
      </c>
      <c r="E374" s="10" t="s">
        <v>1215</v>
      </c>
      <c r="F374" s="10" t="s">
        <v>14</v>
      </c>
      <c r="G374" s="10" t="s">
        <v>36</v>
      </c>
      <c r="H374" s="19">
        <f>SUMIF(OrderItems!$B$2:$B$1254,A374,OrderItems!$G$2:$G$1254)</f>
        <v>4225.2740000000003</v>
      </c>
      <c r="I374" s="19">
        <f>SUMIF(OrderItems!$B$2:$B$1254,A374,OrderItems!$K$2:$K$1254)</f>
        <v>2622.85</v>
      </c>
      <c r="J374" s="19">
        <f t="shared" si="15"/>
        <v>1602.4240000000004</v>
      </c>
      <c r="K374" s="10" t="str">
        <f t="shared" si="16"/>
        <v>2025-04</v>
      </c>
      <c r="L374" s="10" t="str">
        <f>IFERROR(INDEX(Customers!$G$2:$G$61,MATCH(B374,Customers!$A$2:$A$61,0)),"")</f>
        <v>Consumer</v>
      </c>
      <c r="M374" s="10" t="str">
        <f>IFERROR(INDEX(Employees!$B$2:$B$37,MATCH(C374,Employees!$A$2:$A$37,0))&amp;" "&amp;INDEX(Employees!$C$2:$C$37,MATCH(C374,Employees!$A$2:$A$37,0)),"")</f>
        <v>John Gonzalez</v>
      </c>
      <c r="N374" s="10">
        <f t="shared" si="17"/>
        <v>6</v>
      </c>
    </row>
    <row r="375" spans="1:14" ht="15" customHeight="1" x14ac:dyDescent="0.25">
      <c r="A375" s="10">
        <v>374</v>
      </c>
      <c r="B375" s="10">
        <v>19</v>
      </c>
      <c r="C375" s="10">
        <v>10</v>
      </c>
      <c r="D375" s="10" t="s">
        <v>1216</v>
      </c>
      <c r="E375" s="10" t="s">
        <v>1010</v>
      </c>
      <c r="F375" s="10" t="s">
        <v>15</v>
      </c>
      <c r="G375" s="10" t="s">
        <v>39</v>
      </c>
      <c r="H375" s="19">
        <f>SUMIF(OrderItems!$B$2:$B$1254,A375,OrderItems!$G$2:$G$1254)</f>
        <v>5288.6329999999998</v>
      </c>
      <c r="I375" s="19">
        <f>SUMIF(OrderItems!$B$2:$B$1254,A375,OrderItems!$K$2:$K$1254)</f>
        <v>3210.54</v>
      </c>
      <c r="J375" s="19">
        <f t="shared" si="15"/>
        <v>2078.0929999999998</v>
      </c>
      <c r="K375" s="10" t="str">
        <f t="shared" si="16"/>
        <v>2024-09</v>
      </c>
      <c r="L375" s="10" t="str">
        <f>IFERROR(INDEX(Customers!$G$2:$G$61,MATCH(B375,Customers!$A$2:$A$61,0)),"")</f>
        <v>Corporate</v>
      </c>
      <c r="M375" s="10" t="str">
        <f>IFERROR(INDEX(Employees!$B$2:$B$37,MATCH(C375,Employees!$A$2:$A$37,0))&amp;" "&amp;INDEX(Employees!$C$2:$C$37,MATCH(C375,Employees!$A$2:$A$37,0)),"")</f>
        <v>John Moore</v>
      </c>
      <c r="N375" s="10">
        <f t="shared" si="17"/>
        <v>4</v>
      </c>
    </row>
    <row r="376" spans="1:14" ht="15" customHeight="1" x14ac:dyDescent="0.25">
      <c r="A376" s="10">
        <v>375</v>
      </c>
      <c r="B376" s="10">
        <v>8</v>
      </c>
      <c r="C376" s="10">
        <v>8</v>
      </c>
      <c r="D376" s="10" t="s">
        <v>1140</v>
      </c>
      <c r="F376" s="10" t="s">
        <v>17</v>
      </c>
      <c r="G376" s="10" t="s">
        <v>39</v>
      </c>
      <c r="H376" s="19">
        <f>SUMIF(OrderItems!$B$2:$B$1254,A376,OrderItems!$G$2:$G$1254)</f>
        <v>1183.68</v>
      </c>
      <c r="I376" s="19">
        <f>SUMIF(OrderItems!$B$2:$B$1254,A376,OrderItems!$K$2:$K$1254)</f>
        <v>577.71</v>
      </c>
      <c r="J376" s="19">
        <f t="shared" si="15"/>
        <v>605.97</v>
      </c>
      <c r="K376" s="10" t="str">
        <f t="shared" si="16"/>
        <v>2025-03</v>
      </c>
      <c r="L376" s="10" t="str">
        <f>IFERROR(INDEX(Customers!$G$2:$G$61,MATCH(B376,Customers!$A$2:$A$61,0)),"")</f>
        <v>Consumer</v>
      </c>
      <c r="M376" s="10" t="str">
        <f>IFERROR(INDEX(Employees!$B$2:$B$37,MATCH(C376,Employees!$A$2:$A$37,0))&amp;" "&amp;INDEX(Employees!$C$2:$C$37,MATCH(C376,Employees!$A$2:$A$37,0)),"")</f>
        <v>John Gonzalez</v>
      </c>
      <c r="N376" s="10" t="str">
        <f t="shared" si="17"/>
        <v/>
      </c>
    </row>
    <row r="377" spans="1:14" ht="15" customHeight="1" x14ac:dyDescent="0.25">
      <c r="A377" s="10">
        <v>376</v>
      </c>
      <c r="B377" s="10">
        <v>24</v>
      </c>
      <c r="C377" s="10">
        <v>8</v>
      </c>
      <c r="D377" s="10" t="s">
        <v>1197</v>
      </c>
      <c r="E377" s="10" t="s">
        <v>1217</v>
      </c>
      <c r="F377" s="10" t="s">
        <v>14</v>
      </c>
      <c r="G377" s="10" t="s">
        <v>40</v>
      </c>
      <c r="H377" s="19">
        <f>SUMIF(OrderItems!$B$2:$B$1254,A377,OrderItems!$G$2:$G$1254)</f>
        <v>2824.9409999999998</v>
      </c>
      <c r="I377" s="19">
        <f>SUMIF(OrderItems!$B$2:$B$1254,A377,OrderItems!$K$2:$K$1254)</f>
        <v>1744.1899999999998</v>
      </c>
      <c r="J377" s="19">
        <f t="shared" si="15"/>
        <v>1080.751</v>
      </c>
      <c r="K377" s="10" t="str">
        <f t="shared" si="16"/>
        <v>2024-11</v>
      </c>
      <c r="L377" s="10" t="str">
        <f>IFERROR(INDEX(Customers!$G$2:$G$61,MATCH(B377,Customers!$A$2:$A$61,0)),"")</f>
        <v>Consumer</v>
      </c>
      <c r="M377" s="10" t="str">
        <f>IFERROR(INDEX(Employees!$B$2:$B$37,MATCH(C377,Employees!$A$2:$A$37,0))&amp;" "&amp;INDEX(Employees!$C$2:$C$37,MATCH(C377,Employees!$A$2:$A$37,0)),"")</f>
        <v>John Gonzalez</v>
      </c>
      <c r="N377" s="10">
        <f t="shared" si="17"/>
        <v>10</v>
      </c>
    </row>
    <row r="378" spans="1:14" ht="15" customHeight="1" x14ac:dyDescent="0.25">
      <c r="A378" s="10">
        <v>377</v>
      </c>
      <c r="B378" s="10">
        <v>49</v>
      </c>
      <c r="C378" s="10">
        <v>9</v>
      </c>
      <c r="D378" s="10" t="s">
        <v>1218</v>
      </c>
      <c r="F378" s="10" t="s">
        <v>16</v>
      </c>
      <c r="G378" s="10" t="s">
        <v>40</v>
      </c>
      <c r="H378" s="19">
        <f>SUMIF(OrderItems!$B$2:$B$1254,A378,OrderItems!$G$2:$G$1254)</f>
        <v>7463.5959999999995</v>
      </c>
      <c r="I378" s="19">
        <f>SUMIF(OrderItems!$B$2:$B$1254,A378,OrderItems!$K$2:$K$1254)</f>
        <v>3965.6200000000003</v>
      </c>
      <c r="J378" s="19">
        <f t="shared" si="15"/>
        <v>3497.9759999999992</v>
      </c>
      <c r="K378" s="10" t="str">
        <f t="shared" si="16"/>
        <v>2025-03</v>
      </c>
      <c r="L378" s="10" t="str">
        <f>IFERROR(INDEX(Customers!$G$2:$G$61,MATCH(B378,Customers!$A$2:$A$61,0)),"")</f>
        <v>Corporate</v>
      </c>
      <c r="M378" s="10" t="str">
        <f>IFERROR(INDEX(Employees!$B$2:$B$37,MATCH(C378,Employees!$A$2:$A$37,0))&amp;" "&amp;INDEX(Employees!$C$2:$C$37,MATCH(C378,Employees!$A$2:$A$37,0)),"")</f>
        <v>William Johnson</v>
      </c>
      <c r="N378" s="10" t="str">
        <f t="shared" si="17"/>
        <v/>
      </c>
    </row>
    <row r="379" spans="1:14" ht="15" customHeight="1" x14ac:dyDescent="0.25">
      <c r="A379" s="10">
        <v>378</v>
      </c>
      <c r="B379" s="10">
        <v>54</v>
      </c>
      <c r="C379" s="10">
        <v>1</v>
      </c>
      <c r="D379" s="10" t="s">
        <v>1192</v>
      </c>
      <c r="E379" s="10" t="s">
        <v>1219</v>
      </c>
      <c r="F379" s="10" t="s">
        <v>14</v>
      </c>
      <c r="G379" s="10" t="s">
        <v>40</v>
      </c>
      <c r="H379" s="19">
        <f>SUMIF(OrderItems!$B$2:$B$1254,A379,OrderItems!$G$2:$G$1254)</f>
        <v>9595.0960000000014</v>
      </c>
      <c r="I379" s="19">
        <f>SUMIF(OrderItems!$B$2:$B$1254,A379,OrderItems!$K$2:$K$1254)</f>
        <v>6222.7300000000005</v>
      </c>
      <c r="J379" s="19">
        <f t="shared" si="15"/>
        <v>3372.3660000000009</v>
      </c>
      <c r="K379" s="10" t="str">
        <f t="shared" si="16"/>
        <v>2025-10</v>
      </c>
      <c r="L379" s="10" t="str">
        <f>IFERROR(INDEX(Customers!$G$2:$G$61,MATCH(B379,Customers!$A$2:$A$61,0)),"")</f>
        <v>Corporate</v>
      </c>
      <c r="M379" s="10" t="str">
        <f>IFERROR(INDEX(Employees!$B$2:$B$37,MATCH(C379,Employees!$A$2:$A$37,0))&amp;" "&amp;INDEX(Employees!$C$2:$C$37,MATCH(C379,Employees!$A$2:$A$37,0)),"")</f>
        <v>Daniel Brown</v>
      </c>
      <c r="N379" s="10">
        <f t="shared" si="17"/>
        <v>3</v>
      </c>
    </row>
    <row r="380" spans="1:14" ht="15" customHeight="1" x14ac:dyDescent="0.25">
      <c r="A380" s="10">
        <v>379</v>
      </c>
      <c r="B380" s="10">
        <v>32</v>
      </c>
      <c r="C380" s="10">
        <v>9</v>
      </c>
      <c r="D380" s="10" t="s">
        <v>1217</v>
      </c>
      <c r="E380" s="10" t="s">
        <v>947</v>
      </c>
      <c r="F380" s="10" t="s">
        <v>14</v>
      </c>
      <c r="G380" s="10" t="s">
        <v>40</v>
      </c>
      <c r="H380" s="19">
        <f>SUMIF(OrderItems!$B$2:$B$1254,A380,OrderItems!$G$2:$G$1254)</f>
        <v>3288.4</v>
      </c>
      <c r="I380" s="19">
        <f>SUMIF(OrderItems!$B$2:$B$1254,A380,OrderItems!$K$2:$K$1254)</f>
        <v>1844.24</v>
      </c>
      <c r="J380" s="19">
        <f t="shared" si="15"/>
        <v>1444.16</v>
      </c>
      <c r="K380" s="10" t="str">
        <f t="shared" si="16"/>
        <v>2024-12</v>
      </c>
      <c r="L380" s="10" t="str">
        <f>IFERROR(INDEX(Customers!$G$2:$G$61,MATCH(B380,Customers!$A$2:$A$61,0)),"")</f>
        <v>Small Business</v>
      </c>
      <c r="M380" s="10" t="str">
        <f>IFERROR(INDEX(Employees!$B$2:$B$37,MATCH(C380,Employees!$A$2:$A$37,0))&amp;" "&amp;INDEX(Employees!$C$2:$C$37,MATCH(C380,Employees!$A$2:$A$37,0)),"")</f>
        <v>William Johnson</v>
      </c>
      <c r="N380" s="10">
        <f t="shared" si="17"/>
        <v>1</v>
      </c>
    </row>
    <row r="381" spans="1:14" ht="15" customHeight="1" x14ac:dyDescent="0.25">
      <c r="A381" s="10">
        <v>380</v>
      </c>
      <c r="B381" s="10">
        <v>30</v>
      </c>
      <c r="C381" s="10">
        <v>1</v>
      </c>
      <c r="D381" s="10" t="s">
        <v>1220</v>
      </c>
      <c r="E381" s="10" t="s">
        <v>1125</v>
      </c>
      <c r="F381" s="10" t="s">
        <v>14</v>
      </c>
      <c r="G381" s="10" t="s">
        <v>38</v>
      </c>
      <c r="H381" s="19">
        <f>SUMIF(OrderItems!$B$2:$B$1254,A381,OrderItems!$G$2:$G$1254)</f>
        <v>2989.0305000000003</v>
      </c>
      <c r="I381" s="19">
        <f>SUMIF(OrderItems!$B$2:$B$1254,A381,OrderItems!$K$2:$K$1254)</f>
        <v>1726.91</v>
      </c>
      <c r="J381" s="19">
        <f t="shared" si="15"/>
        <v>1262.1205000000002</v>
      </c>
      <c r="K381" s="10" t="str">
        <f t="shared" si="16"/>
        <v>2023-03</v>
      </c>
      <c r="L381" s="10" t="str">
        <f>IFERROR(INDEX(Customers!$G$2:$G$61,MATCH(B381,Customers!$A$2:$A$61,0)),"")</f>
        <v>Consumer</v>
      </c>
      <c r="M381" s="10" t="str">
        <f>IFERROR(INDEX(Employees!$B$2:$B$37,MATCH(C381,Employees!$A$2:$A$37,0))&amp;" "&amp;INDEX(Employees!$C$2:$C$37,MATCH(C381,Employees!$A$2:$A$37,0)),"")</f>
        <v>Daniel Brown</v>
      </c>
      <c r="N381" s="10">
        <f t="shared" si="17"/>
        <v>9</v>
      </c>
    </row>
    <row r="382" spans="1:14" ht="15" customHeight="1" x14ac:dyDescent="0.25">
      <c r="A382" s="10">
        <v>381</v>
      </c>
      <c r="B382" s="10">
        <v>43</v>
      </c>
      <c r="C382" s="10">
        <v>10</v>
      </c>
      <c r="D382" s="10" t="s">
        <v>409</v>
      </c>
      <c r="E382" s="10" t="s">
        <v>1069</v>
      </c>
      <c r="F382" s="10" t="s">
        <v>14</v>
      </c>
      <c r="G382" s="10" t="s">
        <v>36</v>
      </c>
      <c r="H382" s="19">
        <f>SUMIF(OrderItems!$B$2:$B$1254,A382,OrderItems!$G$2:$G$1254)</f>
        <v>6140.625</v>
      </c>
      <c r="I382" s="19">
        <f>SUMIF(OrderItems!$B$2:$B$1254,A382,OrderItems!$K$2:$K$1254)</f>
        <v>4036.25</v>
      </c>
      <c r="J382" s="19">
        <f t="shared" si="15"/>
        <v>2104.375</v>
      </c>
      <c r="K382" s="10" t="str">
        <f t="shared" si="16"/>
        <v>2025-09</v>
      </c>
      <c r="L382" s="10" t="str">
        <f>IFERROR(INDEX(Customers!$G$2:$G$61,MATCH(B382,Customers!$A$2:$A$61,0)),"")</f>
        <v>Corporate</v>
      </c>
      <c r="M382" s="10" t="str">
        <f>IFERROR(INDEX(Employees!$B$2:$B$37,MATCH(C382,Employees!$A$2:$A$37,0))&amp;" "&amp;INDEX(Employees!$C$2:$C$37,MATCH(C382,Employees!$A$2:$A$37,0)),"")</f>
        <v>John Moore</v>
      </c>
      <c r="N382" s="10">
        <f t="shared" si="17"/>
        <v>9</v>
      </c>
    </row>
    <row r="383" spans="1:14" ht="15" customHeight="1" x14ac:dyDescent="0.25">
      <c r="A383" s="10">
        <v>382</v>
      </c>
      <c r="B383" s="10">
        <v>9</v>
      </c>
      <c r="C383" s="10">
        <v>9</v>
      </c>
      <c r="D383" s="10" t="s">
        <v>1221</v>
      </c>
      <c r="E383" s="10" t="s">
        <v>816</v>
      </c>
      <c r="F383" s="10" t="s">
        <v>14</v>
      </c>
      <c r="G383" s="10" t="s">
        <v>40</v>
      </c>
      <c r="H383" s="19">
        <f>SUMIF(OrderItems!$B$2:$B$1254,A383,OrderItems!$G$2:$G$1254)</f>
        <v>2269.62</v>
      </c>
      <c r="I383" s="19">
        <f>SUMIF(OrderItems!$B$2:$B$1254,A383,OrderItems!$K$2:$K$1254)</f>
        <v>983.52</v>
      </c>
      <c r="J383" s="19">
        <f t="shared" si="15"/>
        <v>1286.0999999999999</v>
      </c>
      <c r="K383" s="10" t="str">
        <f t="shared" si="16"/>
        <v>2024-12</v>
      </c>
      <c r="L383" s="10" t="str">
        <f>IFERROR(INDEX(Customers!$G$2:$G$61,MATCH(B383,Customers!$A$2:$A$61,0)),"")</f>
        <v>Consumer</v>
      </c>
      <c r="M383" s="10" t="str">
        <f>IFERROR(INDEX(Employees!$B$2:$B$37,MATCH(C383,Employees!$A$2:$A$37,0))&amp;" "&amp;INDEX(Employees!$C$2:$C$37,MATCH(C383,Employees!$A$2:$A$37,0)),"")</f>
        <v>William Johnson</v>
      </c>
      <c r="N383" s="10">
        <f t="shared" si="17"/>
        <v>6</v>
      </c>
    </row>
    <row r="384" spans="1:14" ht="15" customHeight="1" x14ac:dyDescent="0.25">
      <c r="A384" s="10">
        <v>383</v>
      </c>
      <c r="B384" s="10">
        <v>4</v>
      </c>
      <c r="C384" s="10">
        <v>8</v>
      </c>
      <c r="D384" s="10" t="s">
        <v>1222</v>
      </c>
      <c r="E384" s="10" t="s">
        <v>861</v>
      </c>
      <c r="F384" s="10" t="s">
        <v>14</v>
      </c>
      <c r="G384" s="10" t="s">
        <v>39</v>
      </c>
      <c r="H384" s="19">
        <f>SUMIF(OrderItems!$B$2:$B$1254,A384,OrderItems!$G$2:$G$1254)</f>
        <v>500.416</v>
      </c>
      <c r="I384" s="19">
        <f>SUMIF(OrderItems!$B$2:$B$1254,A384,OrderItems!$K$2:$K$1254)</f>
        <v>347.02</v>
      </c>
      <c r="J384" s="19">
        <f t="shared" si="15"/>
        <v>153.39600000000002</v>
      </c>
      <c r="K384" s="10" t="str">
        <f t="shared" si="16"/>
        <v>2024-05</v>
      </c>
      <c r="L384" s="10" t="str">
        <f>IFERROR(INDEX(Customers!$G$2:$G$61,MATCH(B384,Customers!$A$2:$A$61,0)),"")</f>
        <v>Small Business</v>
      </c>
      <c r="M384" s="10" t="str">
        <f>IFERROR(INDEX(Employees!$B$2:$B$37,MATCH(C384,Employees!$A$2:$A$37,0))&amp;" "&amp;INDEX(Employees!$C$2:$C$37,MATCH(C384,Employees!$A$2:$A$37,0)),"")</f>
        <v>John Gonzalez</v>
      </c>
      <c r="N384" s="10">
        <f t="shared" si="17"/>
        <v>5</v>
      </c>
    </row>
    <row r="385" spans="1:14" ht="15" customHeight="1" x14ac:dyDescent="0.25">
      <c r="A385" s="10">
        <v>384</v>
      </c>
      <c r="B385" s="10">
        <v>22</v>
      </c>
      <c r="C385" s="10">
        <v>8</v>
      </c>
      <c r="D385" s="10" t="s">
        <v>1223</v>
      </c>
      <c r="F385" s="10" t="s">
        <v>16</v>
      </c>
      <c r="G385" s="10" t="s">
        <v>36</v>
      </c>
      <c r="H385" s="19">
        <f>SUMIF(OrderItems!$B$2:$B$1254,A385,OrderItems!$G$2:$G$1254)</f>
        <v>5031.7035000000005</v>
      </c>
      <c r="I385" s="19">
        <f>SUMIF(OrderItems!$B$2:$B$1254,A385,OrderItems!$K$2:$K$1254)</f>
        <v>3029.3100000000004</v>
      </c>
      <c r="J385" s="19">
        <f t="shared" si="15"/>
        <v>2002.3935000000001</v>
      </c>
      <c r="K385" s="10" t="str">
        <f t="shared" si="16"/>
        <v>2023-02</v>
      </c>
      <c r="L385" s="10" t="str">
        <f>IFERROR(INDEX(Customers!$G$2:$G$61,MATCH(B385,Customers!$A$2:$A$61,0)),"")</f>
        <v>Small Business</v>
      </c>
      <c r="M385" s="10" t="str">
        <f>IFERROR(INDEX(Employees!$B$2:$B$37,MATCH(C385,Employees!$A$2:$A$37,0))&amp;" "&amp;INDEX(Employees!$C$2:$C$37,MATCH(C385,Employees!$A$2:$A$37,0)),"")</f>
        <v>John Gonzalez</v>
      </c>
      <c r="N385" s="10" t="str">
        <f t="shared" si="17"/>
        <v/>
      </c>
    </row>
    <row r="386" spans="1:14" ht="15" customHeight="1" x14ac:dyDescent="0.25">
      <c r="A386" s="10">
        <v>385</v>
      </c>
      <c r="B386" s="10">
        <v>21</v>
      </c>
      <c r="C386" s="10">
        <v>1</v>
      </c>
      <c r="D386" s="10" t="s">
        <v>1224</v>
      </c>
      <c r="E386" s="10" t="s">
        <v>870</v>
      </c>
      <c r="F386" s="10" t="s">
        <v>14</v>
      </c>
      <c r="G386" s="10" t="s">
        <v>38</v>
      </c>
      <c r="H386" s="19">
        <f>SUMIF(OrderItems!$B$2:$B$1254,A386,OrderItems!$G$2:$G$1254)</f>
        <v>2033.5430000000001</v>
      </c>
      <c r="I386" s="19">
        <f>SUMIF(OrderItems!$B$2:$B$1254,A386,OrderItems!$K$2:$K$1254)</f>
        <v>1238.55</v>
      </c>
      <c r="J386" s="19">
        <f t="shared" ref="J386:J449" si="18">H386-I386</f>
        <v>794.99300000000017</v>
      </c>
      <c r="K386" s="10" t="str">
        <f t="shared" ref="K386:K401" si="19">IF(D386="","",TEXT(D386,"YYYY-MM"))</f>
        <v>2025-09</v>
      </c>
      <c r="L386" s="10" t="str">
        <f>IFERROR(INDEX(Customers!$G$2:$G$61,MATCH(B386,Customers!$A$2:$A$61,0)),"")</f>
        <v>Corporate</v>
      </c>
      <c r="M386" s="10" t="str">
        <f>IFERROR(INDEX(Employees!$B$2:$B$37,MATCH(C386,Employees!$A$2:$A$37,0))&amp;" "&amp;INDEX(Employees!$C$2:$C$37,MATCH(C386,Employees!$A$2:$A$37,0)),"")</f>
        <v>Daniel Brown</v>
      </c>
      <c r="N386" s="10">
        <f t="shared" ref="N386:N401" si="20">IF(E386="","",E386-D386)</f>
        <v>4</v>
      </c>
    </row>
    <row r="387" spans="1:14" ht="15" customHeight="1" x14ac:dyDescent="0.25">
      <c r="A387" s="10">
        <v>386</v>
      </c>
      <c r="B387" s="10">
        <v>19</v>
      </c>
      <c r="C387" s="10">
        <v>9</v>
      </c>
      <c r="D387" s="10" t="s">
        <v>1225</v>
      </c>
      <c r="E387" s="10" t="s">
        <v>1226</v>
      </c>
      <c r="F387" s="10" t="s">
        <v>18</v>
      </c>
      <c r="G387" s="10" t="s">
        <v>40</v>
      </c>
      <c r="H387" s="19">
        <f>SUMIF(OrderItems!$B$2:$B$1254,A387,OrderItems!$G$2:$G$1254)</f>
        <v>3164.7050000000004</v>
      </c>
      <c r="I387" s="19">
        <f>SUMIF(OrderItems!$B$2:$B$1254,A387,OrderItems!$K$2:$K$1254)</f>
        <v>2063.46</v>
      </c>
      <c r="J387" s="19">
        <f t="shared" si="18"/>
        <v>1101.2450000000003</v>
      </c>
      <c r="K387" s="10" t="str">
        <f t="shared" si="19"/>
        <v>2023-04</v>
      </c>
      <c r="L387" s="10" t="str">
        <f>IFERROR(INDEX(Customers!$G$2:$G$61,MATCH(B387,Customers!$A$2:$A$61,0)),"")</f>
        <v>Corporate</v>
      </c>
      <c r="M387" s="10" t="str">
        <f>IFERROR(INDEX(Employees!$B$2:$B$37,MATCH(C387,Employees!$A$2:$A$37,0))&amp;" "&amp;INDEX(Employees!$C$2:$C$37,MATCH(C387,Employees!$A$2:$A$37,0)),"")</f>
        <v>William Johnson</v>
      </c>
      <c r="N387" s="10">
        <f t="shared" si="20"/>
        <v>10</v>
      </c>
    </row>
    <row r="388" spans="1:14" ht="15" customHeight="1" x14ac:dyDescent="0.25">
      <c r="A388" s="10">
        <v>387</v>
      </c>
      <c r="B388" s="10">
        <v>18</v>
      </c>
      <c r="C388" s="10">
        <v>1</v>
      </c>
      <c r="D388" s="10" t="s">
        <v>1227</v>
      </c>
      <c r="E388" s="10" t="s">
        <v>894</v>
      </c>
      <c r="F388" s="10" t="s">
        <v>15</v>
      </c>
      <c r="G388" s="10" t="s">
        <v>37</v>
      </c>
      <c r="H388" s="19">
        <f>SUMIF(OrderItems!$B$2:$B$1254,A388,OrderItems!$G$2:$G$1254)</f>
        <v>4453.1880000000001</v>
      </c>
      <c r="I388" s="19">
        <f>SUMIF(OrderItems!$B$2:$B$1254,A388,OrderItems!$K$2:$K$1254)</f>
        <v>2626.34</v>
      </c>
      <c r="J388" s="19">
        <f t="shared" si="18"/>
        <v>1826.848</v>
      </c>
      <c r="K388" s="10" t="str">
        <f t="shared" si="19"/>
        <v>2025-12</v>
      </c>
      <c r="L388" s="10" t="str">
        <f>IFERROR(INDEX(Customers!$G$2:$G$61,MATCH(B388,Customers!$A$2:$A$61,0)),"")</f>
        <v>Small Business</v>
      </c>
      <c r="M388" s="10" t="str">
        <f>IFERROR(INDEX(Employees!$B$2:$B$37,MATCH(C388,Employees!$A$2:$A$37,0))&amp;" "&amp;INDEX(Employees!$C$2:$C$37,MATCH(C388,Employees!$A$2:$A$37,0)),"")</f>
        <v>Daniel Brown</v>
      </c>
      <c r="N388" s="10">
        <f t="shared" si="20"/>
        <v>7</v>
      </c>
    </row>
    <row r="389" spans="1:14" ht="15" customHeight="1" x14ac:dyDescent="0.25">
      <c r="A389" s="10">
        <v>388</v>
      </c>
      <c r="B389" s="10">
        <v>40</v>
      </c>
      <c r="C389" s="10">
        <v>10</v>
      </c>
      <c r="D389" s="10" t="s">
        <v>1228</v>
      </c>
      <c r="E389" s="10" t="s">
        <v>1211</v>
      </c>
      <c r="F389" s="10" t="s">
        <v>14</v>
      </c>
      <c r="G389" s="10" t="s">
        <v>37</v>
      </c>
      <c r="H389" s="19">
        <f>SUMIF(OrderItems!$B$2:$B$1254,A389,OrderItems!$G$2:$G$1254)</f>
        <v>6283.5505000000003</v>
      </c>
      <c r="I389" s="19">
        <f>SUMIF(OrderItems!$B$2:$B$1254,A389,OrderItems!$K$2:$K$1254)</f>
        <v>4557.99</v>
      </c>
      <c r="J389" s="19">
        <f t="shared" si="18"/>
        <v>1725.5605000000005</v>
      </c>
      <c r="K389" s="10" t="str">
        <f t="shared" si="19"/>
        <v>2024-01</v>
      </c>
      <c r="L389" s="10" t="str">
        <f>IFERROR(INDEX(Customers!$G$2:$G$61,MATCH(B389,Customers!$A$2:$A$61,0)),"")</f>
        <v>Corporate</v>
      </c>
      <c r="M389" s="10" t="str">
        <f>IFERROR(INDEX(Employees!$B$2:$B$37,MATCH(C389,Employees!$A$2:$A$37,0))&amp;" "&amp;INDEX(Employees!$C$2:$C$37,MATCH(C389,Employees!$A$2:$A$37,0)),"")</f>
        <v>John Moore</v>
      </c>
      <c r="N389" s="10">
        <f t="shared" si="20"/>
        <v>9</v>
      </c>
    </row>
    <row r="390" spans="1:14" ht="15" customHeight="1" x14ac:dyDescent="0.25">
      <c r="A390" s="10">
        <v>389</v>
      </c>
      <c r="B390" s="10">
        <v>30</v>
      </c>
      <c r="C390" s="10">
        <v>8</v>
      </c>
      <c r="D390" s="10" t="s">
        <v>1229</v>
      </c>
      <c r="E390" s="10" t="s">
        <v>1230</v>
      </c>
      <c r="F390" s="10" t="s">
        <v>14</v>
      </c>
      <c r="G390" s="10" t="s">
        <v>40</v>
      </c>
      <c r="H390" s="19">
        <f>SUMIF(OrderItems!$B$2:$B$1254,A390,OrderItems!$G$2:$G$1254)</f>
        <v>7216.2550000000001</v>
      </c>
      <c r="I390" s="19">
        <f>SUMIF(OrderItems!$B$2:$B$1254,A390,OrderItems!$K$2:$K$1254)</f>
        <v>3901.76</v>
      </c>
      <c r="J390" s="19">
        <f t="shared" si="18"/>
        <v>3314.4949999999999</v>
      </c>
      <c r="K390" s="10" t="str">
        <f t="shared" si="19"/>
        <v>2024-05</v>
      </c>
      <c r="L390" s="10" t="str">
        <f>IFERROR(INDEX(Customers!$G$2:$G$61,MATCH(B390,Customers!$A$2:$A$61,0)),"")</f>
        <v>Consumer</v>
      </c>
      <c r="M390" s="10" t="str">
        <f>IFERROR(INDEX(Employees!$B$2:$B$37,MATCH(C390,Employees!$A$2:$A$37,0))&amp;" "&amp;INDEX(Employees!$C$2:$C$37,MATCH(C390,Employees!$A$2:$A$37,0)),"")</f>
        <v>John Gonzalez</v>
      </c>
      <c r="N390" s="10">
        <f t="shared" si="20"/>
        <v>5</v>
      </c>
    </row>
    <row r="391" spans="1:14" ht="15" customHeight="1" x14ac:dyDescent="0.25">
      <c r="A391" s="10">
        <v>390</v>
      </c>
      <c r="B391" s="10">
        <v>8</v>
      </c>
      <c r="C391" s="10">
        <v>8</v>
      </c>
      <c r="D391" s="10" t="s">
        <v>1176</v>
      </c>
      <c r="E391" s="10" t="s">
        <v>806</v>
      </c>
      <c r="F391" s="10" t="s">
        <v>14</v>
      </c>
      <c r="G391" s="10" t="s">
        <v>38</v>
      </c>
      <c r="H391" s="19">
        <f>SUMIF(OrderItems!$B$2:$B$1254,A391,OrderItems!$G$2:$G$1254)</f>
        <v>4434.4800000000005</v>
      </c>
      <c r="I391" s="19">
        <f>SUMIF(OrderItems!$B$2:$B$1254,A391,OrderItems!$K$2:$K$1254)</f>
        <v>2257.04</v>
      </c>
      <c r="J391" s="19">
        <f t="shared" si="18"/>
        <v>2177.4400000000005</v>
      </c>
      <c r="K391" s="10" t="str">
        <f t="shared" si="19"/>
        <v>2024-01</v>
      </c>
      <c r="L391" s="10" t="str">
        <f>IFERROR(INDEX(Customers!$G$2:$G$61,MATCH(B391,Customers!$A$2:$A$61,0)),"")</f>
        <v>Consumer</v>
      </c>
      <c r="M391" s="10" t="str">
        <f>IFERROR(INDEX(Employees!$B$2:$B$37,MATCH(C391,Employees!$A$2:$A$37,0))&amp;" "&amp;INDEX(Employees!$C$2:$C$37,MATCH(C391,Employees!$A$2:$A$37,0)),"")</f>
        <v>John Gonzalez</v>
      </c>
      <c r="N391" s="10">
        <f t="shared" si="20"/>
        <v>4</v>
      </c>
    </row>
    <row r="392" spans="1:14" ht="15" customHeight="1" x14ac:dyDescent="0.25">
      <c r="A392" s="10">
        <v>391</v>
      </c>
      <c r="B392" s="10">
        <v>42</v>
      </c>
      <c r="C392" s="10">
        <v>1</v>
      </c>
      <c r="D392" s="10" t="s">
        <v>826</v>
      </c>
      <c r="E392" s="10" t="s">
        <v>1020</v>
      </c>
      <c r="F392" s="10" t="s">
        <v>14</v>
      </c>
      <c r="G392" s="10" t="s">
        <v>36</v>
      </c>
      <c r="H392" s="19">
        <f>SUMIF(OrderItems!$B$2:$B$1254,A392,OrderItems!$G$2:$G$1254)</f>
        <v>2096.4459999999999</v>
      </c>
      <c r="I392" s="19">
        <f>SUMIF(OrderItems!$B$2:$B$1254,A392,OrderItems!$K$2:$K$1254)</f>
        <v>1212.97</v>
      </c>
      <c r="J392" s="19">
        <f t="shared" si="18"/>
        <v>883.47599999999989</v>
      </c>
      <c r="K392" s="10" t="str">
        <f t="shared" si="19"/>
        <v>2025-09</v>
      </c>
      <c r="L392" s="10" t="str">
        <f>IFERROR(INDEX(Customers!$G$2:$G$61,MATCH(B392,Customers!$A$2:$A$61,0)),"")</f>
        <v>Small Business</v>
      </c>
      <c r="M392" s="10" t="str">
        <f>IFERROR(INDEX(Employees!$B$2:$B$37,MATCH(C392,Employees!$A$2:$A$37,0))&amp;" "&amp;INDEX(Employees!$C$2:$C$37,MATCH(C392,Employees!$A$2:$A$37,0)),"")</f>
        <v>Daniel Brown</v>
      </c>
      <c r="N392" s="10">
        <f t="shared" si="20"/>
        <v>1</v>
      </c>
    </row>
    <row r="393" spans="1:14" ht="15" customHeight="1" x14ac:dyDescent="0.25">
      <c r="A393" s="10">
        <v>392</v>
      </c>
      <c r="B393" s="10">
        <v>34</v>
      </c>
      <c r="C393" s="10">
        <v>9</v>
      </c>
      <c r="D393" s="10" t="s">
        <v>1191</v>
      </c>
      <c r="E393" s="10" t="s">
        <v>1192</v>
      </c>
      <c r="F393" s="10" t="s">
        <v>14</v>
      </c>
      <c r="G393" s="10" t="s">
        <v>39</v>
      </c>
      <c r="H393" s="19">
        <f>SUMIF(OrderItems!$B$2:$B$1254,A393,OrderItems!$G$2:$G$1254)</f>
        <v>1976.3999999999999</v>
      </c>
      <c r="I393" s="19">
        <f>SUMIF(OrderItems!$B$2:$B$1254,A393,OrderItems!$K$2:$K$1254)</f>
        <v>1248.78</v>
      </c>
      <c r="J393" s="19">
        <f t="shared" si="18"/>
        <v>727.61999999999989</v>
      </c>
      <c r="K393" s="10" t="str">
        <f t="shared" si="19"/>
        <v>2025-10</v>
      </c>
      <c r="L393" s="10" t="str">
        <f>IFERROR(INDEX(Customers!$G$2:$G$61,MATCH(B393,Customers!$A$2:$A$61,0)),"")</f>
        <v>Small Business</v>
      </c>
      <c r="M393" s="10" t="str">
        <f>IFERROR(INDEX(Employees!$B$2:$B$37,MATCH(C393,Employees!$A$2:$A$37,0))&amp;" "&amp;INDEX(Employees!$C$2:$C$37,MATCH(C393,Employees!$A$2:$A$37,0)),"")</f>
        <v>William Johnson</v>
      </c>
      <c r="N393" s="10">
        <f t="shared" si="20"/>
        <v>4</v>
      </c>
    </row>
    <row r="394" spans="1:14" ht="15" customHeight="1" x14ac:dyDescent="0.25">
      <c r="A394" s="10">
        <v>393</v>
      </c>
      <c r="B394" s="10">
        <v>52</v>
      </c>
      <c r="C394" s="10">
        <v>8</v>
      </c>
      <c r="D394" s="10" t="s">
        <v>994</v>
      </c>
      <c r="E394" s="10" t="s">
        <v>1231</v>
      </c>
      <c r="F394" s="10" t="s">
        <v>14</v>
      </c>
      <c r="G394" s="10" t="s">
        <v>36</v>
      </c>
      <c r="H394" s="19">
        <f>SUMIF(OrderItems!$B$2:$B$1254,A394,OrderItems!$G$2:$G$1254)</f>
        <v>3030.8519999999999</v>
      </c>
      <c r="I394" s="19">
        <f>SUMIF(OrderItems!$B$2:$B$1254,A394,OrderItems!$K$2:$K$1254)</f>
        <v>2090.5500000000002</v>
      </c>
      <c r="J394" s="19">
        <f t="shared" si="18"/>
        <v>940.30199999999968</v>
      </c>
      <c r="K394" s="10" t="str">
        <f t="shared" si="19"/>
        <v>2025-05</v>
      </c>
      <c r="L394" s="10" t="str">
        <f>IFERROR(INDEX(Customers!$G$2:$G$61,MATCH(B394,Customers!$A$2:$A$61,0)),"")</f>
        <v>Corporate</v>
      </c>
      <c r="M394" s="10" t="str">
        <f>IFERROR(INDEX(Employees!$B$2:$B$37,MATCH(C394,Employees!$A$2:$A$37,0))&amp;" "&amp;INDEX(Employees!$C$2:$C$37,MATCH(C394,Employees!$A$2:$A$37,0)),"")</f>
        <v>John Gonzalez</v>
      </c>
      <c r="N394" s="10">
        <f t="shared" si="20"/>
        <v>3</v>
      </c>
    </row>
    <row r="395" spans="1:14" ht="15" customHeight="1" x14ac:dyDescent="0.25">
      <c r="A395" s="10">
        <v>394</v>
      </c>
      <c r="B395" s="10">
        <v>32</v>
      </c>
      <c r="C395" s="10">
        <v>9</v>
      </c>
      <c r="D395" s="10" t="s">
        <v>1232</v>
      </c>
      <c r="F395" s="10" t="s">
        <v>16</v>
      </c>
      <c r="G395" s="10" t="s">
        <v>39</v>
      </c>
      <c r="H395" s="19">
        <f>SUMIF(OrderItems!$B$2:$B$1254,A395,OrderItems!$G$2:$G$1254)</f>
        <v>6865.2340000000004</v>
      </c>
      <c r="I395" s="19">
        <f>SUMIF(OrderItems!$B$2:$B$1254,A395,OrderItems!$K$2:$K$1254)</f>
        <v>3975.42</v>
      </c>
      <c r="J395" s="19">
        <f t="shared" si="18"/>
        <v>2889.8140000000003</v>
      </c>
      <c r="K395" s="10" t="str">
        <f t="shared" si="19"/>
        <v>2023-08</v>
      </c>
      <c r="L395" s="10" t="str">
        <f>IFERROR(INDEX(Customers!$G$2:$G$61,MATCH(B395,Customers!$A$2:$A$61,0)),"")</f>
        <v>Small Business</v>
      </c>
      <c r="M395" s="10" t="str">
        <f>IFERROR(INDEX(Employees!$B$2:$B$37,MATCH(C395,Employees!$A$2:$A$37,0))&amp;" "&amp;INDEX(Employees!$C$2:$C$37,MATCH(C395,Employees!$A$2:$A$37,0)),"")</f>
        <v>William Johnson</v>
      </c>
      <c r="N395" s="10" t="str">
        <f t="shared" si="20"/>
        <v/>
      </c>
    </row>
    <row r="396" spans="1:14" ht="15" customHeight="1" x14ac:dyDescent="0.25">
      <c r="A396" s="10">
        <v>395</v>
      </c>
      <c r="B396" s="10">
        <v>45</v>
      </c>
      <c r="C396" s="10">
        <v>8</v>
      </c>
      <c r="D396" s="10" t="s">
        <v>288</v>
      </c>
      <c r="F396" s="10" t="s">
        <v>17</v>
      </c>
      <c r="G396" s="10" t="s">
        <v>38</v>
      </c>
      <c r="H396" s="19">
        <f>SUMIF(OrderItems!$B$2:$B$1254,A396,OrderItems!$G$2:$G$1254)</f>
        <v>3406.9049999999997</v>
      </c>
      <c r="I396" s="19">
        <f>SUMIF(OrderItems!$B$2:$B$1254,A396,OrderItems!$K$2:$K$1254)</f>
        <v>1924.0300000000002</v>
      </c>
      <c r="J396" s="19">
        <f t="shared" si="18"/>
        <v>1482.8749999999995</v>
      </c>
      <c r="K396" s="10" t="str">
        <f t="shared" si="19"/>
        <v>2024-06</v>
      </c>
      <c r="L396" s="10" t="str">
        <f>IFERROR(INDEX(Customers!$G$2:$G$61,MATCH(B396,Customers!$A$2:$A$61,0)),"")</f>
        <v>Consumer</v>
      </c>
      <c r="M396" s="10" t="str">
        <f>IFERROR(INDEX(Employees!$B$2:$B$37,MATCH(C396,Employees!$A$2:$A$37,0))&amp;" "&amp;INDEX(Employees!$C$2:$C$37,MATCH(C396,Employees!$A$2:$A$37,0)),"")</f>
        <v>John Gonzalez</v>
      </c>
      <c r="N396" s="10" t="str">
        <f t="shared" si="20"/>
        <v/>
      </c>
    </row>
    <row r="397" spans="1:14" ht="15" customHeight="1" x14ac:dyDescent="0.25">
      <c r="A397" s="10">
        <v>396</v>
      </c>
      <c r="B397" s="10">
        <v>60</v>
      </c>
      <c r="C397" s="10">
        <v>9</v>
      </c>
      <c r="D397" s="10" t="s">
        <v>1233</v>
      </c>
      <c r="E397" s="10" t="s">
        <v>1234</v>
      </c>
      <c r="F397" s="10" t="s">
        <v>14</v>
      </c>
      <c r="G397" s="10" t="s">
        <v>38</v>
      </c>
      <c r="H397" s="19">
        <f>SUMIF(OrderItems!$B$2:$B$1254,A397,OrderItems!$G$2:$G$1254)</f>
        <v>3721.9920000000002</v>
      </c>
      <c r="I397" s="19">
        <f>SUMIF(OrderItems!$B$2:$B$1254,A397,OrderItems!$K$2:$K$1254)</f>
        <v>2434.8000000000002</v>
      </c>
      <c r="J397" s="19">
        <f t="shared" si="18"/>
        <v>1287.192</v>
      </c>
      <c r="K397" s="10" t="str">
        <f t="shared" si="19"/>
        <v>2024-09</v>
      </c>
      <c r="L397" s="10" t="str">
        <f>IFERROR(INDEX(Customers!$G$2:$G$61,MATCH(B397,Customers!$A$2:$A$61,0)),"")</f>
        <v>Consumer</v>
      </c>
      <c r="M397" s="10" t="str">
        <f>IFERROR(INDEX(Employees!$B$2:$B$37,MATCH(C397,Employees!$A$2:$A$37,0))&amp;" "&amp;INDEX(Employees!$C$2:$C$37,MATCH(C397,Employees!$A$2:$A$37,0)),"")</f>
        <v>William Johnson</v>
      </c>
      <c r="N397" s="10">
        <f t="shared" si="20"/>
        <v>4</v>
      </c>
    </row>
    <row r="398" spans="1:14" ht="15" customHeight="1" x14ac:dyDescent="0.25">
      <c r="A398" s="10">
        <v>397</v>
      </c>
      <c r="B398" s="10">
        <v>56</v>
      </c>
      <c r="C398" s="10">
        <v>1</v>
      </c>
      <c r="D398" s="10" t="s">
        <v>1235</v>
      </c>
      <c r="E398" s="10" t="s">
        <v>997</v>
      </c>
      <c r="F398" s="10" t="s">
        <v>15</v>
      </c>
      <c r="G398" s="10" t="s">
        <v>38</v>
      </c>
      <c r="H398" s="19">
        <f>SUMIF(OrderItems!$B$2:$B$1254,A398,OrderItems!$G$2:$G$1254)</f>
        <v>8310.7174999999988</v>
      </c>
      <c r="I398" s="19">
        <f>SUMIF(OrderItems!$B$2:$B$1254,A398,OrderItems!$K$2:$K$1254)</f>
        <v>4476.0600000000004</v>
      </c>
      <c r="J398" s="19">
        <f t="shared" si="18"/>
        <v>3834.6574999999984</v>
      </c>
      <c r="K398" s="10" t="str">
        <f t="shared" si="19"/>
        <v>2025-10</v>
      </c>
      <c r="L398" s="10" t="str">
        <f>IFERROR(INDEX(Customers!$G$2:$G$61,MATCH(B398,Customers!$A$2:$A$61,0)),"")</f>
        <v>Consumer</v>
      </c>
      <c r="M398" s="10" t="str">
        <f>IFERROR(INDEX(Employees!$B$2:$B$37,MATCH(C398,Employees!$A$2:$A$37,0))&amp;" "&amp;INDEX(Employees!$C$2:$C$37,MATCH(C398,Employees!$A$2:$A$37,0)),"")</f>
        <v>Daniel Brown</v>
      </c>
      <c r="N398" s="10">
        <f t="shared" si="20"/>
        <v>7</v>
      </c>
    </row>
    <row r="399" spans="1:14" ht="15" customHeight="1" x14ac:dyDescent="0.25">
      <c r="A399" s="10">
        <v>398</v>
      </c>
      <c r="B399" s="10">
        <v>49</v>
      </c>
      <c r="C399" s="10">
        <v>1</v>
      </c>
      <c r="D399" s="10" t="s">
        <v>1115</v>
      </c>
      <c r="E399" s="10" t="s">
        <v>1236</v>
      </c>
      <c r="F399" s="10" t="s">
        <v>15</v>
      </c>
      <c r="G399" s="10" t="s">
        <v>36</v>
      </c>
      <c r="H399" s="19">
        <f>SUMIF(OrderItems!$B$2:$B$1254,A399,OrderItems!$G$2:$G$1254)</f>
        <v>5665.58</v>
      </c>
      <c r="I399" s="19">
        <f>SUMIF(OrderItems!$B$2:$B$1254,A399,OrderItems!$K$2:$K$1254)</f>
        <v>3309.5199999999995</v>
      </c>
      <c r="J399" s="19">
        <f t="shared" si="18"/>
        <v>2356.0600000000004</v>
      </c>
      <c r="K399" s="10" t="str">
        <f t="shared" si="19"/>
        <v>2024-01</v>
      </c>
      <c r="L399" s="10" t="str">
        <f>IFERROR(INDEX(Customers!$G$2:$G$61,MATCH(B399,Customers!$A$2:$A$61,0)),"")</f>
        <v>Corporate</v>
      </c>
      <c r="M399" s="10" t="str">
        <f>IFERROR(INDEX(Employees!$B$2:$B$37,MATCH(C399,Employees!$A$2:$A$37,0))&amp;" "&amp;INDEX(Employees!$C$2:$C$37,MATCH(C399,Employees!$A$2:$A$37,0)),"")</f>
        <v>Daniel Brown</v>
      </c>
      <c r="N399" s="10">
        <f t="shared" si="20"/>
        <v>3</v>
      </c>
    </row>
    <row r="400" spans="1:14" ht="15" customHeight="1" x14ac:dyDescent="0.25">
      <c r="A400" s="10">
        <v>399</v>
      </c>
      <c r="B400" s="10">
        <v>56</v>
      </c>
      <c r="C400" s="10">
        <v>8</v>
      </c>
      <c r="D400" s="10" t="s">
        <v>942</v>
      </c>
      <c r="E400" s="10" t="s">
        <v>1237</v>
      </c>
      <c r="F400" s="10" t="s">
        <v>14</v>
      </c>
      <c r="G400" s="10" t="s">
        <v>38</v>
      </c>
      <c r="H400" s="19">
        <f>SUMIF(OrderItems!$B$2:$B$1254,A400,OrderItems!$G$2:$G$1254)</f>
        <v>8327.7950000000001</v>
      </c>
      <c r="I400" s="19">
        <f>SUMIF(OrderItems!$B$2:$B$1254,A400,OrderItems!$K$2:$K$1254)</f>
        <v>4372.6099999999997</v>
      </c>
      <c r="J400" s="19">
        <f t="shared" si="18"/>
        <v>3955.1850000000004</v>
      </c>
      <c r="K400" s="10" t="str">
        <f t="shared" si="19"/>
        <v>2024-06</v>
      </c>
      <c r="L400" s="10" t="str">
        <f>IFERROR(INDEX(Customers!$G$2:$G$61,MATCH(B400,Customers!$A$2:$A$61,0)),"")</f>
        <v>Consumer</v>
      </c>
      <c r="M400" s="10" t="str">
        <f>IFERROR(INDEX(Employees!$B$2:$B$37,MATCH(C400,Employees!$A$2:$A$37,0))&amp;" "&amp;INDEX(Employees!$C$2:$C$37,MATCH(C400,Employees!$A$2:$A$37,0)),"")</f>
        <v>John Gonzalez</v>
      </c>
      <c r="N400" s="10">
        <f t="shared" si="20"/>
        <v>10</v>
      </c>
    </row>
    <row r="401" spans="1:14" ht="15" customHeight="1" x14ac:dyDescent="0.25">
      <c r="A401" s="10">
        <v>400</v>
      </c>
      <c r="B401" s="10">
        <v>60</v>
      </c>
      <c r="C401" s="10">
        <v>8</v>
      </c>
      <c r="D401" s="10" t="s">
        <v>1238</v>
      </c>
      <c r="E401" s="10" t="s">
        <v>1239</v>
      </c>
      <c r="F401" s="10" t="s">
        <v>15</v>
      </c>
      <c r="G401" s="10" t="s">
        <v>38</v>
      </c>
      <c r="H401" s="19">
        <f>SUMIF(OrderItems!$B$2:$B$1254,A401,OrderItems!$G$2:$G$1254)</f>
        <v>6128.42</v>
      </c>
      <c r="I401" s="19">
        <f>SUMIF(OrderItems!$B$2:$B$1254,A401,OrderItems!$K$2:$K$1254)</f>
        <v>3065.5</v>
      </c>
      <c r="J401" s="19">
        <f t="shared" si="18"/>
        <v>3062.92</v>
      </c>
      <c r="K401" s="10" t="str">
        <f t="shared" si="19"/>
        <v>2023-07</v>
      </c>
      <c r="L401" s="10" t="str">
        <f>IFERROR(INDEX(Customers!$G$2:$G$61,MATCH(B401,Customers!$A$2:$A$61,0)),"")</f>
        <v>Consumer</v>
      </c>
      <c r="M401" s="10" t="str">
        <f>IFERROR(INDEX(Employees!$B$2:$B$37,MATCH(C401,Employees!$A$2:$A$37,0))&amp;" "&amp;INDEX(Employees!$C$2:$C$37,MATCH(C401,Employees!$A$2:$A$37,0)),"")</f>
        <v>John Gonzalez</v>
      </c>
      <c r="N401" s="10">
        <f t="shared" si="20"/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M1254"/>
  <sheetViews>
    <sheetView zoomScaleNormal="100" workbookViewId="0">
      <pane ySplit="1" topLeftCell="A1234" activePane="bottomLeft" state="frozen"/>
      <selection pane="bottomLeft" sqref="A1:L1254"/>
    </sheetView>
  </sheetViews>
  <sheetFormatPr defaultColWidth="8.7109375" defaultRowHeight="15" x14ac:dyDescent="0.25"/>
  <cols>
    <col min="1" max="1" width="15.28515625" style="10" customWidth="1"/>
    <col min="2" max="2" width="10.28515625" style="10" customWidth="1"/>
    <col min="3" max="3" width="12.28515625" style="10" customWidth="1"/>
    <col min="4" max="4" width="10.42578125" style="10" customWidth="1"/>
    <col min="5" max="5" width="12" style="10" customWidth="1"/>
    <col min="6" max="6" width="10.7109375" style="10" customWidth="1"/>
    <col min="7" max="7" width="15.7109375" style="10" customWidth="1"/>
    <col min="8" max="8" width="13.7109375" style="10" customWidth="1"/>
    <col min="9" max="9" width="17.140625" style="10" customWidth="1"/>
    <col min="10" max="10" width="11.140625" style="10" customWidth="1"/>
    <col min="11" max="11" width="11.5703125" style="10" customWidth="1"/>
    <col min="12" max="12" width="12.5703125" style="10" customWidth="1"/>
    <col min="13" max="13" width="12" style="10" customWidth="1"/>
  </cols>
  <sheetData>
    <row r="1" spans="1:12" ht="23.25" customHeight="1" x14ac:dyDescent="0.25">
      <c r="A1" s="39" t="s">
        <v>1506</v>
      </c>
      <c r="B1" s="39" t="s">
        <v>1507</v>
      </c>
      <c r="C1" s="39" t="s">
        <v>1503</v>
      </c>
      <c r="D1" s="39" t="s">
        <v>1240</v>
      </c>
      <c r="E1" s="39" t="s">
        <v>1508</v>
      </c>
      <c r="F1" s="39" t="s">
        <v>1241</v>
      </c>
      <c r="G1" s="39" t="s">
        <v>1242</v>
      </c>
      <c r="H1" s="39" t="s">
        <v>1243</v>
      </c>
      <c r="I1" s="39" t="s">
        <v>631</v>
      </c>
      <c r="J1" s="39" t="s">
        <v>1244</v>
      </c>
      <c r="K1" s="39" t="s">
        <v>1245</v>
      </c>
      <c r="L1" s="39" t="s">
        <v>1246</v>
      </c>
    </row>
    <row r="2" spans="1:12" ht="15" customHeight="1" x14ac:dyDescent="0.25">
      <c r="A2" s="10">
        <v>1</v>
      </c>
      <c r="B2" s="10">
        <v>1</v>
      </c>
      <c r="C2" s="10">
        <v>2</v>
      </c>
      <c r="D2" s="10">
        <v>8</v>
      </c>
      <c r="E2" s="19">
        <v>286.57</v>
      </c>
      <c r="F2" s="10">
        <v>0</v>
      </c>
      <c r="G2" s="19">
        <f t="shared" ref="G2:G65" si="0">D2*E2*(1-F2)</f>
        <v>2292.56</v>
      </c>
      <c r="H2" s="10">
        <f>INDEX(Products!$C$2:$C$101,MATCH(C2,Products!$A$2:$A$101,0))</f>
        <v>1</v>
      </c>
      <c r="I2" s="10" t="str">
        <f>INDEX(Categories!$B$2:$B$11,MATCH(H2,Categories!$A$2:$A$11,0))</f>
        <v>Electronics</v>
      </c>
      <c r="J2" s="19">
        <f>INDEX(Products!$E$2:$E$101,MATCH(C2,Products!$A$2:$A$101,0))</f>
        <v>135.94</v>
      </c>
      <c r="K2" s="19">
        <f t="shared" ref="K2:K65" si="1">D2*J2</f>
        <v>1087.52</v>
      </c>
      <c r="L2" s="19">
        <f t="shared" ref="L2:L65" si="2">G2-K2</f>
        <v>1205.04</v>
      </c>
    </row>
    <row r="3" spans="1:12" ht="15" customHeight="1" x14ac:dyDescent="0.25">
      <c r="A3" s="10">
        <v>2</v>
      </c>
      <c r="B3" s="10">
        <v>1</v>
      </c>
      <c r="C3" s="10">
        <v>34</v>
      </c>
      <c r="D3" s="10">
        <v>5</v>
      </c>
      <c r="E3" s="19">
        <v>339.25</v>
      </c>
      <c r="F3" s="10">
        <v>0.1</v>
      </c>
      <c r="G3" s="19">
        <f t="shared" si="0"/>
        <v>1526.625</v>
      </c>
      <c r="H3" s="10">
        <f>INDEX(Products!$C$2:$C$101,MATCH(C3,Products!$A$2:$A$101,0))</f>
        <v>4</v>
      </c>
      <c r="I3" s="10" t="str">
        <f>INDEX(Categories!$B$2:$B$11,MATCH(H3,Categories!$A$2:$A$11,0))</f>
        <v>Apparel</v>
      </c>
      <c r="J3" s="19">
        <f>INDEX(Products!$E$2:$E$101,MATCH(C3,Products!$A$2:$A$101,0))</f>
        <v>208.66</v>
      </c>
      <c r="K3" s="19">
        <f t="shared" si="1"/>
        <v>1043.3</v>
      </c>
      <c r="L3" s="19">
        <f t="shared" si="2"/>
        <v>483.32500000000005</v>
      </c>
    </row>
    <row r="4" spans="1:12" ht="15" customHeight="1" x14ac:dyDescent="0.25">
      <c r="A4" s="10">
        <v>3</v>
      </c>
      <c r="B4" s="10">
        <v>1</v>
      </c>
      <c r="C4" s="10">
        <v>69</v>
      </c>
      <c r="D4" s="10">
        <v>7</v>
      </c>
      <c r="E4" s="19">
        <v>188.38</v>
      </c>
      <c r="F4" s="10">
        <v>0.2</v>
      </c>
      <c r="G4" s="19">
        <f t="shared" si="0"/>
        <v>1054.9279999999999</v>
      </c>
      <c r="H4" s="10">
        <f>INDEX(Products!$C$2:$C$101,MATCH(C4,Products!$A$2:$A$101,0))</f>
        <v>7</v>
      </c>
      <c r="I4" s="10" t="str">
        <f>INDEX(Categories!$B$2:$B$11,MATCH(H4,Categories!$A$2:$A$11,0))</f>
        <v>Toys &amp; Games</v>
      </c>
      <c r="J4" s="19">
        <f>INDEX(Products!$E$2:$E$101,MATCH(C4,Products!$A$2:$A$101,0))</f>
        <v>86.95</v>
      </c>
      <c r="K4" s="19">
        <f t="shared" si="1"/>
        <v>608.65</v>
      </c>
      <c r="L4" s="19">
        <f t="shared" si="2"/>
        <v>446.27799999999991</v>
      </c>
    </row>
    <row r="5" spans="1:12" ht="15" customHeight="1" x14ac:dyDescent="0.25">
      <c r="A5" s="10">
        <v>4</v>
      </c>
      <c r="B5" s="10">
        <v>1</v>
      </c>
      <c r="C5" s="10">
        <v>16</v>
      </c>
      <c r="D5" s="10">
        <v>6</v>
      </c>
      <c r="E5" s="19">
        <v>345.42</v>
      </c>
      <c r="F5" s="10">
        <v>0</v>
      </c>
      <c r="G5" s="19">
        <f t="shared" si="0"/>
        <v>2072.52</v>
      </c>
      <c r="H5" s="10">
        <f>INDEX(Products!$C$2:$C$101,MATCH(C5,Products!$A$2:$A$101,0))</f>
        <v>2</v>
      </c>
      <c r="I5" s="10" t="str">
        <f>INDEX(Categories!$B$2:$B$11,MATCH(H5,Categories!$A$2:$A$11,0))</f>
        <v>Office Supplies</v>
      </c>
      <c r="J5" s="19">
        <f>INDEX(Products!$E$2:$E$101,MATCH(C5,Products!$A$2:$A$101,0))</f>
        <v>173.58</v>
      </c>
      <c r="K5" s="19">
        <f t="shared" si="1"/>
        <v>1041.48</v>
      </c>
      <c r="L5" s="19">
        <f t="shared" si="2"/>
        <v>1031.04</v>
      </c>
    </row>
    <row r="6" spans="1:12" ht="15" customHeight="1" x14ac:dyDescent="0.25">
      <c r="A6" s="10">
        <v>5</v>
      </c>
      <c r="B6" s="10">
        <v>2</v>
      </c>
      <c r="C6" s="10">
        <v>15</v>
      </c>
      <c r="D6" s="10">
        <v>5</v>
      </c>
      <c r="E6" s="19">
        <v>389.29</v>
      </c>
      <c r="F6" s="10">
        <v>0.05</v>
      </c>
      <c r="G6" s="19">
        <f t="shared" si="0"/>
        <v>1849.1275000000001</v>
      </c>
      <c r="H6" s="10">
        <f>INDEX(Products!$C$2:$C$101,MATCH(C6,Products!$A$2:$A$101,0))</f>
        <v>2</v>
      </c>
      <c r="I6" s="10" t="str">
        <f>INDEX(Categories!$B$2:$B$11,MATCH(H6,Categories!$A$2:$A$11,0))</f>
        <v>Office Supplies</v>
      </c>
      <c r="J6" s="19">
        <f>INDEX(Products!$E$2:$E$101,MATCH(C6,Products!$A$2:$A$101,0))</f>
        <v>227.28</v>
      </c>
      <c r="K6" s="19">
        <f t="shared" si="1"/>
        <v>1136.4000000000001</v>
      </c>
      <c r="L6" s="19">
        <f t="shared" si="2"/>
        <v>712.72749999999996</v>
      </c>
    </row>
    <row r="7" spans="1:12" ht="15" customHeight="1" x14ac:dyDescent="0.25">
      <c r="A7" s="10">
        <v>6</v>
      </c>
      <c r="B7" s="10">
        <v>2</v>
      </c>
      <c r="C7" s="10">
        <v>18</v>
      </c>
      <c r="D7" s="10">
        <v>2</v>
      </c>
      <c r="E7" s="19">
        <v>185.81</v>
      </c>
      <c r="F7" s="10">
        <v>0</v>
      </c>
      <c r="G7" s="19">
        <f t="shared" si="0"/>
        <v>371.62</v>
      </c>
      <c r="H7" s="10">
        <f>INDEX(Products!$C$2:$C$101,MATCH(C7,Products!$A$2:$A$101,0))</f>
        <v>2</v>
      </c>
      <c r="I7" s="10" t="str">
        <f>INDEX(Categories!$B$2:$B$11,MATCH(H7,Categories!$A$2:$A$11,0))</f>
        <v>Office Supplies</v>
      </c>
      <c r="J7" s="19">
        <f>INDEX(Products!$E$2:$E$101,MATCH(C7,Products!$A$2:$A$101,0))</f>
        <v>108.81</v>
      </c>
      <c r="K7" s="19">
        <f t="shared" si="1"/>
        <v>217.62</v>
      </c>
      <c r="L7" s="19">
        <f t="shared" si="2"/>
        <v>154</v>
      </c>
    </row>
    <row r="8" spans="1:12" ht="15" customHeight="1" x14ac:dyDescent="0.25">
      <c r="A8" s="10">
        <v>7</v>
      </c>
      <c r="B8" s="10">
        <v>2</v>
      </c>
      <c r="C8" s="10">
        <v>6</v>
      </c>
      <c r="D8" s="10">
        <v>4</v>
      </c>
      <c r="E8" s="19">
        <v>234.43</v>
      </c>
      <c r="F8" s="10">
        <v>0.1</v>
      </c>
      <c r="G8" s="19">
        <f t="shared" si="0"/>
        <v>843.94800000000009</v>
      </c>
      <c r="H8" s="10">
        <f>INDEX(Products!$C$2:$C$101,MATCH(C8,Products!$A$2:$A$101,0))</f>
        <v>1</v>
      </c>
      <c r="I8" s="10" t="str">
        <f>INDEX(Categories!$B$2:$B$11,MATCH(H8,Categories!$A$2:$A$11,0))</f>
        <v>Electronics</v>
      </c>
      <c r="J8" s="19">
        <f>INDEX(Products!$E$2:$E$101,MATCH(C8,Products!$A$2:$A$101,0))</f>
        <v>161.76</v>
      </c>
      <c r="K8" s="19">
        <f t="shared" si="1"/>
        <v>647.04</v>
      </c>
      <c r="L8" s="19">
        <f t="shared" si="2"/>
        <v>196.90800000000013</v>
      </c>
    </row>
    <row r="9" spans="1:12" ht="15" customHeight="1" x14ac:dyDescent="0.25">
      <c r="A9" s="10">
        <v>8</v>
      </c>
      <c r="B9" s="10">
        <v>2</v>
      </c>
      <c r="C9" s="10">
        <v>5</v>
      </c>
      <c r="D9" s="10">
        <v>3</v>
      </c>
      <c r="E9" s="19">
        <v>310.02</v>
      </c>
      <c r="F9" s="10">
        <v>0.05</v>
      </c>
      <c r="G9" s="19">
        <f t="shared" si="0"/>
        <v>883.5569999999999</v>
      </c>
      <c r="H9" s="10">
        <f>INDEX(Products!$C$2:$C$101,MATCH(C9,Products!$A$2:$A$101,0))</f>
        <v>1</v>
      </c>
      <c r="I9" s="10" t="str">
        <f>INDEX(Categories!$B$2:$B$11,MATCH(H9,Categories!$A$2:$A$11,0))</f>
        <v>Electronics</v>
      </c>
      <c r="J9" s="19">
        <f>INDEX(Products!$E$2:$E$101,MATCH(C9,Products!$A$2:$A$101,0))</f>
        <v>134.93</v>
      </c>
      <c r="K9" s="19">
        <f t="shared" si="1"/>
        <v>404.79</v>
      </c>
      <c r="L9" s="19">
        <f t="shared" si="2"/>
        <v>478.76699999999988</v>
      </c>
    </row>
    <row r="10" spans="1:12" ht="15" customHeight="1" x14ac:dyDescent="0.25">
      <c r="A10" s="10">
        <v>9</v>
      </c>
      <c r="B10" s="10">
        <v>3</v>
      </c>
      <c r="C10" s="10">
        <v>79</v>
      </c>
      <c r="D10" s="10">
        <v>6</v>
      </c>
      <c r="E10" s="19">
        <v>369.82</v>
      </c>
      <c r="F10" s="10">
        <v>0</v>
      </c>
      <c r="G10" s="19">
        <f t="shared" si="0"/>
        <v>2218.92</v>
      </c>
      <c r="H10" s="10">
        <f>INDEX(Products!$C$2:$C$101,MATCH(C10,Products!$A$2:$A$101,0))</f>
        <v>8</v>
      </c>
      <c r="I10" s="10" t="str">
        <f>INDEX(Categories!$B$2:$B$11,MATCH(H10,Categories!$A$2:$A$11,0))</f>
        <v>Health &amp; Beauty</v>
      </c>
      <c r="J10" s="19">
        <f>INDEX(Products!$E$2:$E$101,MATCH(C10,Products!$A$2:$A$101,0))</f>
        <v>215.26</v>
      </c>
      <c r="K10" s="19">
        <f t="shared" si="1"/>
        <v>1291.56</v>
      </c>
      <c r="L10" s="19">
        <f t="shared" si="2"/>
        <v>927.36000000000013</v>
      </c>
    </row>
    <row r="11" spans="1:12" ht="15" customHeight="1" x14ac:dyDescent="0.25">
      <c r="A11" s="10">
        <v>10</v>
      </c>
      <c r="B11" s="10">
        <v>3</v>
      </c>
      <c r="C11" s="10">
        <v>53</v>
      </c>
      <c r="D11" s="10">
        <v>8</v>
      </c>
      <c r="E11" s="19">
        <v>534</v>
      </c>
      <c r="F11" s="10">
        <v>0.05</v>
      </c>
      <c r="G11" s="19">
        <f t="shared" si="0"/>
        <v>4058.3999999999996</v>
      </c>
      <c r="H11" s="10">
        <f>INDEX(Products!$C$2:$C$101,MATCH(C11,Products!$A$2:$A$101,0))</f>
        <v>6</v>
      </c>
      <c r="I11" s="10" t="str">
        <f>INDEX(Categories!$B$2:$B$11,MATCH(H11,Categories!$A$2:$A$11,0))</f>
        <v>Sporting Goods</v>
      </c>
      <c r="J11" s="19">
        <f>INDEX(Products!$E$2:$E$101,MATCH(C11,Products!$A$2:$A$101,0))</f>
        <v>240.59</v>
      </c>
      <c r="K11" s="19">
        <f t="shared" si="1"/>
        <v>1924.72</v>
      </c>
      <c r="L11" s="19">
        <f t="shared" si="2"/>
        <v>2133.6799999999994</v>
      </c>
    </row>
    <row r="12" spans="1:12" ht="15" customHeight="1" x14ac:dyDescent="0.25">
      <c r="A12" s="10">
        <v>11</v>
      </c>
      <c r="B12" s="10">
        <v>3</v>
      </c>
      <c r="C12" s="10">
        <v>36</v>
      </c>
      <c r="D12" s="10">
        <v>4</v>
      </c>
      <c r="E12" s="19">
        <v>472.77</v>
      </c>
      <c r="F12" s="10">
        <v>0.2</v>
      </c>
      <c r="G12" s="19">
        <f t="shared" si="0"/>
        <v>1512.864</v>
      </c>
      <c r="H12" s="10">
        <f>INDEX(Products!$C$2:$C$101,MATCH(C12,Products!$A$2:$A$101,0))</f>
        <v>4</v>
      </c>
      <c r="I12" s="10" t="str">
        <f>INDEX(Categories!$B$2:$B$11,MATCH(H12,Categories!$A$2:$A$11,0))</f>
        <v>Apparel</v>
      </c>
      <c r="J12" s="19">
        <f>INDEX(Products!$E$2:$E$101,MATCH(C12,Products!$A$2:$A$101,0))</f>
        <v>236.19</v>
      </c>
      <c r="K12" s="19">
        <f t="shared" si="1"/>
        <v>944.76</v>
      </c>
      <c r="L12" s="19">
        <f t="shared" si="2"/>
        <v>568.10400000000004</v>
      </c>
    </row>
    <row r="13" spans="1:12" ht="15" customHeight="1" x14ac:dyDescent="0.25">
      <c r="A13" s="10">
        <v>12</v>
      </c>
      <c r="B13" s="10">
        <v>3</v>
      </c>
      <c r="C13" s="10">
        <v>5</v>
      </c>
      <c r="D13" s="10">
        <v>6</v>
      </c>
      <c r="E13" s="19">
        <v>310.02</v>
      </c>
      <c r="F13" s="10">
        <v>0</v>
      </c>
      <c r="G13" s="19">
        <f t="shared" si="0"/>
        <v>1860.12</v>
      </c>
      <c r="H13" s="10">
        <f>INDEX(Products!$C$2:$C$101,MATCH(C13,Products!$A$2:$A$101,0))</f>
        <v>1</v>
      </c>
      <c r="I13" s="10" t="str">
        <f>INDEX(Categories!$B$2:$B$11,MATCH(H13,Categories!$A$2:$A$11,0))</f>
        <v>Electronics</v>
      </c>
      <c r="J13" s="19">
        <f>INDEX(Products!$E$2:$E$101,MATCH(C13,Products!$A$2:$A$101,0))</f>
        <v>134.93</v>
      </c>
      <c r="K13" s="19">
        <f t="shared" si="1"/>
        <v>809.58</v>
      </c>
      <c r="L13" s="19">
        <f t="shared" si="2"/>
        <v>1050.54</v>
      </c>
    </row>
    <row r="14" spans="1:12" ht="15" customHeight="1" x14ac:dyDescent="0.25">
      <c r="A14" s="10">
        <v>13</v>
      </c>
      <c r="B14" s="10">
        <v>4</v>
      </c>
      <c r="C14" s="10">
        <v>16</v>
      </c>
      <c r="D14" s="10">
        <v>2</v>
      </c>
      <c r="E14" s="19">
        <v>345.42</v>
      </c>
      <c r="F14" s="10">
        <v>0.15</v>
      </c>
      <c r="G14" s="19">
        <f t="shared" si="0"/>
        <v>587.21400000000006</v>
      </c>
      <c r="H14" s="10">
        <f>INDEX(Products!$C$2:$C$101,MATCH(C14,Products!$A$2:$A$101,0))</f>
        <v>2</v>
      </c>
      <c r="I14" s="10" t="str">
        <f>INDEX(Categories!$B$2:$B$11,MATCH(H14,Categories!$A$2:$A$11,0))</f>
        <v>Office Supplies</v>
      </c>
      <c r="J14" s="19">
        <f>INDEX(Products!$E$2:$E$101,MATCH(C14,Products!$A$2:$A$101,0))</f>
        <v>173.58</v>
      </c>
      <c r="K14" s="19">
        <f t="shared" si="1"/>
        <v>347.16</v>
      </c>
      <c r="L14" s="19">
        <f t="shared" si="2"/>
        <v>240.05400000000003</v>
      </c>
    </row>
    <row r="15" spans="1:12" ht="15" customHeight="1" x14ac:dyDescent="0.25">
      <c r="A15" s="10">
        <v>14</v>
      </c>
      <c r="B15" s="10">
        <v>4</v>
      </c>
      <c r="C15" s="10">
        <v>59</v>
      </c>
      <c r="D15" s="10">
        <v>4</v>
      </c>
      <c r="E15" s="19">
        <v>68</v>
      </c>
      <c r="F15" s="10">
        <v>0.15</v>
      </c>
      <c r="G15" s="19">
        <f t="shared" si="0"/>
        <v>231.2</v>
      </c>
      <c r="H15" s="10">
        <f>INDEX(Products!$C$2:$C$101,MATCH(C15,Products!$A$2:$A$101,0))</f>
        <v>6</v>
      </c>
      <c r="I15" s="10" t="str">
        <f>INDEX(Categories!$B$2:$B$11,MATCH(H15,Categories!$A$2:$A$11,0))</f>
        <v>Sporting Goods</v>
      </c>
      <c r="J15" s="19">
        <f>INDEX(Products!$E$2:$E$101,MATCH(C15,Products!$A$2:$A$101,0))</f>
        <v>31.63</v>
      </c>
      <c r="K15" s="19">
        <f t="shared" si="1"/>
        <v>126.52</v>
      </c>
      <c r="L15" s="19">
        <f t="shared" si="2"/>
        <v>104.67999999999999</v>
      </c>
    </row>
    <row r="16" spans="1:12" ht="15" customHeight="1" x14ac:dyDescent="0.25">
      <c r="A16" s="10">
        <v>15</v>
      </c>
      <c r="B16" s="10">
        <v>5</v>
      </c>
      <c r="C16" s="10">
        <v>98</v>
      </c>
      <c r="D16" s="10">
        <v>9</v>
      </c>
      <c r="E16" s="19">
        <v>67.48</v>
      </c>
      <c r="F16" s="10">
        <v>0</v>
      </c>
      <c r="G16" s="19">
        <f t="shared" si="0"/>
        <v>607.32000000000005</v>
      </c>
      <c r="H16" s="10">
        <f>INDEX(Products!$C$2:$C$101,MATCH(C16,Products!$A$2:$A$101,0))</f>
        <v>10</v>
      </c>
      <c r="I16" s="10" t="str">
        <f>INDEX(Categories!$B$2:$B$11,MATCH(H16,Categories!$A$2:$A$11,0))</f>
        <v>Groceries</v>
      </c>
      <c r="J16" s="19">
        <f>INDEX(Products!$E$2:$E$101,MATCH(C16,Products!$A$2:$A$101,0))</f>
        <v>35.64</v>
      </c>
      <c r="K16" s="19">
        <f t="shared" si="1"/>
        <v>320.76</v>
      </c>
      <c r="L16" s="19">
        <f t="shared" si="2"/>
        <v>286.56000000000006</v>
      </c>
    </row>
    <row r="17" spans="1:12" ht="15" customHeight="1" x14ac:dyDescent="0.25">
      <c r="A17" s="10">
        <v>16</v>
      </c>
      <c r="B17" s="10">
        <v>6</v>
      </c>
      <c r="C17" s="10">
        <v>19</v>
      </c>
      <c r="D17" s="10">
        <v>5</v>
      </c>
      <c r="E17" s="19">
        <v>291.89</v>
      </c>
      <c r="F17" s="10">
        <v>0.2</v>
      </c>
      <c r="G17" s="19">
        <f t="shared" si="0"/>
        <v>1167.56</v>
      </c>
      <c r="H17" s="10">
        <f>INDEX(Products!$C$2:$C$101,MATCH(C17,Products!$A$2:$A$101,0))</f>
        <v>2</v>
      </c>
      <c r="I17" s="10" t="str">
        <f>INDEX(Categories!$B$2:$B$11,MATCH(H17,Categories!$A$2:$A$11,0))</f>
        <v>Office Supplies</v>
      </c>
      <c r="J17" s="19">
        <f>INDEX(Products!$E$2:$E$101,MATCH(C17,Products!$A$2:$A$101,0))</f>
        <v>206.12</v>
      </c>
      <c r="K17" s="19">
        <f t="shared" si="1"/>
        <v>1030.5999999999999</v>
      </c>
      <c r="L17" s="19">
        <f t="shared" si="2"/>
        <v>136.96000000000004</v>
      </c>
    </row>
    <row r="18" spans="1:12" ht="15" customHeight="1" x14ac:dyDescent="0.25">
      <c r="A18" s="10">
        <v>17</v>
      </c>
      <c r="B18" s="10">
        <v>6</v>
      </c>
      <c r="C18" s="10">
        <v>17</v>
      </c>
      <c r="D18" s="10">
        <v>3</v>
      </c>
      <c r="E18" s="19">
        <v>216.84</v>
      </c>
      <c r="F18" s="10">
        <v>0</v>
      </c>
      <c r="G18" s="19">
        <f t="shared" si="0"/>
        <v>650.52</v>
      </c>
      <c r="H18" s="10">
        <f>INDEX(Products!$C$2:$C$101,MATCH(C18,Products!$A$2:$A$101,0))</f>
        <v>2</v>
      </c>
      <c r="I18" s="10" t="str">
        <f>INDEX(Categories!$B$2:$B$11,MATCH(H18,Categories!$A$2:$A$11,0))</f>
        <v>Office Supplies</v>
      </c>
      <c r="J18" s="19">
        <f>INDEX(Products!$E$2:$E$101,MATCH(C18,Products!$A$2:$A$101,0))</f>
        <v>151.30000000000001</v>
      </c>
      <c r="K18" s="19">
        <f t="shared" si="1"/>
        <v>453.90000000000003</v>
      </c>
      <c r="L18" s="19">
        <f t="shared" si="2"/>
        <v>196.61999999999995</v>
      </c>
    </row>
    <row r="19" spans="1:12" ht="15" customHeight="1" x14ac:dyDescent="0.25">
      <c r="A19" s="10">
        <v>18</v>
      </c>
      <c r="B19" s="10">
        <v>6</v>
      </c>
      <c r="C19" s="10">
        <v>70</v>
      </c>
      <c r="D19" s="10">
        <v>1</v>
      </c>
      <c r="E19" s="19">
        <v>149.31</v>
      </c>
      <c r="F19" s="10">
        <v>0</v>
      </c>
      <c r="G19" s="19">
        <f t="shared" si="0"/>
        <v>149.31</v>
      </c>
      <c r="H19" s="10">
        <f>INDEX(Products!$C$2:$C$101,MATCH(C19,Products!$A$2:$A$101,0))</f>
        <v>7</v>
      </c>
      <c r="I19" s="10" t="str">
        <f>INDEX(Categories!$B$2:$B$11,MATCH(H19,Categories!$A$2:$A$11,0))</f>
        <v>Toys &amp; Games</v>
      </c>
      <c r="J19" s="19">
        <f>INDEX(Products!$E$2:$E$101,MATCH(C19,Products!$A$2:$A$101,0))</f>
        <v>76.739999999999995</v>
      </c>
      <c r="K19" s="19">
        <f t="shared" si="1"/>
        <v>76.739999999999995</v>
      </c>
      <c r="L19" s="19">
        <f t="shared" si="2"/>
        <v>72.570000000000007</v>
      </c>
    </row>
    <row r="20" spans="1:12" ht="15" customHeight="1" x14ac:dyDescent="0.25">
      <c r="A20" s="10">
        <v>19</v>
      </c>
      <c r="B20" s="10">
        <v>7</v>
      </c>
      <c r="C20" s="10">
        <v>17</v>
      </c>
      <c r="D20" s="10">
        <v>7</v>
      </c>
      <c r="E20" s="19">
        <v>216.84</v>
      </c>
      <c r="F20" s="10">
        <v>0.1</v>
      </c>
      <c r="G20" s="19">
        <f t="shared" si="0"/>
        <v>1366.0920000000001</v>
      </c>
      <c r="H20" s="10">
        <f>INDEX(Products!$C$2:$C$101,MATCH(C20,Products!$A$2:$A$101,0))</f>
        <v>2</v>
      </c>
      <c r="I20" s="10" t="str">
        <f>INDEX(Categories!$B$2:$B$11,MATCH(H20,Categories!$A$2:$A$11,0))</f>
        <v>Office Supplies</v>
      </c>
      <c r="J20" s="19">
        <f>INDEX(Products!$E$2:$E$101,MATCH(C20,Products!$A$2:$A$101,0))</f>
        <v>151.30000000000001</v>
      </c>
      <c r="K20" s="19">
        <f t="shared" si="1"/>
        <v>1059.1000000000001</v>
      </c>
      <c r="L20" s="19">
        <f t="shared" si="2"/>
        <v>306.99199999999996</v>
      </c>
    </row>
    <row r="21" spans="1:12" ht="15" customHeight="1" x14ac:dyDescent="0.25">
      <c r="A21" s="10">
        <v>20</v>
      </c>
      <c r="B21" s="10">
        <v>8</v>
      </c>
      <c r="C21" s="10">
        <v>79</v>
      </c>
      <c r="D21" s="10">
        <v>9</v>
      </c>
      <c r="E21" s="19">
        <v>369.82</v>
      </c>
      <c r="F21" s="10">
        <v>0</v>
      </c>
      <c r="G21" s="19">
        <f t="shared" si="0"/>
        <v>3328.38</v>
      </c>
      <c r="H21" s="10">
        <f>INDEX(Products!$C$2:$C$101,MATCH(C21,Products!$A$2:$A$101,0))</f>
        <v>8</v>
      </c>
      <c r="I21" s="10" t="str">
        <f>INDEX(Categories!$B$2:$B$11,MATCH(H21,Categories!$A$2:$A$11,0))</f>
        <v>Health &amp; Beauty</v>
      </c>
      <c r="J21" s="19">
        <f>INDEX(Products!$E$2:$E$101,MATCH(C21,Products!$A$2:$A$101,0))</f>
        <v>215.26</v>
      </c>
      <c r="K21" s="19">
        <f t="shared" si="1"/>
        <v>1937.34</v>
      </c>
      <c r="L21" s="19">
        <f t="shared" si="2"/>
        <v>1391.0400000000002</v>
      </c>
    </row>
    <row r="22" spans="1:12" ht="15" customHeight="1" x14ac:dyDescent="0.25">
      <c r="A22" s="10">
        <v>21</v>
      </c>
      <c r="B22" s="10">
        <v>8</v>
      </c>
      <c r="C22" s="10">
        <v>6</v>
      </c>
      <c r="D22" s="10">
        <v>8</v>
      </c>
      <c r="E22" s="19">
        <v>234.43</v>
      </c>
      <c r="F22" s="10">
        <v>0.15</v>
      </c>
      <c r="G22" s="19">
        <f t="shared" si="0"/>
        <v>1594.124</v>
      </c>
      <c r="H22" s="10">
        <f>INDEX(Products!$C$2:$C$101,MATCH(C22,Products!$A$2:$A$101,0))</f>
        <v>1</v>
      </c>
      <c r="I22" s="10" t="str">
        <f>INDEX(Categories!$B$2:$B$11,MATCH(H22,Categories!$A$2:$A$11,0))</f>
        <v>Electronics</v>
      </c>
      <c r="J22" s="19">
        <f>INDEX(Products!$E$2:$E$101,MATCH(C22,Products!$A$2:$A$101,0))</f>
        <v>161.76</v>
      </c>
      <c r="K22" s="19">
        <f t="shared" si="1"/>
        <v>1294.08</v>
      </c>
      <c r="L22" s="19">
        <f t="shared" si="2"/>
        <v>300.0440000000001</v>
      </c>
    </row>
    <row r="23" spans="1:12" ht="15" customHeight="1" x14ac:dyDescent="0.25">
      <c r="A23" s="10">
        <v>22</v>
      </c>
      <c r="B23" s="10">
        <v>9</v>
      </c>
      <c r="C23" s="10">
        <v>11</v>
      </c>
      <c r="D23" s="10">
        <v>6</v>
      </c>
      <c r="E23" s="19">
        <v>417.1</v>
      </c>
      <c r="F23" s="10">
        <v>0.1</v>
      </c>
      <c r="G23" s="19">
        <f t="shared" si="0"/>
        <v>2252.3400000000006</v>
      </c>
      <c r="H23" s="10">
        <f>INDEX(Products!$C$2:$C$101,MATCH(C23,Products!$A$2:$A$101,0))</f>
        <v>2</v>
      </c>
      <c r="I23" s="10" t="str">
        <f>INDEX(Categories!$B$2:$B$11,MATCH(H23,Categories!$A$2:$A$11,0))</f>
        <v>Office Supplies</v>
      </c>
      <c r="J23" s="19">
        <f>INDEX(Products!$E$2:$E$101,MATCH(C23,Products!$A$2:$A$101,0))</f>
        <v>210.29</v>
      </c>
      <c r="K23" s="19">
        <f t="shared" si="1"/>
        <v>1261.74</v>
      </c>
      <c r="L23" s="19">
        <f t="shared" si="2"/>
        <v>990.60000000000059</v>
      </c>
    </row>
    <row r="24" spans="1:12" ht="15" customHeight="1" x14ac:dyDescent="0.25">
      <c r="A24" s="10">
        <v>23</v>
      </c>
      <c r="B24" s="10">
        <v>10</v>
      </c>
      <c r="C24" s="10">
        <v>38</v>
      </c>
      <c r="D24" s="10">
        <v>2</v>
      </c>
      <c r="E24" s="19">
        <v>146.91999999999999</v>
      </c>
      <c r="F24" s="10">
        <v>0.2</v>
      </c>
      <c r="G24" s="19">
        <f t="shared" si="0"/>
        <v>235.072</v>
      </c>
      <c r="H24" s="10">
        <f>INDEX(Products!$C$2:$C$101,MATCH(C24,Products!$A$2:$A$101,0))</f>
        <v>4</v>
      </c>
      <c r="I24" s="10" t="str">
        <f>INDEX(Categories!$B$2:$B$11,MATCH(H24,Categories!$A$2:$A$11,0))</f>
        <v>Apparel</v>
      </c>
      <c r="J24" s="19">
        <f>INDEX(Products!$E$2:$E$101,MATCH(C24,Products!$A$2:$A$101,0))</f>
        <v>65.36</v>
      </c>
      <c r="K24" s="19">
        <f t="shared" si="1"/>
        <v>130.72</v>
      </c>
      <c r="L24" s="19">
        <f t="shared" si="2"/>
        <v>104.352</v>
      </c>
    </row>
    <row r="25" spans="1:12" ht="15" customHeight="1" x14ac:dyDescent="0.25">
      <c r="A25" s="10">
        <v>24</v>
      </c>
      <c r="B25" s="10">
        <v>10</v>
      </c>
      <c r="C25" s="10">
        <v>59</v>
      </c>
      <c r="D25" s="10">
        <v>2</v>
      </c>
      <c r="E25" s="19">
        <v>68</v>
      </c>
      <c r="F25" s="10">
        <v>0.2</v>
      </c>
      <c r="G25" s="19">
        <f t="shared" si="0"/>
        <v>108.80000000000001</v>
      </c>
      <c r="H25" s="10">
        <f>INDEX(Products!$C$2:$C$101,MATCH(C25,Products!$A$2:$A$101,0))</f>
        <v>6</v>
      </c>
      <c r="I25" s="10" t="str">
        <f>INDEX(Categories!$B$2:$B$11,MATCH(H25,Categories!$A$2:$A$11,0))</f>
        <v>Sporting Goods</v>
      </c>
      <c r="J25" s="19">
        <f>INDEX(Products!$E$2:$E$101,MATCH(C25,Products!$A$2:$A$101,0))</f>
        <v>31.63</v>
      </c>
      <c r="K25" s="19">
        <f t="shared" si="1"/>
        <v>63.26</v>
      </c>
      <c r="L25" s="19">
        <f t="shared" si="2"/>
        <v>45.540000000000013</v>
      </c>
    </row>
    <row r="26" spans="1:12" ht="15" customHeight="1" x14ac:dyDescent="0.25">
      <c r="A26" s="10">
        <v>25</v>
      </c>
      <c r="B26" s="10">
        <v>10</v>
      </c>
      <c r="C26" s="10">
        <v>65</v>
      </c>
      <c r="D26" s="10">
        <v>9</v>
      </c>
      <c r="E26" s="19">
        <v>167.19</v>
      </c>
      <c r="F26" s="10">
        <v>0.15</v>
      </c>
      <c r="G26" s="19">
        <f t="shared" si="0"/>
        <v>1279.0035</v>
      </c>
      <c r="H26" s="10">
        <f>INDEX(Products!$C$2:$C$101,MATCH(C26,Products!$A$2:$A$101,0))</f>
        <v>7</v>
      </c>
      <c r="I26" s="10" t="str">
        <f>INDEX(Categories!$B$2:$B$11,MATCH(H26,Categories!$A$2:$A$11,0))</f>
        <v>Toys &amp; Games</v>
      </c>
      <c r="J26" s="19">
        <f>INDEX(Products!$E$2:$E$101,MATCH(C26,Products!$A$2:$A$101,0))</f>
        <v>116.98</v>
      </c>
      <c r="K26" s="19">
        <f t="shared" si="1"/>
        <v>1052.82</v>
      </c>
      <c r="L26" s="19">
        <f t="shared" si="2"/>
        <v>226.18350000000009</v>
      </c>
    </row>
    <row r="27" spans="1:12" ht="15" customHeight="1" x14ac:dyDescent="0.25">
      <c r="A27" s="10">
        <v>26</v>
      </c>
      <c r="B27" s="10">
        <v>10</v>
      </c>
      <c r="C27" s="10">
        <v>78</v>
      </c>
      <c r="D27" s="10">
        <v>4</v>
      </c>
      <c r="E27" s="19">
        <v>178.61</v>
      </c>
      <c r="F27" s="10">
        <v>0.05</v>
      </c>
      <c r="G27" s="19">
        <f t="shared" si="0"/>
        <v>678.71800000000007</v>
      </c>
      <c r="H27" s="10">
        <f>INDEX(Products!$C$2:$C$101,MATCH(C27,Products!$A$2:$A$101,0))</f>
        <v>8</v>
      </c>
      <c r="I27" s="10" t="str">
        <f>INDEX(Categories!$B$2:$B$11,MATCH(H27,Categories!$A$2:$A$11,0))</f>
        <v>Health &amp; Beauty</v>
      </c>
      <c r="J27" s="19">
        <f>INDEX(Products!$E$2:$E$101,MATCH(C27,Products!$A$2:$A$101,0))</f>
        <v>86.62</v>
      </c>
      <c r="K27" s="19">
        <f t="shared" si="1"/>
        <v>346.48</v>
      </c>
      <c r="L27" s="19">
        <f t="shared" si="2"/>
        <v>332.23800000000006</v>
      </c>
    </row>
    <row r="28" spans="1:12" ht="15" customHeight="1" x14ac:dyDescent="0.25">
      <c r="A28" s="10">
        <v>27</v>
      </c>
      <c r="B28" s="10">
        <v>10</v>
      </c>
      <c r="C28" s="10">
        <v>56</v>
      </c>
      <c r="D28" s="10">
        <v>8</v>
      </c>
      <c r="E28" s="19">
        <v>440.37</v>
      </c>
      <c r="F28" s="10">
        <v>0</v>
      </c>
      <c r="G28" s="19">
        <f t="shared" si="0"/>
        <v>3522.96</v>
      </c>
      <c r="H28" s="10">
        <f>INDEX(Products!$C$2:$C$101,MATCH(C28,Products!$A$2:$A$101,0))</f>
        <v>6</v>
      </c>
      <c r="I28" s="10" t="str">
        <f>INDEX(Categories!$B$2:$B$11,MATCH(H28,Categories!$A$2:$A$11,0))</f>
        <v>Sporting Goods</v>
      </c>
      <c r="J28" s="19">
        <f>INDEX(Products!$E$2:$E$101,MATCH(C28,Products!$A$2:$A$101,0))</f>
        <v>242.36</v>
      </c>
      <c r="K28" s="19">
        <f t="shared" si="1"/>
        <v>1938.88</v>
      </c>
      <c r="L28" s="19">
        <f t="shared" si="2"/>
        <v>1584.08</v>
      </c>
    </row>
    <row r="29" spans="1:12" ht="15" customHeight="1" x14ac:dyDescent="0.25">
      <c r="A29" s="10">
        <v>28</v>
      </c>
      <c r="B29" s="10">
        <v>11</v>
      </c>
      <c r="C29" s="10">
        <v>41</v>
      </c>
      <c r="D29" s="10">
        <v>7</v>
      </c>
      <c r="E29" s="19">
        <v>331.46</v>
      </c>
      <c r="F29" s="10">
        <v>0</v>
      </c>
      <c r="G29" s="19">
        <f t="shared" si="0"/>
        <v>2320.2199999999998</v>
      </c>
      <c r="H29" s="10">
        <f>INDEX(Products!$C$2:$C$101,MATCH(C29,Products!$A$2:$A$101,0))</f>
        <v>5</v>
      </c>
      <c r="I29" s="10" t="str">
        <f>INDEX(Categories!$B$2:$B$11,MATCH(H29,Categories!$A$2:$A$11,0))</f>
        <v>Home &amp; Kitchen</v>
      </c>
      <c r="J29" s="19">
        <f>INDEX(Products!$E$2:$E$101,MATCH(C29,Products!$A$2:$A$101,0))</f>
        <v>152.76</v>
      </c>
      <c r="K29" s="19">
        <f t="shared" si="1"/>
        <v>1069.32</v>
      </c>
      <c r="L29" s="19">
        <f t="shared" si="2"/>
        <v>1250.8999999999999</v>
      </c>
    </row>
    <row r="30" spans="1:12" ht="15" customHeight="1" x14ac:dyDescent="0.25">
      <c r="A30" s="10">
        <v>29</v>
      </c>
      <c r="B30" s="10">
        <v>12</v>
      </c>
      <c r="C30" s="10">
        <v>11</v>
      </c>
      <c r="D30" s="10">
        <v>2</v>
      </c>
      <c r="E30" s="19">
        <v>417.1</v>
      </c>
      <c r="F30" s="10">
        <v>0.05</v>
      </c>
      <c r="G30" s="19">
        <f t="shared" si="0"/>
        <v>792.49</v>
      </c>
      <c r="H30" s="10">
        <f>INDEX(Products!$C$2:$C$101,MATCH(C30,Products!$A$2:$A$101,0))</f>
        <v>2</v>
      </c>
      <c r="I30" s="10" t="str">
        <f>INDEX(Categories!$B$2:$B$11,MATCH(H30,Categories!$A$2:$A$11,0))</f>
        <v>Office Supplies</v>
      </c>
      <c r="J30" s="19">
        <f>INDEX(Products!$E$2:$E$101,MATCH(C30,Products!$A$2:$A$101,0))</f>
        <v>210.29</v>
      </c>
      <c r="K30" s="19">
        <f t="shared" si="1"/>
        <v>420.58</v>
      </c>
      <c r="L30" s="19">
        <f t="shared" si="2"/>
        <v>371.91</v>
      </c>
    </row>
    <row r="31" spans="1:12" ht="15" customHeight="1" x14ac:dyDescent="0.25">
      <c r="A31" s="10">
        <v>30</v>
      </c>
      <c r="B31" s="10">
        <v>13</v>
      </c>
      <c r="C31" s="10">
        <v>46</v>
      </c>
      <c r="D31" s="10">
        <v>1</v>
      </c>
      <c r="E31" s="19">
        <v>125.01</v>
      </c>
      <c r="F31" s="10">
        <v>0</v>
      </c>
      <c r="G31" s="19">
        <f t="shared" si="0"/>
        <v>125.01</v>
      </c>
      <c r="H31" s="10">
        <f>INDEX(Products!$C$2:$C$101,MATCH(C31,Products!$A$2:$A$101,0))</f>
        <v>5</v>
      </c>
      <c r="I31" s="10" t="str">
        <f>INDEX(Categories!$B$2:$B$11,MATCH(H31,Categories!$A$2:$A$11,0))</f>
        <v>Home &amp; Kitchen</v>
      </c>
      <c r="J31" s="19">
        <f>INDEX(Products!$E$2:$E$101,MATCH(C31,Products!$A$2:$A$101,0))</f>
        <v>60.17</v>
      </c>
      <c r="K31" s="19">
        <f t="shared" si="1"/>
        <v>60.17</v>
      </c>
      <c r="L31" s="19">
        <f t="shared" si="2"/>
        <v>64.84</v>
      </c>
    </row>
    <row r="32" spans="1:12" ht="15" customHeight="1" x14ac:dyDescent="0.25">
      <c r="A32" s="10">
        <v>31</v>
      </c>
      <c r="B32" s="10">
        <v>13</v>
      </c>
      <c r="C32" s="10">
        <v>86</v>
      </c>
      <c r="D32" s="10">
        <v>10</v>
      </c>
      <c r="E32" s="19">
        <v>69.31</v>
      </c>
      <c r="F32" s="10">
        <v>0</v>
      </c>
      <c r="G32" s="19">
        <f t="shared" si="0"/>
        <v>693.1</v>
      </c>
      <c r="H32" s="10">
        <f>INDEX(Products!$C$2:$C$101,MATCH(C32,Products!$A$2:$A$101,0))</f>
        <v>9</v>
      </c>
      <c r="I32" s="10" t="str">
        <f>INDEX(Categories!$B$2:$B$11,MATCH(H32,Categories!$A$2:$A$11,0))</f>
        <v>Automotive Parts</v>
      </c>
      <c r="J32" s="19">
        <f>INDEX(Products!$E$2:$E$101,MATCH(C32,Products!$A$2:$A$101,0))</f>
        <v>38.35</v>
      </c>
      <c r="K32" s="19">
        <f t="shared" si="1"/>
        <v>383.5</v>
      </c>
      <c r="L32" s="19">
        <f t="shared" si="2"/>
        <v>309.60000000000002</v>
      </c>
    </row>
    <row r="33" spans="1:12" ht="15" customHeight="1" x14ac:dyDescent="0.25">
      <c r="A33" s="10">
        <v>32</v>
      </c>
      <c r="B33" s="10">
        <v>13</v>
      </c>
      <c r="C33" s="10">
        <v>97</v>
      </c>
      <c r="D33" s="10">
        <v>6</v>
      </c>
      <c r="E33" s="19">
        <v>81.58</v>
      </c>
      <c r="F33" s="10">
        <v>0</v>
      </c>
      <c r="G33" s="19">
        <f t="shared" si="0"/>
        <v>489.48</v>
      </c>
      <c r="H33" s="10">
        <f>INDEX(Products!$C$2:$C$101,MATCH(C33,Products!$A$2:$A$101,0))</f>
        <v>10</v>
      </c>
      <c r="I33" s="10" t="str">
        <f>INDEX(Categories!$B$2:$B$11,MATCH(H33,Categories!$A$2:$A$11,0))</f>
        <v>Groceries</v>
      </c>
      <c r="J33" s="19">
        <f>INDEX(Products!$E$2:$E$101,MATCH(C33,Products!$A$2:$A$101,0))</f>
        <v>35.46</v>
      </c>
      <c r="K33" s="19">
        <f t="shared" si="1"/>
        <v>212.76</v>
      </c>
      <c r="L33" s="19">
        <f t="shared" si="2"/>
        <v>276.72000000000003</v>
      </c>
    </row>
    <row r="34" spans="1:12" ht="15" customHeight="1" x14ac:dyDescent="0.25">
      <c r="A34" s="10">
        <v>33</v>
      </c>
      <c r="B34" s="10">
        <v>13</v>
      </c>
      <c r="C34" s="10">
        <v>55</v>
      </c>
      <c r="D34" s="10">
        <v>10</v>
      </c>
      <c r="E34" s="19">
        <v>378.27</v>
      </c>
      <c r="F34" s="10">
        <v>0.1</v>
      </c>
      <c r="G34" s="19">
        <f t="shared" si="0"/>
        <v>3404.43</v>
      </c>
      <c r="H34" s="10">
        <f>INDEX(Products!$C$2:$C$101,MATCH(C34,Products!$A$2:$A$101,0))</f>
        <v>6</v>
      </c>
      <c r="I34" s="10" t="str">
        <f>INDEX(Categories!$B$2:$B$11,MATCH(H34,Categories!$A$2:$A$11,0))</f>
        <v>Sporting Goods</v>
      </c>
      <c r="J34" s="19">
        <f>INDEX(Products!$E$2:$E$101,MATCH(C34,Products!$A$2:$A$101,0))</f>
        <v>163.92</v>
      </c>
      <c r="K34" s="19">
        <f t="shared" si="1"/>
        <v>1639.1999999999998</v>
      </c>
      <c r="L34" s="19">
        <f t="shared" si="2"/>
        <v>1765.23</v>
      </c>
    </row>
    <row r="35" spans="1:12" ht="15" customHeight="1" x14ac:dyDescent="0.25">
      <c r="A35" s="10">
        <v>34</v>
      </c>
      <c r="B35" s="10">
        <v>14</v>
      </c>
      <c r="C35" s="10">
        <v>74</v>
      </c>
      <c r="D35" s="10">
        <v>9</v>
      </c>
      <c r="E35" s="19">
        <v>199.68</v>
      </c>
      <c r="F35" s="10">
        <v>0.2</v>
      </c>
      <c r="G35" s="19">
        <f t="shared" si="0"/>
        <v>1437.6960000000001</v>
      </c>
      <c r="H35" s="10">
        <f>INDEX(Products!$C$2:$C$101,MATCH(C35,Products!$A$2:$A$101,0))</f>
        <v>8</v>
      </c>
      <c r="I35" s="10" t="str">
        <f>INDEX(Categories!$B$2:$B$11,MATCH(H35,Categories!$A$2:$A$11,0))</f>
        <v>Health &amp; Beauty</v>
      </c>
      <c r="J35" s="19">
        <f>INDEX(Products!$E$2:$E$101,MATCH(C35,Products!$A$2:$A$101,0))</f>
        <v>98.36</v>
      </c>
      <c r="K35" s="19">
        <f t="shared" si="1"/>
        <v>885.24</v>
      </c>
      <c r="L35" s="19">
        <f t="shared" si="2"/>
        <v>552.45600000000013</v>
      </c>
    </row>
    <row r="36" spans="1:12" ht="15" customHeight="1" x14ac:dyDescent="0.25">
      <c r="A36" s="10">
        <v>35</v>
      </c>
      <c r="B36" s="10">
        <v>14</v>
      </c>
      <c r="C36" s="10">
        <v>29</v>
      </c>
      <c r="D36" s="10">
        <v>10</v>
      </c>
      <c r="E36" s="19">
        <v>152.52000000000001</v>
      </c>
      <c r="F36" s="10">
        <v>0.1</v>
      </c>
      <c r="G36" s="19">
        <f t="shared" si="0"/>
        <v>1372.68</v>
      </c>
      <c r="H36" s="10">
        <f>INDEX(Products!$C$2:$C$101,MATCH(C36,Products!$A$2:$A$101,0))</f>
        <v>3</v>
      </c>
      <c r="I36" s="10" t="str">
        <f>INDEX(Categories!$B$2:$B$11,MATCH(H36,Categories!$A$2:$A$11,0))</f>
        <v>Furniture</v>
      </c>
      <c r="J36" s="19">
        <f>INDEX(Products!$E$2:$E$101,MATCH(C36,Products!$A$2:$A$101,0))</f>
        <v>78.63</v>
      </c>
      <c r="K36" s="19">
        <f t="shared" si="1"/>
        <v>786.3</v>
      </c>
      <c r="L36" s="19">
        <f t="shared" si="2"/>
        <v>586.38000000000011</v>
      </c>
    </row>
    <row r="37" spans="1:12" ht="15" customHeight="1" x14ac:dyDescent="0.25">
      <c r="A37" s="10">
        <v>36</v>
      </c>
      <c r="B37" s="10">
        <v>14</v>
      </c>
      <c r="C37" s="10">
        <v>55</v>
      </c>
      <c r="D37" s="10">
        <v>9</v>
      </c>
      <c r="E37" s="19">
        <v>378.27</v>
      </c>
      <c r="F37" s="10">
        <v>0</v>
      </c>
      <c r="G37" s="19">
        <f t="shared" si="0"/>
        <v>3404.43</v>
      </c>
      <c r="H37" s="10">
        <f>INDEX(Products!$C$2:$C$101,MATCH(C37,Products!$A$2:$A$101,0))</f>
        <v>6</v>
      </c>
      <c r="I37" s="10" t="str">
        <f>INDEX(Categories!$B$2:$B$11,MATCH(H37,Categories!$A$2:$A$11,0))</f>
        <v>Sporting Goods</v>
      </c>
      <c r="J37" s="19">
        <f>INDEX(Products!$E$2:$E$101,MATCH(C37,Products!$A$2:$A$101,0))</f>
        <v>163.92</v>
      </c>
      <c r="K37" s="19">
        <f t="shared" si="1"/>
        <v>1475.28</v>
      </c>
      <c r="L37" s="19">
        <f t="shared" si="2"/>
        <v>1929.1499999999999</v>
      </c>
    </row>
    <row r="38" spans="1:12" ht="15" customHeight="1" x14ac:dyDescent="0.25">
      <c r="A38" s="10">
        <v>37</v>
      </c>
      <c r="B38" s="10">
        <v>15</v>
      </c>
      <c r="C38" s="10">
        <v>19</v>
      </c>
      <c r="D38" s="10">
        <v>7</v>
      </c>
      <c r="E38" s="19">
        <v>291.89</v>
      </c>
      <c r="F38" s="10">
        <v>0</v>
      </c>
      <c r="G38" s="19">
        <f t="shared" si="0"/>
        <v>2043.23</v>
      </c>
      <c r="H38" s="10">
        <f>INDEX(Products!$C$2:$C$101,MATCH(C38,Products!$A$2:$A$101,0))</f>
        <v>2</v>
      </c>
      <c r="I38" s="10" t="str">
        <f>INDEX(Categories!$B$2:$B$11,MATCH(H38,Categories!$A$2:$A$11,0))</f>
        <v>Office Supplies</v>
      </c>
      <c r="J38" s="19">
        <f>INDEX(Products!$E$2:$E$101,MATCH(C38,Products!$A$2:$A$101,0))</f>
        <v>206.12</v>
      </c>
      <c r="K38" s="19">
        <f t="shared" si="1"/>
        <v>1442.8400000000001</v>
      </c>
      <c r="L38" s="19">
        <f t="shared" si="2"/>
        <v>600.38999999999987</v>
      </c>
    </row>
    <row r="39" spans="1:12" ht="15" customHeight="1" x14ac:dyDescent="0.25">
      <c r="A39" s="10">
        <v>38</v>
      </c>
      <c r="B39" s="10">
        <v>15</v>
      </c>
      <c r="C39" s="10">
        <v>73</v>
      </c>
      <c r="D39" s="10">
        <v>3</v>
      </c>
      <c r="E39" s="19">
        <v>375.67</v>
      </c>
      <c r="F39" s="10">
        <v>0.15</v>
      </c>
      <c r="G39" s="19">
        <f t="shared" si="0"/>
        <v>957.95849999999996</v>
      </c>
      <c r="H39" s="10">
        <f>INDEX(Products!$C$2:$C$101,MATCH(C39,Products!$A$2:$A$101,0))</f>
        <v>8</v>
      </c>
      <c r="I39" s="10" t="str">
        <f>INDEX(Categories!$B$2:$B$11,MATCH(H39,Categories!$A$2:$A$11,0))</f>
        <v>Health &amp; Beauty</v>
      </c>
      <c r="J39" s="19">
        <f>INDEX(Products!$E$2:$E$101,MATCH(C39,Products!$A$2:$A$101,0))</f>
        <v>214.44</v>
      </c>
      <c r="K39" s="19">
        <f t="shared" si="1"/>
        <v>643.31999999999994</v>
      </c>
      <c r="L39" s="19">
        <f t="shared" si="2"/>
        <v>314.63850000000002</v>
      </c>
    </row>
    <row r="40" spans="1:12" ht="15" customHeight="1" x14ac:dyDescent="0.25">
      <c r="A40" s="10">
        <v>39</v>
      </c>
      <c r="B40" s="10">
        <v>16</v>
      </c>
      <c r="C40" s="10">
        <v>40</v>
      </c>
      <c r="D40" s="10">
        <v>10</v>
      </c>
      <c r="E40" s="19">
        <v>330.91</v>
      </c>
      <c r="F40" s="10">
        <v>0.1</v>
      </c>
      <c r="G40" s="19">
        <f t="shared" si="0"/>
        <v>2978.1900000000005</v>
      </c>
      <c r="H40" s="10">
        <f>INDEX(Products!$C$2:$C$101,MATCH(C40,Products!$A$2:$A$101,0))</f>
        <v>4</v>
      </c>
      <c r="I40" s="10" t="str">
        <f>INDEX(Categories!$B$2:$B$11,MATCH(H40,Categories!$A$2:$A$11,0))</f>
        <v>Apparel</v>
      </c>
      <c r="J40" s="19">
        <f>INDEX(Products!$E$2:$E$101,MATCH(C40,Products!$A$2:$A$101,0))</f>
        <v>237.43</v>
      </c>
      <c r="K40" s="19">
        <f t="shared" si="1"/>
        <v>2374.3000000000002</v>
      </c>
      <c r="L40" s="19">
        <f t="shared" si="2"/>
        <v>603.89000000000033</v>
      </c>
    </row>
    <row r="41" spans="1:12" ht="15" customHeight="1" x14ac:dyDescent="0.25">
      <c r="A41" s="10">
        <v>40</v>
      </c>
      <c r="B41" s="10">
        <v>16</v>
      </c>
      <c r="C41" s="10">
        <v>93</v>
      </c>
      <c r="D41" s="10">
        <v>2</v>
      </c>
      <c r="E41" s="19">
        <v>288.39999999999998</v>
      </c>
      <c r="F41" s="10">
        <v>0</v>
      </c>
      <c r="G41" s="19">
        <f t="shared" si="0"/>
        <v>576.79999999999995</v>
      </c>
      <c r="H41" s="10">
        <f>INDEX(Products!$C$2:$C$101,MATCH(C41,Products!$A$2:$A$101,0))</f>
        <v>10</v>
      </c>
      <c r="I41" s="10" t="str">
        <f>INDEX(Categories!$B$2:$B$11,MATCH(H41,Categories!$A$2:$A$11,0))</f>
        <v>Groceries</v>
      </c>
      <c r="J41" s="19">
        <f>INDEX(Products!$E$2:$E$101,MATCH(C41,Products!$A$2:$A$101,0))</f>
        <v>125.69</v>
      </c>
      <c r="K41" s="19">
        <f t="shared" si="1"/>
        <v>251.38</v>
      </c>
      <c r="L41" s="19">
        <f t="shared" si="2"/>
        <v>325.41999999999996</v>
      </c>
    </row>
    <row r="42" spans="1:12" ht="15" customHeight="1" x14ac:dyDescent="0.25">
      <c r="A42" s="10">
        <v>41</v>
      </c>
      <c r="B42" s="10">
        <v>16</v>
      </c>
      <c r="C42" s="10">
        <v>42</v>
      </c>
      <c r="D42" s="10">
        <v>3</v>
      </c>
      <c r="E42" s="19">
        <v>370</v>
      </c>
      <c r="F42" s="10">
        <v>0</v>
      </c>
      <c r="G42" s="19">
        <f t="shared" si="0"/>
        <v>1110</v>
      </c>
      <c r="H42" s="10">
        <f>INDEX(Products!$C$2:$C$101,MATCH(C42,Products!$A$2:$A$101,0))</f>
        <v>5</v>
      </c>
      <c r="I42" s="10" t="str">
        <f>INDEX(Categories!$B$2:$B$11,MATCH(H42,Categories!$A$2:$A$11,0))</f>
        <v>Home &amp; Kitchen</v>
      </c>
      <c r="J42" s="19">
        <f>INDEX(Products!$E$2:$E$101,MATCH(C42,Products!$A$2:$A$101,0))</f>
        <v>227.4</v>
      </c>
      <c r="K42" s="19">
        <f t="shared" si="1"/>
        <v>682.2</v>
      </c>
      <c r="L42" s="19">
        <f t="shared" si="2"/>
        <v>427.79999999999995</v>
      </c>
    </row>
    <row r="43" spans="1:12" ht="15" customHeight="1" x14ac:dyDescent="0.25">
      <c r="A43" s="10">
        <v>42</v>
      </c>
      <c r="B43" s="10">
        <v>17</v>
      </c>
      <c r="C43" s="10">
        <v>35</v>
      </c>
      <c r="D43" s="10">
        <v>2</v>
      </c>
      <c r="E43" s="19">
        <v>216.12</v>
      </c>
      <c r="F43" s="10">
        <v>0</v>
      </c>
      <c r="G43" s="19">
        <f t="shared" si="0"/>
        <v>432.24</v>
      </c>
      <c r="H43" s="10">
        <f>INDEX(Products!$C$2:$C$101,MATCH(C43,Products!$A$2:$A$101,0))</f>
        <v>4</v>
      </c>
      <c r="I43" s="10" t="str">
        <f>INDEX(Categories!$B$2:$B$11,MATCH(H43,Categories!$A$2:$A$11,0))</f>
        <v>Apparel</v>
      </c>
      <c r="J43" s="19">
        <f>INDEX(Products!$E$2:$E$101,MATCH(C43,Products!$A$2:$A$101,0))</f>
        <v>134.93</v>
      </c>
      <c r="K43" s="19">
        <f t="shared" si="1"/>
        <v>269.86</v>
      </c>
      <c r="L43" s="19">
        <f t="shared" si="2"/>
        <v>162.38</v>
      </c>
    </row>
    <row r="44" spans="1:12" ht="15" customHeight="1" x14ac:dyDescent="0.25">
      <c r="A44" s="10">
        <v>43</v>
      </c>
      <c r="B44" s="10">
        <v>17</v>
      </c>
      <c r="C44" s="10">
        <v>28</v>
      </c>
      <c r="D44" s="10">
        <v>7</v>
      </c>
      <c r="E44" s="19">
        <v>149.97</v>
      </c>
      <c r="F44" s="10">
        <v>0</v>
      </c>
      <c r="G44" s="19">
        <f t="shared" si="0"/>
        <v>1049.79</v>
      </c>
      <c r="H44" s="10">
        <f>INDEX(Products!$C$2:$C$101,MATCH(C44,Products!$A$2:$A$101,0))</f>
        <v>3</v>
      </c>
      <c r="I44" s="10" t="str">
        <f>INDEX(Categories!$B$2:$B$11,MATCH(H44,Categories!$A$2:$A$11,0))</f>
        <v>Furniture</v>
      </c>
      <c r="J44" s="19">
        <f>INDEX(Products!$E$2:$E$101,MATCH(C44,Products!$A$2:$A$101,0))</f>
        <v>113.7</v>
      </c>
      <c r="K44" s="19">
        <f t="shared" si="1"/>
        <v>795.9</v>
      </c>
      <c r="L44" s="19">
        <f t="shared" si="2"/>
        <v>253.89</v>
      </c>
    </row>
    <row r="45" spans="1:12" ht="15" customHeight="1" x14ac:dyDescent="0.25">
      <c r="A45" s="10">
        <v>44</v>
      </c>
      <c r="B45" s="10">
        <v>17</v>
      </c>
      <c r="C45" s="10">
        <v>97</v>
      </c>
      <c r="D45" s="10">
        <v>5</v>
      </c>
      <c r="E45" s="19">
        <v>81.58</v>
      </c>
      <c r="F45" s="10">
        <v>0.15</v>
      </c>
      <c r="G45" s="19">
        <f t="shared" si="0"/>
        <v>346.71499999999997</v>
      </c>
      <c r="H45" s="10">
        <f>INDEX(Products!$C$2:$C$101,MATCH(C45,Products!$A$2:$A$101,0))</f>
        <v>10</v>
      </c>
      <c r="I45" s="10" t="str">
        <f>INDEX(Categories!$B$2:$B$11,MATCH(H45,Categories!$A$2:$A$11,0))</f>
        <v>Groceries</v>
      </c>
      <c r="J45" s="19">
        <f>INDEX(Products!$E$2:$E$101,MATCH(C45,Products!$A$2:$A$101,0))</f>
        <v>35.46</v>
      </c>
      <c r="K45" s="19">
        <f t="shared" si="1"/>
        <v>177.3</v>
      </c>
      <c r="L45" s="19">
        <f t="shared" si="2"/>
        <v>169.41499999999996</v>
      </c>
    </row>
    <row r="46" spans="1:12" ht="15" customHeight="1" x14ac:dyDescent="0.25">
      <c r="A46" s="10">
        <v>45</v>
      </c>
      <c r="B46" s="10">
        <v>17</v>
      </c>
      <c r="C46" s="10">
        <v>66</v>
      </c>
      <c r="D46" s="10">
        <v>10</v>
      </c>
      <c r="E46" s="19">
        <v>155.88</v>
      </c>
      <c r="F46" s="10">
        <v>0.05</v>
      </c>
      <c r="G46" s="19">
        <f t="shared" si="0"/>
        <v>1480.86</v>
      </c>
      <c r="H46" s="10">
        <f>INDEX(Products!$C$2:$C$101,MATCH(C46,Products!$A$2:$A$101,0))</f>
        <v>7</v>
      </c>
      <c r="I46" s="10" t="str">
        <f>INDEX(Categories!$B$2:$B$11,MATCH(H46,Categories!$A$2:$A$11,0))</f>
        <v>Toys &amp; Games</v>
      </c>
      <c r="J46" s="19">
        <f>INDEX(Products!$E$2:$E$101,MATCH(C46,Products!$A$2:$A$101,0))</f>
        <v>75.09</v>
      </c>
      <c r="K46" s="19">
        <f t="shared" si="1"/>
        <v>750.90000000000009</v>
      </c>
      <c r="L46" s="19">
        <f t="shared" si="2"/>
        <v>729.95999999999981</v>
      </c>
    </row>
    <row r="47" spans="1:12" ht="15" customHeight="1" x14ac:dyDescent="0.25">
      <c r="A47" s="10">
        <v>46</v>
      </c>
      <c r="B47" s="10">
        <v>18</v>
      </c>
      <c r="C47" s="10">
        <v>98</v>
      </c>
      <c r="D47" s="10">
        <v>5</v>
      </c>
      <c r="E47" s="19">
        <v>67.48</v>
      </c>
      <c r="F47" s="10">
        <v>0</v>
      </c>
      <c r="G47" s="19">
        <f t="shared" si="0"/>
        <v>337.40000000000003</v>
      </c>
      <c r="H47" s="10">
        <f>INDEX(Products!$C$2:$C$101,MATCH(C47,Products!$A$2:$A$101,0))</f>
        <v>10</v>
      </c>
      <c r="I47" s="10" t="str">
        <f>INDEX(Categories!$B$2:$B$11,MATCH(H47,Categories!$A$2:$A$11,0))</f>
        <v>Groceries</v>
      </c>
      <c r="J47" s="19">
        <f>INDEX(Products!$E$2:$E$101,MATCH(C47,Products!$A$2:$A$101,0))</f>
        <v>35.64</v>
      </c>
      <c r="K47" s="19">
        <f t="shared" si="1"/>
        <v>178.2</v>
      </c>
      <c r="L47" s="19">
        <f t="shared" si="2"/>
        <v>159.20000000000005</v>
      </c>
    </row>
    <row r="48" spans="1:12" ht="15" customHeight="1" x14ac:dyDescent="0.25">
      <c r="A48" s="10">
        <v>47</v>
      </c>
      <c r="B48" s="10">
        <v>18</v>
      </c>
      <c r="C48" s="10">
        <v>33</v>
      </c>
      <c r="D48" s="10">
        <v>2</v>
      </c>
      <c r="E48" s="19">
        <v>432.05</v>
      </c>
      <c r="F48" s="10">
        <v>0</v>
      </c>
      <c r="G48" s="19">
        <f t="shared" si="0"/>
        <v>864.1</v>
      </c>
      <c r="H48" s="10">
        <f>INDEX(Products!$C$2:$C$101,MATCH(C48,Products!$A$2:$A$101,0))</f>
        <v>4</v>
      </c>
      <c r="I48" s="10" t="str">
        <f>INDEX(Categories!$B$2:$B$11,MATCH(H48,Categories!$A$2:$A$11,0))</f>
        <v>Apparel</v>
      </c>
      <c r="J48" s="19">
        <f>INDEX(Products!$E$2:$E$101,MATCH(C48,Products!$A$2:$A$101,0))</f>
        <v>181.97</v>
      </c>
      <c r="K48" s="19">
        <f t="shared" si="1"/>
        <v>363.94</v>
      </c>
      <c r="L48" s="19">
        <f t="shared" si="2"/>
        <v>500.16</v>
      </c>
    </row>
    <row r="49" spans="1:12" ht="15" customHeight="1" x14ac:dyDescent="0.25">
      <c r="A49" s="10">
        <v>48</v>
      </c>
      <c r="B49" s="10">
        <v>19</v>
      </c>
      <c r="C49" s="10">
        <v>10</v>
      </c>
      <c r="D49" s="10">
        <v>1</v>
      </c>
      <c r="E49" s="19">
        <v>395.24</v>
      </c>
      <c r="F49" s="10">
        <v>0.05</v>
      </c>
      <c r="G49" s="19">
        <f t="shared" si="0"/>
        <v>375.47800000000001</v>
      </c>
      <c r="H49" s="10">
        <f>INDEX(Products!$C$2:$C$101,MATCH(C49,Products!$A$2:$A$101,0))</f>
        <v>1</v>
      </c>
      <c r="I49" s="10" t="str">
        <f>INDEX(Categories!$B$2:$B$11,MATCH(H49,Categories!$A$2:$A$11,0))</f>
        <v>Electronics</v>
      </c>
      <c r="J49" s="19">
        <f>INDEX(Products!$E$2:$E$101,MATCH(C49,Products!$A$2:$A$101,0))</f>
        <v>195.96</v>
      </c>
      <c r="K49" s="19">
        <f t="shared" si="1"/>
        <v>195.96</v>
      </c>
      <c r="L49" s="19">
        <f t="shared" si="2"/>
        <v>179.518</v>
      </c>
    </row>
    <row r="50" spans="1:12" ht="15" customHeight="1" x14ac:dyDescent="0.25">
      <c r="A50" s="10">
        <v>49</v>
      </c>
      <c r="B50" s="10">
        <v>19</v>
      </c>
      <c r="C50" s="10">
        <v>51</v>
      </c>
      <c r="D50" s="10">
        <v>1</v>
      </c>
      <c r="E50" s="19">
        <v>436.43</v>
      </c>
      <c r="F50" s="10">
        <v>0.05</v>
      </c>
      <c r="G50" s="19">
        <f t="shared" si="0"/>
        <v>414.60849999999999</v>
      </c>
      <c r="H50" s="10">
        <f>INDEX(Products!$C$2:$C$101,MATCH(C50,Products!$A$2:$A$101,0))</f>
        <v>6</v>
      </c>
      <c r="I50" s="10" t="str">
        <f>INDEX(Categories!$B$2:$B$11,MATCH(H50,Categories!$A$2:$A$11,0))</f>
        <v>Sporting Goods</v>
      </c>
      <c r="J50" s="19">
        <f>INDEX(Products!$E$2:$E$101,MATCH(C50,Products!$A$2:$A$101,0))</f>
        <v>235.84</v>
      </c>
      <c r="K50" s="19">
        <f t="shared" si="1"/>
        <v>235.84</v>
      </c>
      <c r="L50" s="19">
        <f t="shared" si="2"/>
        <v>178.76849999999999</v>
      </c>
    </row>
    <row r="51" spans="1:12" ht="15" customHeight="1" x14ac:dyDescent="0.25">
      <c r="A51" s="10">
        <v>50</v>
      </c>
      <c r="B51" s="10">
        <v>19</v>
      </c>
      <c r="C51" s="10">
        <v>95</v>
      </c>
      <c r="D51" s="10">
        <v>2</v>
      </c>
      <c r="E51" s="19">
        <v>394.56</v>
      </c>
      <c r="F51" s="10">
        <v>0.2</v>
      </c>
      <c r="G51" s="19">
        <f t="shared" si="0"/>
        <v>631.29600000000005</v>
      </c>
      <c r="H51" s="10">
        <f>INDEX(Products!$C$2:$C$101,MATCH(C51,Products!$A$2:$A$101,0))</f>
        <v>10</v>
      </c>
      <c r="I51" s="10" t="str">
        <f>INDEX(Categories!$B$2:$B$11,MATCH(H51,Categories!$A$2:$A$11,0))</f>
        <v>Groceries</v>
      </c>
      <c r="J51" s="19">
        <f>INDEX(Products!$E$2:$E$101,MATCH(C51,Products!$A$2:$A$101,0))</f>
        <v>192.57</v>
      </c>
      <c r="K51" s="19">
        <f t="shared" si="1"/>
        <v>385.14</v>
      </c>
      <c r="L51" s="19">
        <f t="shared" si="2"/>
        <v>246.15600000000006</v>
      </c>
    </row>
    <row r="52" spans="1:12" ht="15" customHeight="1" x14ac:dyDescent="0.25">
      <c r="A52" s="10">
        <v>51</v>
      </c>
      <c r="B52" s="10">
        <v>20</v>
      </c>
      <c r="C52" s="10">
        <v>42</v>
      </c>
      <c r="D52" s="10">
        <v>3</v>
      </c>
      <c r="E52" s="19">
        <v>370</v>
      </c>
      <c r="F52" s="10">
        <v>0.2</v>
      </c>
      <c r="G52" s="19">
        <f t="shared" si="0"/>
        <v>888</v>
      </c>
      <c r="H52" s="10">
        <f>INDEX(Products!$C$2:$C$101,MATCH(C52,Products!$A$2:$A$101,0))</f>
        <v>5</v>
      </c>
      <c r="I52" s="10" t="str">
        <f>INDEX(Categories!$B$2:$B$11,MATCH(H52,Categories!$A$2:$A$11,0))</f>
        <v>Home &amp; Kitchen</v>
      </c>
      <c r="J52" s="19">
        <f>INDEX(Products!$E$2:$E$101,MATCH(C52,Products!$A$2:$A$101,0))</f>
        <v>227.4</v>
      </c>
      <c r="K52" s="19">
        <f t="shared" si="1"/>
        <v>682.2</v>
      </c>
      <c r="L52" s="19">
        <f t="shared" si="2"/>
        <v>205.79999999999995</v>
      </c>
    </row>
    <row r="53" spans="1:12" ht="15" customHeight="1" x14ac:dyDescent="0.25">
      <c r="A53" s="10">
        <v>52</v>
      </c>
      <c r="B53" s="10">
        <v>21</v>
      </c>
      <c r="C53" s="10">
        <v>56</v>
      </c>
      <c r="D53" s="10">
        <v>7</v>
      </c>
      <c r="E53" s="19">
        <v>440.37</v>
      </c>
      <c r="F53" s="10">
        <v>0.1</v>
      </c>
      <c r="G53" s="19">
        <f t="shared" si="0"/>
        <v>2774.3310000000001</v>
      </c>
      <c r="H53" s="10">
        <f>INDEX(Products!$C$2:$C$101,MATCH(C53,Products!$A$2:$A$101,0))</f>
        <v>6</v>
      </c>
      <c r="I53" s="10" t="str">
        <f>INDEX(Categories!$B$2:$B$11,MATCH(H53,Categories!$A$2:$A$11,0))</f>
        <v>Sporting Goods</v>
      </c>
      <c r="J53" s="19">
        <f>INDEX(Products!$E$2:$E$101,MATCH(C53,Products!$A$2:$A$101,0))</f>
        <v>242.36</v>
      </c>
      <c r="K53" s="19">
        <f t="shared" si="1"/>
        <v>1696.52</v>
      </c>
      <c r="L53" s="19">
        <f t="shared" si="2"/>
        <v>1077.8110000000001</v>
      </c>
    </row>
    <row r="54" spans="1:12" ht="15" customHeight="1" x14ac:dyDescent="0.25">
      <c r="A54" s="10">
        <v>53</v>
      </c>
      <c r="B54" s="10">
        <v>21</v>
      </c>
      <c r="C54" s="10">
        <v>76</v>
      </c>
      <c r="D54" s="10">
        <v>2</v>
      </c>
      <c r="E54" s="19">
        <v>390.64</v>
      </c>
      <c r="F54" s="10">
        <v>0.05</v>
      </c>
      <c r="G54" s="19">
        <f t="shared" si="0"/>
        <v>742.21599999999989</v>
      </c>
      <c r="H54" s="10">
        <f>INDEX(Products!$C$2:$C$101,MATCH(C54,Products!$A$2:$A$101,0))</f>
        <v>8</v>
      </c>
      <c r="I54" s="10" t="str">
        <f>INDEX(Categories!$B$2:$B$11,MATCH(H54,Categories!$A$2:$A$11,0))</f>
        <v>Health &amp; Beauty</v>
      </c>
      <c r="J54" s="19">
        <f>INDEX(Products!$E$2:$E$101,MATCH(C54,Products!$A$2:$A$101,0))</f>
        <v>218.93</v>
      </c>
      <c r="K54" s="19">
        <f t="shared" si="1"/>
        <v>437.86</v>
      </c>
      <c r="L54" s="19">
        <f t="shared" si="2"/>
        <v>304.35599999999988</v>
      </c>
    </row>
    <row r="55" spans="1:12" ht="15" customHeight="1" x14ac:dyDescent="0.25">
      <c r="A55" s="10">
        <v>54</v>
      </c>
      <c r="B55" s="10">
        <v>22</v>
      </c>
      <c r="C55" s="10">
        <v>66</v>
      </c>
      <c r="D55" s="10">
        <v>2</v>
      </c>
      <c r="E55" s="19">
        <v>155.88</v>
      </c>
      <c r="F55" s="10">
        <v>0.1</v>
      </c>
      <c r="G55" s="19">
        <f t="shared" si="0"/>
        <v>280.584</v>
      </c>
      <c r="H55" s="10">
        <f>INDEX(Products!$C$2:$C$101,MATCH(C55,Products!$A$2:$A$101,0))</f>
        <v>7</v>
      </c>
      <c r="I55" s="10" t="str">
        <f>INDEX(Categories!$B$2:$B$11,MATCH(H55,Categories!$A$2:$A$11,0))</f>
        <v>Toys &amp; Games</v>
      </c>
      <c r="J55" s="19">
        <f>INDEX(Products!$E$2:$E$101,MATCH(C55,Products!$A$2:$A$101,0))</f>
        <v>75.09</v>
      </c>
      <c r="K55" s="19">
        <f t="shared" si="1"/>
        <v>150.18</v>
      </c>
      <c r="L55" s="19">
        <f t="shared" si="2"/>
        <v>130.404</v>
      </c>
    </row>
    <row r="56" spans="1:12" ht="15" customHeight="1" x14ac:dyDescent="0.25">
      <c r="A56" s="10">
        <v>55</v>
      </c>
      <c r="B56" s="10">
        <v>23</v>
      </c>
      <c r="C56" s="10">
        <v>33</v>
      </c>
      <c r="D56" s="10">
        <v>3</v>
      </c>
      <c r="E56" s="19">
        <v>432.05</v>
      </c>
      <c r="F56" s="10">
        <v>0.1</v>
      </c>
      <c r="G56" s="19">
        <f t="shared" si="0"/>
        <v>1166.5350000000001</v>
      </c>
      <c r="H56" s="10">
        <f>INDEX(Products!$C$2:$C$101,MATCH(C56,Products!$A$2:$A$101,0))</f>
        <v>4</v>
      </c>
      <c r="I56" s="10" t="str">
        <f>INDEX(Categories!$B$2:$B$11,MATCH(H56,Categories!$A$2:$A$11,0))</f>
        <v>Apparel</v>
      </c>
      <c r="J56" s="19">
        <f>INDEX(Products!$E$2:$E$101,MATCH(C56,Products!$A$2:$A$101,0))</f>
        <v>181.97</v>
      </c>
      <c r="K56" s="19">
        <f t="shared" si="1"/>
        <v>545.91</v>
      </c>
      <c r="L56" s="19">
        <f t="shared" si="2"/>
        <v>620.62500000000011</v>
      </c>
    </row>
    <row r="57" spans="1:12" ht="15" customHeight="1" x14ac:dyDescent="0.25">
      <c r="A57" s="10">
        <v>56</v>
      </c>
      <c r="B57" s="10">
        <v>23</v>
      </c>
      <c r="C57" s="10">
        <v>26</v>
      </c>
      <c r="D57" s="10">
        <v>3</v>
      </c>
      <c r="E57" s="19">
        <v>262.08</v>
      </c>
      <c r="F57" s="10">
        <v>0.2</v>
      </c>
      <c r="G57" s="19">
        <f t="shared" si="0"/>
        <v>628.99200000000008</v>
      </c>
      <c r="H57" s="10">
        <f>INDEX(Products!$C$2:$C$101,MATCH(C57,Products!$A$2:$A$101,0))</f>
        <v>3</v>
      </c>
      <c r="I57" s="10" t="str">
        <f>INDEX(Categories!$B$2:$B$11,MATCH(H57,Categories!$A$2:$A$11,0))</f>
        <v>Furniture</v>
      </c>
      <c r="J57" s="19">
        <f>INDEX(Products!$E$2:$E$101,MATCH(C57,Products!$A$2:$A$101,0))</f>
        <v>140.28</v>
      </c>
      <c r="K57" s="19">
        <f t="shared" si="1"/>
        <v>420.84000000000003</v>
      </c>
      <c r="L57" s="19">
        <f t="shared" si="2"/>
        <v>208.15200000000004</v>
      </c>
    </row>
    <row r="58" spans="1:12" ht="15" customHeight="1" x14ac:dyDescent="0.25">
      <c r="A58" s="10">
        <v>57</v>
      </c>
      <c r="B58" s="10">
        <v>24</v>
      </c>
      <c r="C58" s="10">
        <v>81</v>
      </c>
      <c r="D58" s="10">
        <v>8</v>
      </c>
      <c r="E58" s="19">
        <v>529</v>
      </c>
      <c r="F58" s="10">
        <v>0</v>
      </c>
      <c r="G58" s="19">
        <f t="shared" si="0"/>
        <v>4232</v>
      </c>
      <c r="H58" s="10">
        <f>INDEX(Products!$C$2:$C$101,MATCH(C58,Products!$A$2:$A$101,0))</f>
        <v>9</v>
      </c>
      <c r="I58" s="10" t="str">
        <f>INDEX(Categories!$B$2:$B$11,MATCH(H58,Categories!$A$2:$A$11,0))</f>
        <v>Automotive Parts</v>
      </c>
      <c r="J58" s="19">
        <f>INDEX(Products!$E$2:$E$101,MATCH(C58,Products!$A$2:$A$101,0))</f>
        <v>249.36</v>
      </c>
      <c r="K58" s="19">
        <f t="shared" si="1"/>
        <v>1994.88</v>
      </c>
      <c r="L58" s="19">
        <f t="shared" si="2"/>
        <v>2237.12</v>
      </c>
    </row>
    <row r="59" spans="1:12" ht="15" customHeight="1" x14ac:dyDescent="0.25">
      <c r="A59" s="10">
        <v>58</v>
      </c>
      <c r="B59" s="10">
        <v>24</v>
      </c>
      <c r="C59" s="10">
        <v>41</v>
      </c>
      <c r="D59" s="10">
        <v>8</v>
      </c>
      <c r="E59" s="19">
        <v>331.46</v>
      </c>
      <c r="F59" s="10">
        <v>0.05</v>
      </c>
      <c r="G59" s="19">
        <f t="shared" si="0"/>
        <v>2519.0959999999995</v>
      </c>
      <c r="H59" s="10">
        <f>INDEX(Products!$C$2:$C$101,MATCH(C59,Products!$A$2:$A$101,0))</f>
        <v>5</v>
      </c>
      <c r="I59" s="10" t="str">
        <f>INDEX(Categories!$B$2:$B$11,MATCH(H59,Categories!$A$2:$A$11,0))</f>
        <v>Home &amp; Kitchen</v>
      </c>
      <c r="J59" s="19">
        <f>INDEX(Products!$E$2:$E$101,MATCH(C59,Products!$A$2:$A$101,0))</f>
        <v>152.76</v>
      </c>
      <c r="K59" s="19">
        <f t="shared" si="1"/>
        <v>1222.08</v>
      </c>
      <c r="L59" s="19">
        <f t="shared" si="2"/>
        <v>1297.0159999999996</v>
      </c>
    </row>
    <row r="60" spans="1:12" ht="15" customHeight="1" x14ac:dyDescent="0.25">
      <c r="A60" s="10">
        <v>59</v>
      </c>
      <c r="B60" s="10">
        <v>24</v>
      </c>
      <c r="C60" s="10">
        <v>20</v>
      </c>
      <c r="D60" s="10">
        <v>5</v>
      </c>
      <c r="E60" s="19">
        <v>316.14999999999998</v>
      </c>
      <c r="F60" s="10">
        <v>0.2</v>
      </c>
      <c r="G60" s="19">
        <f t="shared" si="0"/>
        <v>1264.6000000000001</v>
      </c>
      <c r="H60" s="10">
        <f>INDEX(Products!$C$2:$C$101,MATCH(C60,Products!$A$2:$A$101,0))</f>
        <v>2</v>
      </c>
      <c r="I60" s="10" t="str">
        <f>INDEX(Categories!$B$2:$B$11,MATCH(H60,Categories!$A$2:$A$11,0))</f>
        <v>Office Supplies</v>
      </c>
      <c r="J60" s="19">
        <f>INDEX(Products!$E$2:$E$101,MATCH(C60,Products!$A$2:$A$101,0))</f>
        <v>177.71</v>
      </c>
      <c r="K60" s="19">
        <f t="shared" si="1"/>
        <v>888.55000000000007</v>
      </c>
      <c r="L60" s="19">
        <f t="shared" si="2"/>
        <v>376.05000000000007</v>
      </c>
    </row>
    <row r="61" spans="1:12" ht="15" customHeight="1" x14ac:dyDescent="0.25">
      <c r="A61" s="10">
        <v>60</v>
      </c>
      <c r="B61" s="10">
        <v>25</v>
      </c>
      <c r="C61" s="10">
        <v>10</v>
      </c>
      <c r="D61" s="10">
        <v>10</v>
      </c>
      <c r="E61" s="19">
        <v>395.24</v>
      </c>
      <c r="F61" s="10">
        <v>0.1</v>
      </c>
      <c r="G61" s="19">
        <f t="shared" si="0"/>
        <v>3557.1600000000003</v>
      </c>
      <c r="H61" s="10">
        <f>INDEX(Products!$C$2:$C$101,MATCH(C61,Products!$A$2:$A$101,0))</f>
        <v>1</v>
      </c>
      <c r="I61" s="10" t="str">
        <f>INDEX(Categories!$B$2:$B$11,MATCH(H61,Categories!$A$2:$A$11,0))</f>
        <v>Electronics</v>
      </c>
      <c r="J61" s="19">
        <f>INDEX(Products!$E$2:$E$101,MATCH(C61,Products!$A$2:$A$101,0))</f>
        <v>195.96</v>
      </c>
      <c r="K61" s="19">
        <f t="shared" si="1"/>
        <v>1959.6000000000001</v>
      </c>
      <c r="L61" s="19">
        <f t="shared" si="2"/>
        <v>1597.5600000000002</v>
      </c>
    </row>
    <row r="62" spans="1:12" ht="15" customHeight="1" x14ac:dyDescent="0.25">
      <c r="A62" s="10">
        <v>61</v>
      </c>
      <c r="B62" s="10">
        <v>25</v>
      </c>
      <c r="C62" s="10">
        <v>83</v>
      </c>
      <c r="D62" s="10">
        <v>9</v>
      </c>
      <c r="E62" s="19">
        <v>113.19</v>
      </c>
      <c r="F62" s="10">
        <v>0.05</v>
      </c>
      <c r="G62" s="19">
        <f t="shared" si="0"/>
        <v>967.77449999999999</v>
      </c>
      <c r="H62" s="10">
        <f>INDEX(Products!$C$2:$C$101,MATCH(C62,Products!$A$2:$A$101,0))</f>
        <v>9</v>
      </c>
      <c r="I62" s="10" t="str">
        <f>INDEX(Categories!$B$2:$B$11,MATCH(H62,Categories!$A$2:$A$11,0))</f>
        <v>Automotive Parts</v>
      </c>
      <c r="J62" s="19">
        <f>INDEX(Products!$E$2:$E$101,MATCH(C62,Products!$A$2:$A$101,0))</f>
        <v>83.12</v>
      </c>
      <c r="K62" s="19">
        <f t="shared" si="1"/>
        <v>748.08</v>
      </c>
      <c r="L62" s="19">
        <f t="shared" si="2"/>
        <v>219.69449999999995</v>
      </c>
    </row>
    <row r="63" spans="1:12" ht="15" customHeight="1" x14ac:dyDescent="0.25">
      <c r="A63" s="10">
        <v>62</v>
      </c>
      <c r="B63" s="10">
        <v>25</v>
      </c>
      <c r="C63" s="10">
        <v>12</v>
      </c>
      <c r="D63" s="10">
        <v>8</v>
      </c>
      <c r="E63" s="19">
        <v>219.11</v>
      </c>
      <c r="F63" s="10">
        <v>0.1</v>
      </c>
      <c r="G63" s="19">
        <f t="shared" si="0"/>
        <v>1577.5920000000001</v>
      </c>
      <c r="H63" s="10">
        <f>INDEX(Products!$C$2:$C$101,MATCH(C63,Products!$A$2:$A$101,0))</f>
        <v>2</v>
      </c>
      <c r="I63" s="10" t="str">
        <f>INDEX(Categories!$B$2:$B$11,MATCH(H63,Categories!$A$2:$A$11,0))</f>
        <v>Office Supplies</v>
      </c>
      <c r="J63" s="19">
        <f>INDEX(Products!$E$2:$E$101,MATCH(C63,Products!$A$2:$A$101,0))</f>
        <v>142.30000000000001</v>
      </c>
      <c r="K63" s="19">
        <f t="shared" si="1"/>
        <v>1138.4000000000001</v>
      </c>
      <c r="L63" s="19">
        <f t="shared" si="2"/>
        <v>439.19200000000001</v>
      </c>
    </row>
    <row r="64" spans="1:12" ht="15" customHeight="1" x14ac:dyDescent="0.25">
      <c r="A64" s="10">
        <v>63</v>
      </c>
      <c r="B64" s="10">
        <v>26</v>
      </c>
      <c r="C64" s="10">
        <v>58</v>
      </c>
      <c r="D64" s="10">
        <v>2</v>
      </c>
      <c r="E64" s="19">
        <v>388.55</v>
      </c>
      <c r="F64" s="10">
        <v>0.2</v>
      </c>
      <c r="G64" s="19">
        <f t="shared" si="0"/>
        <v>621.68000000000006</v>
      </c>
      <c r="H64" s="10">
        <f>INDEX(Products!$C$2:$C$101,MATCH(C64,Products!$A$2:$A$101,0))</f>
        <v>6</v>
      </c>
      <c r="I64" s="10" t="str">
        <f>INDEX(Categories!$B$2:$B$11,MATCH(H64,Categories!$A$2:$A$11,0))</f>
        <v>Sporting Goods</v>
      </c>
      <c r="J64" s="19">
        <f>INDEX(Products!$E$2:$E$101,MATCH(C64,Products!$A$2:$A$101,0))</f>
        <v>203.95</v>
      </c>
      <c r="K64" s="19">
        <f t="shared" si="1"/>
        <v>407.9</v>
      </c>
      <c r="L64" s="19">
        <f t="shared" si="2"/>
        <v>213.78000000000009</v>
      </c>
    </row>
    <row r="65" spans="1:12" ht="15" customHeight="1" x14ac:dyDescent="0.25">
      <c r="A65" s="10">
        <v>64</v>
      </c>
      <c r="B65" s="10">
        <v>27</v>
      </c>
      <c r="C65" s="10">
        <v>21</v>
      </c>
      <c r="D65" s="10">
        <v>7</v>
      </c>
      <c r="E65" s="19">
        <v>358.6</v>
      </c>
      <c r="F65" s="10">
        <v>0.2</v>
      </c>
      <c r="G65" s="19">
        <f t="shared" si="0"/>
        <v>2008.1600000000003</v>
      </c>
      <c r="H65" s="10">
        <f>INDEX(Products!$C$2:$C$101,MATCH(C65,Products!$A$2:$A$101,0))</f>
        <v>3</v>
      </c>
      <c r="I65" s="10" t="str">
        <f>INDEX(Categories!$B$2:$B$11,MATCH(H65,Categories!$A$2:$A$11,0))</f>
        <v>Furniture</v>
      </c>
      <c r="J65" s="19">
        <f>INDEX(Products!$E$2:$E$101,MATCH(C65,Products!$A$2:$A$101,0))</f>
        <v>155.13</v>
      </c>
      <c r="K65" s="19">
        <f t="shared" si="1"/>
        <v>1085.9099999999999</v>
      </c>
      <c r="L65" s="19">
        <f t="shared" si="2"/>
        <v>922.25000000000045</v>
      </c>
    </row>
    <row r="66" spans="1:12" ht="15" customHeight="1" x14ac:dyDescent="0.25">
      <c r="A66" s="10">
        <v>65</v>
      </c>
      <c r="B66" s="10">
        <v>27</v>
      </c>
      <c r="C66" s="10">
        <v>47</v>
      </c>
      <c r="D66" s="10">
        <v>6</v>
      </c>
      <c r="E66" s="19">
        <v>96.51</v>
      </c>
      <c r="F66" s="10">
        <v>0.15</v>
      </c>
      <c r="G66" s="19">
        <f t="shared" ref="G66:G129" si="3">D66*E66*(1-F66)</f>
        <v>492.20100000000002</v>
      </c>
      <c r="H66" s="10">
        <f>INDEX(Products!$C$2:$C$101,MATCH(C66,Products!$A$2:$A$101,0))</f>
        <v>5</v>
      </c>
      <c r="I66" s="10" t="str">
        <f>INDEX(Categories!$B$2:$B$11,MATCH(H66,Categories!$A$2:$A$11,0))</f>
        <v>Home &amp; Kitchen</v>
      </c>
      <c r="J66" s="19">
        <f>INDEX(Products!$E$2:$E$101,MATCH(C66,Products!$A$2:$A$101,0))</f>
        <v>60.66</v>
      </c>
      <c r="K66" s="19">
        <f t="shared" ref="K66:K129" si="4">D66*J66</f>
        <v>363.96</v>
      </c>
      <c r="L66" s="19">
        <f t="shared" ref="L66:L129" si="5">G66-K66</f>
        <v>128.24100000000004</v>
      </c>
    </row>
    <row r="67" spans="1:12" ht="15" customHeight="1" x14ac:dyDescent="0.25">
      <c r="A67" s="10">
        <v>66</v>
      </c>
      <c r="B67" s="10">
        <v>27</v>
      </c>
      <c r="C67" s="10">
        <v>48</v>
      </c>
      <c r="D67" s="10">
        <v>10</v>
      </c>
      <c r="E67" s="19">
        <v>205.11</v>
      </c>
      <c r="F67" s="10">
        <v>0</v>
      </c>
      <c r="G67" s="19">
        <f t="shared" si="3"/>
        <v>2051.1000000000004</v>
      </c>
      <c r="H67" s="10">
        <f>INDEX(Products!$C$2:$C$101,MATCH(C67,Products!$A$2:$A$101,0))</f>
        <v>5</v>
      </c>
      <c r="I67" s="10" t="str">
        <f>INDEX(Categories!$B$2:$B$11,MATCH(H67,Categories!$A$2:$A$11,0))</f>
        <v>Home &amp; Kitchen</v>
      </c>
      <c r="J67" s="19">
        <f>INDEX(Products!$E$2:$E$101,MATCH(C67,Products!$A$2:$A$101,0))</f>
        <v>108.01</v>
      </c>
      <c r="K67" s="19">
        <f t="shared" si="4"/>
        <v>1080.1000000000001</v>
      </c>
      <c r="L67" s="19">
        <f t="shared" si="5"/>
        <v>971.00000000000023</v>
      </c>
    </row>
    <row r="68" spans="1:12" ht="15" customHeight="1" x14ac:dyDescent="0.25">
      <c r="A68" s="10">
        <v>67</v>
      </c>
      <c r="B68" s="10">
        <v>27</v>
      </c>
      <c r="C68" s="10">
        <v>37</v>
      </c>
      <c r="D68" s="10">
        <v>6</v>
      </c>
      <c r="E68" s="19">
        <v>262.99</v>
      </c>
      <c r="F68" s="10">
        <v>0</v>
      </c>
      <c r="G68" s="19">
        <f t="shared" si="3"/>
        <v>1577.94</v>
      </c>
      <c r="H68" s="10">
        <f>INDEX(Products!$C$2:$C$101,MATCH(C68,Products!$A$2:$A$101,0))</f>
        <v>4</v>
      </c>
      <c r="I68" s="10" t="str">
        <f>INDEX(Categories!$B$2:$B$11,MATCH(H68,Categories!$A$2:$A$11,0))</f>
        <v>Apparel</v>
      </c>
      <c r="J68" s="19">
        <f>INDEX(Products!$E$2:$E$101,MATCH(C68,Products!$A$2:$A$101,0))</f>
        <v>144.79</v>
      </c>
      <c r="K68" s="19">
        <f t="shared" si="4"/>
        <v>868.74</v>
      </c>
      <c r="L68" s="19">
        <f t="shared" si="5"/>
        <v>709.2</v>
      </c>
    </row>
    <row r="69" spans="1:12" ht="15" customHeight="1" x14ac:dyDescent="0.25">
      <c r="A69" s="10">
        <v>68</v>
      </c>
      <c r="B69" s="10">
        <v>27</v>
      </c>
      <c r="C69" s="10">
        <v>50</v>
      </c>
      <c r="D69" s="10">
        <v>6</v>
      </c>
      <c r="E69" s="19">
        <v>411.05</v>
      </c>
      <c r="F69" s="10">
        <v>0</v>
      </c>
      <c r="G69" s="19">
        <f t="shared" si="3"/>
        <v>2466.3000000000002</v>
      </c>
      <c r="H69" s="10">
        <f>INDEX(Products!$C$2:$C$101,MATCH(C69,Products!$A$2:$A$101,0))</f>
        <v>5</v>
      </c>
      <c r="I69" s="10" t="str">
        <f>INDEX(Categories!$B$2:$B$11,MATCH(H69,Categories!$A$2:$A$11,0))</f>
        <v>Home &amp; Kitchen</v>
      </c>
      <c r="J69" s="19">
        <f>INDEX(Products!$E$2:$E$101,MATCH(C69,Products!$A$2:$A$101,0))</f>
        <v>230.53</v>
      </c>
      <c r="K69" s="19">
        <f t="shared" si="4"/>
        <v>1383.18</v>
      </c>
      <c r="L69" s="19">
        <f t="shared" si="5"/>
        <v>1083.1200000000001</v>
      </c>
    </row>
    <row r="70" spans="1:12" ht="15" customHeight="1" x14ac:dyDescent="0.25">
      <c r="A70" s="10">
        <v>69</v>
      </c>
      <c r="B70" s="10">
        <v>28</v>
      </c>
      <c r="C70" s="10">
        <v>17</v>
      </c>
      <c r="D70" s="10">
        <v>5</v>
      </c>
      <c r="E70" s="19">
        <v>216.84</v>
      </c>
      <c r="F70" s="10">
        <v>0.1</v>
      </c>
      <c r="G70" s="19">
        <f t="shared" si="3"/>
        <v>975.78000000000009</v>
      </c>
      <c r="H70" s="10">
        <f>INDEX(Products!$C$2:$C$101,MATCH(C70,Products!$A$2:$A$101,0))</f>
        <v>2</v>
      </c>
      <c r="I70" s="10" t="str">
        <f>INDEX(Categories!$B$2:$B$11,MATCH(H70,Categories!$A$2:$A$11,0))</f>
        <v>Office Supplies</v>
      </c>
      <c r="J70" s="19">
        <f>INDEX(Products!$E$2:$E$101,MATCH(C70,Products!$A$2:$A$101,0))</f>
        <v>151.30000000000001</v>
      </c>
      <c r="K70" s="19">
        <f t="shared" si="4"/>
        <v>756.5</v>
      </c>
      <c r="L70" s="19">
        <f t="shared" si="5"/>
        <v>219.28000000000009</v>
      </c>
    </row>
    <row r="71" spans="1:12" ht="15" customHeight="1" x14ac:dyDescent="0.25">
      <c r="A71" s="10">
        <v>70</v>
      </c>
      <c r="B71" s="10">
        <v>28</v>
      </c>
      <c r="C71" s="10">
        <v>77</v>
      </c>
      <c r="D71" s="10">
        <v>7</v>
      </c>
      <c r="E71" s="19">
        <v>87.18</v>
      </c>
      <c r="F71" s="10">
        <v>0.15</v>
      </c>
      <c r="G71" s="19">
        <f t="shared" si="3"/>
        <v>518.721</v>
      </c>
      <c r="H71" s="10">
        <f>INDEX(Products!$C$2:$C$101,MATCH(C71,Products!$A$2:$A$101,0))</f>
        <v>8</v>
      </c>
      <c r="I71" s="10" t="str">
        <f>INDEX(Categories!$B$2:$B$11,MATCH(H71,Categories!$A$2:$A$11,0))</f>
        <v>Health &amp; Beauty</v>
      </c>
      <c r="J71" s="19">
        <f>INDEX(Products!$E$2:$E$101,MATCH(C71,Products!$A$2:$A$101,0))</f>
        <v>38.61</v>
      </c>
      <c r="K71" s="19">
        <f t="shared" si="4"/>
        <v>270.27</v>
      </c>
      <c r="L71" s="19">
        <f t="shared" si="5"/>
        <v>248.45100000000002</v>
      </c>
    </row>
    <row r="72" spans="1:12" ht="15" customHeight="1" x14ac:dyDescent="0.25">
      <c r="A72" s="10">
        <v>71</v>
      </c>
      <c r="B72" s="10">
        <v>28</v>
      </c>
      <c r="C72" s="10">
        <v>91</v>
      </c>
      <c r="D72" s="10">
        <v>6</v>
      </c>
      <c r="E72" s="19">
        <v>180.37</v>
      </c>
      <c r="F72" s="10">
        <v>0.2</v>
      </c>
      <c r="G72" s="19">
        <f t="shared" si="3"/>
        <v>865.77600000000007</v>
      </c>
      <c r="H72" s="10">
        <f>INDEX(Products!$C$2:$C$101,MATCH(C72,Products!$A$2:$A$101,0))</f>
        <v>10</v>
      </c>
      <c r="I72" s="10" t="str">
        <f>INDEX(Categories!$B$2:$B$11,MATCH(H72,Categories!$A$2:$A$11,0))</f>
        <v>Groceries</v>
      </c>
      <c r="J72" s="19">
        <f>INDEX(Products!$E$2:$E$101,MATCH(C72,Products!$A$2:$A$101,0))</f>
        <v>75.92</v>
      </c>
      <c r="K72" s="19">
        <f t="shared" si="4"/>
        <v>455.52</v>
      </c>
      <c r="L72" s="19">
        <f t="shared" si="5"/>
        <v>410.25600000000009</v>
      </c>
    </row>
    <row r="73" spans="1:12" ht="15" customHeight="1" x14ac:dyDescent="0.25">
      <c r="A73" s="10">
        <v>72</v>
      </c>
      <c r="B73" s="10">
        <v>28</v>
      </c>
      <c r="C73" s="10">
        <v>11</v>
      </c>
      <c r="D73" s="10">
        <v>3</v>
      </c>
      <c r="E73" s="19">
        <v>417.1</v>
      </c>
      <c r="F73" s="10">
        <v>0.15</v>
      </c>
      <c r="G73" s="19">
        <f t="shared" si="3"/>
        <v>1063.605</v>
      </c>
      <c r="H73" s="10">
        <f>INDEX(Products!$C$2:$C$101,MATCH(C73,Products!$A$2:$A$101,0))</f>
        <v>2</v>
      </c>
      <c r="I73" s="10" t="str">
        <f>INDEX(Categories!$B$2:$B$11,MATCH(H73,Categories!$A$2:$A$11,0))</f>
        <v>Office Supplies</v>
      </c>
      <c r="J73" s="19">
        <f>INDEX(Products!$E$2:$E$101,MATCH(C73,Products!$A$2:$A$101,0))</f>
        <v>210.29</v>
      </c>
      <c r="K73" s="19">
        <f t="shared" si="4"/>
        <v>630.87</v>
      </c>
      <c r="L73" s="19">
        <f t="shared" si="5"/>
        <v>432.73500000000001</v>
      </c>
    </row>
    <row r="74" spans="1:12" ht="15" customHeight="1" x14ac:dyDescent="0.25">
      <c r="A74" s="10">
        <v>73</v>
      </c>
      <c r="B74" s="10">
        <v>29</v>
      </c>
      <c r="C74" s="10">
        <v>28</v>
      </c>
      <c r="D74" s="10">
        <v>8</v>
      </c>
      <c r="E74" s="19">
        <v>149.97</v>
      </c>
      <c r="F74" s="10">
        <v>0</v>
      </c>
      <c r="G74" s="19">
        <f t="shared" si="3"/>
        <v>1199.76</v>
      </c>
      <c r="H74" s="10">
        <f>INDEX(Products!$C$2:$C$101,MATCH(C74,Products!$A$2:$A$101,0))</f>
        <v>3</v>
      </c>
      <c r="I74" s="10" t="str">
        <f>INDEX(Categories!$B$2:$B$11,MATCH(H74,Categories!$A$2:$A$11,0))</f>
        <v>Furniture</v>
      </c>
      <c r="J74" s="19">
        <f>INDEX(Products!$E$2:$E$101,MATCH(C74,Products!$A$2:$A$101,0))</f>
        <v>113.7</v>
      </c>
      <c r="K74" s="19">
        <f t="shared" si="4"/>
        <v>909.6</v>
      </c>
      <c r="L74" s="19">
        <f t="shared" si="5"/>
        <v>290.15999999999997</v>
      </c>
    </row>
    <row r="75" spans="1:12" ht="15" customHeight="1" x14ac:dyDescent="0.25">
      <c r="A75" s="10">
        <v>74</v>
      </c>
      <c r="B75" s="10">
        <v>29</v>
      </c>
      <c r="C75" s="10">
        <v>44</v>
      </c>
      <c r="D75" s="10">
        <v>4</v>
      </c>
      <c r="E75" s="19">
        <v>111.7</v>
      </c>
      <c r="F75" s="10">
        <v>0</v>
      </c>
      <c r="G75" s="19">
        <f t="shared" si="3"/>
        <v>446.8</v>
      </c>
      <c r="H75" s="10">
        <f>INDEX(Products!$C$2:$C$101,MATCH(C75,Products!$A$2:$A$101,0))</f>
        <v>5</v>
      </c>
      <c r="I75" s="10" t="str">
        <f>INDEX(Categories!$B$2:$B$11,MATCH(H75,Categories!$A$2:$A$11,0))</f>
        <v>Home &amp; Kitchen</v>
      </c>
      <c r="J75" s="19">
        <f>INDEX(Products!$E$2:$E$101,MATCH(C75,Products!$A$2:$A$101,0))</f>
        <v>55.12</v>
      </c>
      <c r="K75" s="19">
        <f t="shared" si="4"/>
        <v>220.48</v>
      </c>
      <c r="L75" s="19">
        <f t="shared" si="5"/>
        <v>226.32000000000002</v>
      </c>
    </row>
    <row r="76" spans="1:12" ht="15" customHeight="1" x14ac:dyDescent="0.25">
      <c r="A76" s="10">
        <v>75</v>
      </c>
      <c r="B76" s="10">
        <v>30</v>
      </c>
      <c r="C76" s="10">
        <v>77</v>
      </c>
      <c r="D76" s="10">
        <v>3</v>
      </c>
      <c r="E76" s="19">
        <v>87.18</v>
      </c>
      <c r="F76" s="10">
        <v>0</v>
      </c>
      <c r="G76" s="19">
        <f t="shared" si="3"/>
        <v>261.54000000000002</v>
      </c>
      <c r="H76" s="10">
        <f>INDEX(Products!$C$2:$C$101,MATCH(C76,Products!$A$2:$A$101,0))</f>
        <v>8</v>
      </c>
      <c r="I76" s="10" t="str">
        <f>INDEX(Categories!$B$2:$B$11,MATCH(H76,Categories!$A$2:$A$11,0))</f>
        <v>Health &amp; Beauty</v>
      </c>
      <c r="J76" s="19">
        <f>INDEX(Products!$E$2:$E$101,MATCH(C76,Products!$A$2:$A$101,0))</f>
        <v>38.61</v>
      </c>
      <c r="K76" s="19">
        <f t="shared" si="4"/>
        <v>115.83</v>
      </c>
      <c r="L76" s="19">
        <f t="shared" si="5"/>
        <v>145.71000000000004</v>
      </c>
    </row>
    <row r="77" spans="1:12" ht="15" customHeight="1" x14ac:dyDescent="0.25">
      <c r="A77" s="10">
        <v>76</v>
      </c>
      <c r="B77" s="10">
        <v>30</v>
      </c>
      <c r="C77" s="10">
        <v>49</v>
      </c>
      <c r="D77" s="10">
        <v>3</v>
      </c>
      <c r="E77" s="19">
        <v>30.6</v>
      </c>
      <c r="F77" s="10">
        <v>0.2</v>
      </c>
      <c r="G77" s="19">
        <f t="shared" si="3"/>
        <v>73.440000000000012</v>
      </c>
      <c r="H77" s="10">
        <f>INDEX(Products!$C$2:$C$101,MATCH(C77,Products!$A$2:$A$101,0))</f>
        <v>5</v>
      </c>
      <c r="I77" s="10" t="str">
        <f>INDEX(Categories!$B$2:$B$11,MATCH(H77,Categories!$A$2:$A$11,0))</f>
        <v>Home &amp; Kitchen</v>
      </c>
      <c r="J77" s="19">
        <f>INDEX(Products!$E$2:$E$101,MATCH(C77,Products!$A$2:$A$101,0))</f>
        <v>20.64</v>
      </c>
      <c r="K77" s="19">
        <f t="shared" si="4"/>
        <v>61.92</v>
      </c>
      <c r="L77" s="19">
        <f t="shared" si="5"/>
        <v>11.52000000000001</v>
      </c>
    </row>
    <row r="78" spans="1:12" ht="15" customHeight="1" x14ac:dyDescent="0.25">
      <c r="A78" s="10">
        <v>77</v>
      </c>
      <c r="B78" s="10">
        <v>31</v>
      </c>
      <c r="C78" s="10">
        <v>57</v>
      </c>
      <c r="D78" s="10">
        <v>5</v>
      </c>
      <c r="E78" s="19">
        <v>357.27</v>
      </c>
      <c r="F78" s="10">
        <v>0.2</v>
      </c>
      <c r="G78" s="19">
        <f t="shared" si="3"/>
        <v>1429.08</v>
      </c>
      <c r="H78" s="10">
        <f>INDEX(Products!$C$2:$C$101,MATCH(C78,Products!$A$2:$A$101,0))</f>
        <v>6</v>
      </c>
      <c r="I78" s="10" t="str">
        <f>INDEX(Categories!$B$2:$B$11,MATCH(H78,Categories!$A$2:$A$11,0))</f>
        <v>Sporting Goods</v>
      </c>
      <c r="J78" s="19">
        <f>INDEX(Products!$E$2:$E$101,MATCH(C78,Products!$A$2:$A$101,0))</f>
        <v>214.86</v>
      </c>
      <c r="K78" s="19">
        <f t="shared" si="4"/>
        <v>1074.3000000000002</v>
      </c>
      <c r="L78" s="19">
        <f t="shared" si="5"/>
        <v>354.77999999999975</v>
      </c>
    </row>
    <row r="79" spans="1:12" ht="15" customHeight="1" x14ac:dyDescent="0.25">
      <c r="A79" s="10">
        <v>78</v>
      </c>
      <c r="B79" s="10">
        <v>31</v>
      </c>
      <c r="C79" s="10">
        <v>79</v>
      </c>
      <c r="D79" s="10">
        <v>8</v>
      </c>
      <c r="E79" s="19">
        <v>369.82</v>
      </c>
      <c r="F79" s="10">
        <v>0</v>
      </c>
      <c r="G79" s="19">
        <f t="shared" si="3"/>
        <v>2958.56</v>
      </c>
      <c r="H79" s="10">
        <f>INDEX(Products!$C$2:$C$101,MATCH(C79,Products!$A$2:$A$101,0))</f>
        <v>8</v>
      </c>
      <c r="I79" s="10" t="str">
        <f>INDEX(Categories!$B$2:$B$11,MATCH(H79,Categories!$A$2:$A$11,0))</f>
        <v>Health &amp; Beauty</v>
      </c>
      <c r="J79" s="19">
        <f>INDEX(Products!$E$2:$E$101,MATCH(C79,Products!$A$2:$A$101,0))</f>
        <v>215.26</v>
      </c>
      <c r="K79" s="19">
        <f t="shared" si="4"/>
        <v>1722.08</v>
      </c>
      <c r="L79" s="19">
        <f t="shared" si="5"/>
        <v>1236.48</v>
      </c>
    </row>
    <row r="80" spans="1:12" ht="15" customHeight="1" x14ac:dyDescent="0.25">
      <c r="A80" s="10">
        <v>79</v>
      </c>
      <c r="B80" s="10">
        <v>32</v>
      </c>
      <c r="C80" s="10">
        <v>57</v>
      </c>
      <c r="D80" s="10">
        <v>7</v>
      </c>
      <c r="E80" s="19">
        <v>357.27</v>
      </c>
      <c r="F80" s="10">
        <v>0.1</v>
      </c>
      <c r="G80" s="19">
        <f t="shared" si="3"/>
        <v>2250.8009999999999</v>
      </c>
      <c r="H80" s="10">
        <f>INDEX(Products!$C$2:$C$101,MATCH(C80,Products!$A$2:$A$101,0))</f>
        <v>6</v>
      </c>
      <c r="I80" s="10" t="str">
        <f>INDEX(Categories!$B$2:$B$11,MATCH(H80,Categories!$A$2:$A$11,0))</f>
        <v>Sporting Goods</v>
      </c>
      <c r="J80" s="19">
        <f>INDEX(Products!$E$2:$E$101,MATCH(C80,Products!$A$2:$A$101,0))</f>
        <v>214.86</v>
      </c>
      <c r="K80" s="19">
        <f t="shared" si="4"/>
        <v>1504.02</v>
      </c>
      <c r="L80" s="19">
        <f t="shared" si="5"/>
        <v>746.78099999999995</v>
      </c>
    </row>
    <row r="81" spans="1:12" ht="15" customHeight="1" x14ac:dyDescent="0.25">
      <c r="A81" s="10">
        <v>80</v>
      </c>
      <c r="B81" s="10">
        <v>32</v>
      </c>
      <c r="C81" s="10">
        <v>60</v>
      </c>
      <c r="D81" s="10">
        <v>9</v>
      </c>
      <c r="E81" s="19">
        <v>313.82</v>
      </c>
      <c r="F81" s="10">
        <v>0.05</v>
      </c>
      <c r="G81" s="19">
        <f t="shared" si="3"/>
        <v>2683.1610000000001</v>
      </c>
      <c r="H81" s="10">
        <f>INDEX(Products!$C$2:$C$101,MATCH(C81,Products!$A$2:$A$101,0))</f>
        <v>6</v>
      </c>
      <c r="I81" s="10" t="str">
        <f>INDEX(Categories!$B$2:$B$11,MATCH(H81,Categories!$A$2:$A$11,0))</f>
        <v>Sporting Goods</v>
      </c>
      <c r="J81" s="19">
        <f>INDEX(Products!$E$2:$E$101,MATCH(C81,Products!$A$2:$A$101,0))</f>
        <v>165.44</v>
      </c>
      <c r="K81" s="19">
        <f t="shared" si="4"/>
        <v>1488.96</v>
      </c>
      <c r="L81" s="19">
        <f t="shared" si="5"/>
        <v>1194.201</v>
      </c>
    </row>
    <row r="82" spans="1:12" ht="15" customHeight="1" x14ac:dyDescent="0.25">
      <c r="A82" s="10">
        <v>81</v>
      </c>
      <c r="B82" s="10">
        <v>32</v>
      </c>
      <c r="C82" s="10">
        <v>99</v>
      </c>
      <c r="D82" s="10">
        <v>3</v>
      </c>
      <c r="E82" s="19">
        <v>329.4</v>
      </c>
      <c r="F82" s="10">
        <v>0.2</v>
      </c>
      <c r="G82" s="19">
        <f t="shared" si="3"/>
        <v>790.56</v>
      </c>
      <c r="H82" s="10">
        <f>INDEX(Products!$C$2:$C$101,MATCH(C82,Products!$A$2:$A$101,0))</f>
        <v>10</v>
      </c>
      <c r="I82" s="10" t="str">
        <f>INDEX(Categories!$B$2:$B$11,MATCH(H82,Categories!$A$2:$A$11,0))</f>
        <v>Groceries</v>
      </c>
      <c r="J82" s="19">
        <f>INDEX(Products!$E$2:$E$101,MATCH(C82,Products!$A$2:$A$101,0))</f>
        <v>208.13</v>
      </c>
      <c r="K82" s="19">
        <f t="shared" si="4"/>
        <v>624.39</v>
      </c>
      <c r="L82" s="19">
        <f t="shared" si="5"/>
        <v>166.16999999999996</v>
      </c>
    </row>
    <row r="83" spans="1:12" ht="15" customHeight="1" x14ac:dyDescent="0.25">
      <c r="A83" s="10">
        <v>82</v>
      </c>
      <c r="B83" s="10">
        <v>32</v>
      </c>
      <c r="C83" s="10">
        <v>37</v>
      </c>
      <c r="D83" s="10">
        <v>4</v>
      </c>
      <c r="E83" s="19">
        <v>262.99</v>
      </c>
      <c r="F83" s="10">
        <v>0.2</v>
      </c>
      <c r="G83" s="19">
        <f t="shared" si="3"/>
        <v>841.5680000000001</v>
      </c>
      <c r="H83" s="10">
        <f>INDEX(Products!$C$2:$C$101,MATCH(C83,Products!$A$2:$A$101,0))</f>
        <v>4</v>
      </c>
      <c r="I83" s="10" t="str">
        <f>INDEX(Categories!$B$2:$B$11,MATCH(H83,Categories!$A$2:$A$11,0))</f>
        <v>Apparel</v>
      </c>
      <c r="J83" s="19">
        <f>INDEX(Products!$E$2:$E$101,MATCH(C83,Products!$A$2:$A$101,0))</f>
        <v>144.79</v>
      </c>
      <c r="K83" s="19">
        <f t="shared" si="4"/>
        <v>579.16</v>
      </c>
      <c r="L83" s="19">
        <f t="shared" si="5"/>
        <v>262.40800000000013</v>
      </c>
    </row>
    <row r="84" spans="1:12" ht="15" customHeight="1" x14ac:dyDescent="0.25">
      <c r="A84" s="10">
        <v>83</v>
      </c>
      <c r="B84" s="10">
        <v>32</v>
      </c>
      <c r="C84" s="10">
        <v>100</v>
      </c>
      <c r="D84" s="10">
        <v>10</v>
      </c>
      <c r="E84" s="19">
        <v>313.44</v>
      </c>
      <c r="F84" s="10">
        <v>0</v>
      </c>
      <c r="G84" s="19">
        <f t="shared" si="3"/>
        <v>3134.4</v>
      </c>
      <c r="H84" s="10">
        <f>INDEX(Products!$C$2:$C$101,MATCH(C84,Products!$A$2:$A$101,0))</f>
        <v>10</v>
      </c>
      <c r="I84" s="10" t="str">
        <f>INDEX(Categories!$B$2:$B$11,MATCH(H84,Categories!$A$2:$A$11,0))</f>
        <v>Groceries</v>
      </c>
      <c r="J84" s="19">
        <f>INDEX(Products!$E$2:$E$101,MATCH(C84,Products!$A$2:$A$101,0))</f>
        <v>187.4</v>
      </c>
      <c r="K84" s="19">
        <f t="shared" si="4"/>
        <v>1874</v>
      </c>
      <c r="L84" s="19">
        <f t="shared" si="5"/>
        <v>1260.4000000000001</v>
      </c>
    </row>
    <row r="85" spans="1:12" ht="15" customHeight="1" x14ac:dyDescent="0.25">
      <c r="A85" s="10">
        <v>84</v>
      </c>
      <c r="B85" s="10">
        <v>33</v>
      </c>
      <c r="C85" s="10">
        <v>35</v>
      </c>
      <c r="D85" s="10">
        <v>9</v>
      </c>
      <c r="E85" s="19">
        <v>216.12</v>
      </c>
      <c r="F85" s="10">
        <v>0</v>
      </c>
      <c r="G85" s="19">
        <f t="shared" si="3"/>
        <v>1945.08</v>
      </c>
      <c r="H85" s="10">
        <f>INDEX(Products!$C$2:$C$101,MATCH(C85,Products!$A$2:$A$101,0))</f>
        <v>4</v>
      </c>
      <c r="I85" s="10" t="str">
        <f>INDEX(Categories!$B$2:$B$11,MATCH(H85,Categories!$A$2:$A$11,0))</f>
        <v>Apparel</v>
      </c>
      <c r="J85" s="19">
        <f>INDEX(Products!$E$2:$E$101,MATCH(C85,Products!$A$2:$A$101,0))</f>
        <v>134.93</v>
      </c>
      <c r="K85" s="19">
        <f t="shared" si="4"/>
        <v>1214.3700000000001</v>
      </c>
      <c r="L85" s="19">
        <f t="shared" si="5"/>
        <v>730.70999999999981</v>
      </c>
    </row>
    <row r="86" spans="1:12" ht="15" customHeight="1" x14ac:dyDescent="0.25">
      <c r="A86" s="10">
        <v>85</v>
      </c>
      <c r="B86" s="10">
        <v>33</v>
      </c>
      <c r="C86" s="10">
        <v>58</v>
      </c>
      <c r="D86" s="10">
        <v>7</v>
      </c>
      <c r="E86" s="19">
        <v>388.55</v>
      </c>
      <c r="F86" s="10">
        <v>0</v>
      </c>
      <c r="G86" s="19">
        <f t="shared" si="3"/>
        <v>2719.85</v>
      </c>
      <c r="H86" s="10">
        <f>INDEX(Products!$C$2:$C$101,MATCH(C86,Products!$A$2:$A$101,0))</f>
        <v>6</v>
      </c>
      <c r="I86" s="10" t="str">
        <f>INDEX(Categories!$B$2:$B$11,MATCH(H86,Categories!$A$2:$A$11,0))</f>
        <v>Sporting Goods</v>
      </c>
      <c r="J86" s="19">
        <f>INDEX(Products!$E$2:$E$101,MATCH(C86,Products!$A$2:$A$101,0))</f>
        <v>203.95</v>
      </c>
      <c r="K86" s="19">
        <f t="shared" si="4"/>
        <v>1427.6499999999999</v>
      </c>
      <c r="L86" s="19">
        <f t="shared" si="5"/>
        <v>1292.2</v>
      </c>
    </row>
    <row r="87" spans="1:12" ht="15" customHeight="1" x14ac:dyDescent="0.25">
      <c r="A87" s="10">
        <v>86</v>
      </c>
      <c r="B87" s="10">
        <v>34</v>
      </c>
      <c r="C87" s="10">
        <v>65</v>
      </c>
      <c r="D87" s="10">
        <v>2</v>
      </c>
      <c r="E87" s="19">
        <v>167.19</v>
      </c>
      <c r="F87" s="10">
        <v>0</v>
      </c>
      <c r="G87" s="19">
        <f t="shared" si="3"/>
        <v>334.38</v>
      </c>
      <c r="H87" s="10">
        <f>INDEX(Products!$C$2:$C$101,MATCH(C87,Products!$A$2:$A$101,0))</f>
        <v>7</v>
      </c>
      <c r="I87" s="10" t="str">
        <f>INDEX(Categories!$B$2:$B$11,MATCH(H87,Categories!$A$2:$A$11,0))</f>
        <v>Toys &amp; Games</v>
      </c>
      <c r="J87" s="19">
        <f>INDEX(Products!$E$2:$E$101,MATCH(C87,Products!$A$2:$A$101,0))</f>
        <v>116.98</v>
      </c>
      <c r="K87" s="19">
        <f t="shared" si="4"/>
        <v>233.96</v>
      </c>
      <c r="L87" s="19">
        <f t="shared" si="5"/>
        <v>100.41999999999999</v>
      </c>
    </row>
    <row r="88" spans="1:12" ht="15" customHeight="1" x14ac:dyDescent="0.25">
      <c r="A88" s="10">
        <v>87</v>
      </c>
      <c r="B88" s="10">
        <v>34</v>
      </c>
      <c r="C88" s="10">
        <v>48</v>
      </c>
      <c r="D88" s="10">
        <v>4</v>
      </c>
      <c r="E88" s="19">
        <v>205.11</v>
      </c>
      <c r="F88" s="10">
        <v>0</v>
      </c>
      <c r="G88" s="19">
        <f t="shared" si="3"/>
        <v>820.44</v>
      </c>
      <c r="H88" s="10">
        <f>INDEX(Products!$C$2:$C$101,MATCH(C88,Products!$A$2:$A$101,0))</f>
        <v>5</v>
      </c>
      <c r="I88" s="10" t="str">
        <f>INDEX(Categories!$B$2:$B$11,MATCH(H88,Categories!$A$2:$A$11,0))</f>
        <v>Home &amp; Kitchen</v>
      </c>
      <c r="J88" s="19">
        <f>INDEX(Products!$E$2:$E$101,MATCH(C88,Products!$A$2:$A$101,0))</f>
        <v>108.01</v>
      </c>
      <c r="K88" s="19">
        <f t="shared" si="4"/>
        <v>432.04</v>
      </c>
      <c r="L88" s="19">
        <f t="shared" si="5"/>
        <v>388.40000000000003</v>
      </c>
    </row>
    <row r="89" spans="1:12" ht="15" customHeight="1" x14ac:dyDescent="0.25">
      <c r="A89" s="10">
        <v>88</v>
      </c>
      <c r="B89" s="10">
        <v>34</v>
      </c>
      <c r="C89" s="10">
        <v>31</v>
      </c>
      <c r="D89" s="10">
        <v>6</v>
      </c>
      <c r="E89" s="19">
        <v>93.27</v>
      </c>
      <c r="F89" s="10">
        <v>0</v>
      </c>
      <c r="G89" s="19">
        <f t="shared" si="3"/>
        <v>559.62</v>
      </c>
      <c r="H89" s="10">
        <f>INDEX(Products!$C$2:$C$101,MATCH(C89,Products!$A$2:$A$101,0))</f>
        <v>4</v>
      </c>
      <c r="I89" s="10" t="str">
        <f>INDEX(Categories!$B$2:$B$11,MATCH(H89,Categories!$A$2:$A$11,0))</f>
        <v>Apparel</v>
      </c>
      <c r="J89" s="19">
        <f>INDEX(Products!$E$2:$E$101,MATCH(C89,Products!$A$2:$A$101,0))</f>
        <v>65.099999999999994</v>
      </c>
      <c r="K89" s="19">
        <f t="shared" si="4"/>
        <v>390.59999999999997</v>
      </c>
      <c r="L89" s="19">
        <f t="shared" si="5"/>
        <v>169.02000000000004</v>
      </c>
    </row>
    <row r="90" spans="1:12" ht="15" customHeight="1" x14ac:dyDescent="0.25">
      <c r="A90" s="10">
        <v>89</v>
      </c>
      <c r="B90" s="10">
        <v>34</v>
      </c>
      <c r="C90" s="10">
        <v>50</v>
      </c>
      <c r="D90" s="10">
        <v>6</v>
      </c>
      <c r="E90" s="19">
        <v>411.05</v>
      </c>
      <c r="F90" s="10">
        <v>0.2</v>
      </c>
      <c r="G90" s="19">
        <f t="shared" si="3"/>
        <v>1973.0400000000002</v>
      </c>
      <c r="H90" s="10">
        <f>INDEX(Products!$C$2:$C$101,MATCH(C90,Products!$A$2:$A$101,0))</f>
        <v>5</v>
      </c>
      <c r="I90" s="10" t="str">
        <f>INDEX(Categories!$B$2:$B$11,MATCH(H90,Categories!$A$2:$A$11,0))</f>
        <v>Home &amp; Kitchen</v>
      </c>
      <c r="J90" s="19">
        <f>INDEX(Products!$E$2:$E$101,MATCH(C90,Products!$A$2:$A$101,0))</f>
        <v>230.53</v>
      </c>
      <c r="K90" s="19">
        <f t="shared" si="4"/>
        <v>1383.18</v>
      </c>
      <c r="L90" s="19">
        <f t="shared" si="5"/>
        <v>589.86000000000013</v>
      </c>
    </row>
    <row r="91" spans="1:12" ht="15" customHeight="1" x14ac:dyDescent="0.25">
      <c r="A91" s="10">
        <v>90</v>
      </c>
      <c r="B91" s="10">
        <v>35</v>
      </c>
      <c r="C91" s="10">
        <v>58</v>
      </c>
      <c r="D91" s="10">
        <v>1</v>
      </c>
      <c r="E91" s="19">
        <v>388.55</v>
      </c>
      <c r="F91" s="10">
        <v>0</v>
      </c>
      <c r="G91" s="19">
        <f t="shared" si="3"/>
        <v>388.55</v>
      </c>
      <c r="H91" s="10">
        <f>INDEX(Products!$C$2:$C$101,MATCH(C91,Products!$A$2:$A$101,0))</f>
        <v>6</v>
      </c>
      <c r="I91" s="10" t="str">
        <f>INDEX(Categories!$B$2:$B$11,MATCH(H91,Categories!$A$2:$A$11,0))</f>
        <v>Sporting Goods</v>
      </c>
      <c r="J91" s="19">
        <f>INDEX(Products!$E$2:$E$101,MATCH(C91,Products!$A$2:$A$101,0))</f>
        <v>203.95</v>
      </c>
      <c r="K91" s="19">
        <f t="shared" si="4"/>
        <v>203.95</v>
      </c>
      <c r="L91" s="19">
        <f t="shared" si="5"/>
        <v>184.60000000000002</v>
      </c>
    </row>
    <row r="92" spans="1:12" ht="15" customHeight="1" x14ac:dyDescent="0.25">
      <c r="A92" s="10">
        <v>91</v>
      </c>
      <c r="B92" s="10">
        <v>35</v>
      </c>
      <c r="C92" s="10">
        <v>79</v>
      </c>
      <c r="D92" s="10">
        <v>4</v>
      </c>
      <c r="E92" s="19">
        <v>369.82</v>
      </c>
      <c r="F92" s="10">
        <v>0.2</v>
      </c>
      <c r="G92" s="19">
        <f t="shared" si="3"/>
        <v>1183.424</v>
      </c>
      <c r="H92" s="10">
        <f>INDEX(Products!$C$2:$C$101,MATCH(C92,Products!$A$2:$A$101,0))</f>
        <v>8</v>
      </c>
      <c r="I92" s="10" t="str">
        <f>INDEX(Categories!$B$2:$B$11,MATCH(H92,Categories!$A$2:$A$11,0))</f>
        <v>Health &amp; Beauty</v>
      </c>
      <c r="J92" s="19">
        <f>INDEX(Products!$E$2:$E$101,MATCH(C92,Products!$A$2:$A$101,0))</f>
        <v>215.26</v>
      </c>
      <c r="K92" s="19">
        <f t="shared" si="4"/>
        <v>861.04</v>
      </c>
      <c r="L92" s="19">
        <f t="shared" si="5"/>
        <v>322.38400000000001</v>
      </c>
    </row>
    <row r="93" spans="1:12" ht="15" customHeight="1" x14ac:dyDescent="0.25">
      <c r="A93" s="10">
        <v>92</v>
      </c>
      <c r="B93" s="10">
        <v>35</v>
      </c>
      <c r="C93" s="10">
        <v>1</v>
      </c>
      <c r="D93" s="10">
        <v>3</v>
      </c>
      <c r="E93" s="19">
        <v>384.09</v>
      </c>
      <c r="F93" s="10">
        <v>0.1</v>
      </c>
      <c r="G93" s="19">
        <f t="shared" si="3"/>
        <v>1037.0430000000001</v>
      </c>
      <c r="H93" s="10">
        <f>INDEX(Products!$C$2:$C$101,MATCH(C93,Products!$A$2:$A$101,0))</f>
        <v>1</v>
      </c>
      <c r="I93" s="10" t="str">
        <f>INDEX(Categories!$B$2:$B$11,MATCH(H93,Categories!$A$2:$A$11,0))</f>
        <v>Electronics</v>
      </c>
      <c r="J93" s="19">
        <f>INDEX(Products!$E$2:$E$101,MATCH(C93,Products!$A$2:$A$101,0))</f>
        <v>235.86</v>
      </c>
      <c r="K93" s="19">
        <f t="shared" si="4"/>
        <v>707.58</v>
      </c>
      <c r="L93" s="19">
        <f t="shared" si="5"/>
        <v>329.46300000000008</v>
      </c>
    </row>
    <row r="94" spans="1:12" ht="15" customHeight="1" x14ac:dyDescent="0.25">
      <c r="A94" s="10">
        <v>93</v>
      </c>
      <c r="B94" s="10">
        <v>35</v>
      </c>
      <c r="C94" s="10">
        <v>11</v>
      </c>
      <c r="D94" s="10">
        <v>10</v>
      </c>
      <c r="E94" s="19">
        <v>417.1</v>
      </c>
      <c r="F94" s="10">
        <v>0.1</v>
      </c>
      <c r="G94" s="19">
        <f t="shared" si="3"/>
        <v>3753.9</v>
      </c>
      <c r="H94" s="10">
        <f>INDEX(Products!$C$2:$C$101,MATCH(C94,Products!$A$2:$A$101,0))</f>
        <v>2</v>
      </c>
      <c r="I94" s="10" t="str">
        <f>INDEX(Categories!$B$2:$B$11,MATCH(H94,Categories!$A$2:$A$11,0))</f>
        <v>Office Supplies</v>
      </c>
      <c r="J94" s="19">
        <f>INDEX(Products!$E$2:$E$101,MATCH(C94,Products!$A$2:$A$101,0))</f>
        <v>210.29</v>
      </c>
      <c r="K94" s="19">
        <f t="shared" si="4"/>
        <v>2102.9</v>
      </c>
      <c r="L94" s="19">
        <f t="shared" si="5"/>
        <v>1651</v>
      </c>
    </row>
    <row r="95" spans="1:12" ht="15" customHeight="1" x14ac:dyDescent="0.25">
      <c r="A95" s="10">
        <v>94</v>
      </c>
      <c r="B95" s="10">
        <v>36</v>
      </c>
      <c r="C95" s="10">
        <v>54</v>
      </c>
      <c r="D95" s="10">
        <v>10</v>
      </c>
      <c r="E95" s="19">
        <v>398.16</v>
      </c>
      <c r="F95" s="10">
        <v>0.05</v>
      </c>
      <c r="G95" s="19">
        <f t="shared" si="3"/>
        <v>3782.52</v>
      </c>
      <c r="H95" s="10">
        <f>INDEX(Products!$C$2:$C$101,MATCH(C95,Products!$A$2:$A$101,0))</f>
        <v>6</v>
      </c>
      <c r="I95" s="10" t="str">
        <f>INDEX(Categories!$B$2:$B$11,MATCH(H95,Categories!$A$2:$A$11,0))</f>
        <v>Sporting Goods</v>
      </c>
      <c r="J95" s="19">
        <f>INDEX(Products!$E$2:$E$101,MATCH(C95,Products!$A$2:$A$101,0))</f>
        <v>205.89</v>
      </c>
      <c r="K95" s="19">
        <f t="shared" si="4"/>
        <v>2058.8999999999996</v>
      </c>
      <c r="L95" s="19">
        <f t="shared" si="5"/>
        <v>1723.6200000000003</v>
      </c>
    </row>
    <row r="96" spans="1:12" ht="15" customHeight="1" x14ac:dyDescent="0.25">
      <c r="A96" s="10">
        <v>95</v>
      </c>
      <c r="B96" s="10">
        <v>36</v>
      </c>
      <c r="C96" s="10">
        <v>82</v>
      </c>
      <c r="D96" s="10">
        <v>2</v>
      </c>
      <c r="E96" s="19">
        <v>390.74</v>
      </c>
      <c r="F96" s="10">
        <v>0</v>
      </c>
      <c r="G96" s="19">
        <f t="shared" si="3"/>
        <v>781.48</v>
      </c>
      <c r="H96" s="10">
        <f>INDEX(Products!$C$2:$C$101,MATCH(C96,Products!$A$2:$A$101,0))</f>
        <v>9</v>
      </c>
      <c r="I96" s="10" t="str">
        <f>INDEX(Categories!$B$2:$B$11,MATCH(H96,Categories!$A$2:$A$11,0))</f>
        <v>Automotive Parts</v>
      </c>
      <c r="J96" s="19">
        <f>INDEX(Products!$E$2:$E$101,MATCH(C96,Products!$A$2:$A$101,0))</f>
        <v>218.53</v>
      </c>
      <c r="K96" s="19">
        <f t="shared" si="4"/>
        <v>437.06</v>
      </c>
      <c r="L96" s="19">
        <f t="shared" si="5"/>
        <v>344.42</v>
      </c>
    </row>
    <row r="97" spans="1:12" ht="15" customHeight="1" x14ac:dyDescent="0.25">
      <c r="A97" s="10">
        <v>96</v>
      </c>
      <c r="B97" s="10">
        <v>37</v>
      </c>
      <c r="C97" s="10">
        <v>46</v>
      </c>
      <c r="D97" s="10">
        <v>2</v>
      </c>
      <c r="E97" s="19">
        <v>125.01</v>
      </c>
      <c r="F97" s="10">
        <v>0.1</v>
      </c>
      <c r="G97" s="19">
        <f t="shared" si="3"/>
        <v>225.018</v>
      </c>
      <c r="H97" s="10">
        <f>INDEX(Products!$C$2:$C$101,MATCH(C97,Products!$A$2:$A$101,0))</f>
        <v>5</v>
      </c>
      <c r="I97" s="10" t="str">
        <f>INDEX(Categories!$B$2:$B$11,MATCH(H97,Categories!$A$2:$A$11,0))</f>
        <v>Home &amp; Kitchen</v>
      </c>
      <c r="J97" s="19">
        <f>INDEX(Products!$E$2:$E$101,MATCH(C97,Products!$A$2:$A$101,0))</f>
        <v>60.17</v>
      </c>
      <c r="K97" s="19">
        <f t="shared" si="4"/>
        <v>120.34</v>
      </c>
      <c r="L97" s="19">
        <f t="shared" si="5"/>
        <v>104.678</v>
      </c>
    </row>
    <row r="98" spans="1:12" ht="15" customHeight="1" x14ac:dyDescent="0.25">
      <c r="A98" s="10">
        <v>97</v>
      </c>
      <c r="B98" s="10">
        <v>37</v>
      </c>
      <c r="C98" s="10">
        <v>31</v>
      </c>
      <c r="D98" s="10">
        <v>6</v>
      </c>
      <c r="E98" s="19">
        <v>93.27</v>
      </c>
      <c r="F98" s="10">
        <v>0</v>
      </c>
      <c r="G98" s="19">
        <f t="shared" si="3"/>
        <v>559.62</v>
      </c>
      <c r="H98" s="10">
        <f>INDEX(Products!$C$2:$C$101,MATCH(C98,Products!$A$2:$A$101,0))</f>
        <v>4</v>
      </c>
      <c r="I98" s="10" t="str">
        <f>INDEX(Categories!$B$2:$B$11,MATCH(H98,Categories!$A$2:$A$11,0))</f>
        <v>Apparel</v>
      </c>
      <c r="J98" s="19">
        <f>INDEX(Products!$E$2:$E$101,MATCH(C98,Products!$A$2:$A$101,0))</f>
        <v>65.099999999999994</v>
      </c>
      <c r="K98" s="19">
        <f t="shared" si="4"/>
        <v>390.59999999999997</v>
      </c>
      <c r="L98" s="19">
        <f t="shared" si="5"/>
        <v>169.02000000000004</v>
      </c>
    </row>
    <row r="99" spans="1:12" ht="15" customHeight="1" x14ac:dyDescent="0.25">
      <c r="A99" s="10">
        <v>98</v>
      </c>
      <c r="B99" s="10">
        <v>37</v>
      </c>
      <c r="C99" s="10">
        <v>74</v>
      </c>
      <c r="D99" s="10">
        <v>9</v>
      </c>
      <c r="E99" s="19">
        <v>199.68</v>
      </c>
      <c r="F99" s="10">
        <v>0.1</v>
      </c>
      <c r="G99" s="19">
        <f t="shared" si="3"/>
        <v>1617.4080000000001</v>
      </c>
      <c r="H99" s="10">
        <f>INDEX(Products!$C$2:$C$101,MATCH(C99,Products!$A$2:$A$101,0))</f>
        <v>8</v>
      </c>
      <c r="I99" s="10" t="str">
        <f>INDEX(Categories!$B$2:$B$11,MATCH(H99,Categories!$A$2:$A$11,0))</f>
        <v>Health &amp; Beauty</v>
      </c>
      <c r="J99" s="19">
        <f>INDEX(Products!$E$2:$E$101,MATCH(C99,Products!$A$2:$A$101,0))</f>
        <v>98.36</v>
      </c>
      <c r="K99" s="19">
        <f t="shared" si="4"/>
        <v>885.24</v>
      </c>
      <c r="L99" s="19">
        <f t="shared" si="5"/>
        <v>732.16800000000012</v>
      </c>
    </row>
    <row r="100" spans="1:12" ht="15" customHeight="1" x14ac:dyDescent="0.25">
      <c r="A100" s="10">
        <v>99</v>
      </c>
      <c r="B100" s="10">
        <v>37</v>
      </c>
      <c r="C100" s="10">
        <v>54</v>
      </c>
      <c r="D100" s="10">
        <v>9</v>
      </c>
      <c r="E100" s="19">
        <v>398.16</v>
      </c>
      <c r="F100" s="10">
        <v>0.2</v>
      </c>
      <c r="G100" s="19">
        <f t="shared" si="3"/>
        <v>2866.7520000000004</v>
      </c>
      <c r="H100" s="10">
        <f>INDEX(Products!$C$2:$C$101,MATCH(C100,Products!$A$2:$A$101,0))</f>
        <v>6</v>
      </c>
      <c r="I100" s="10" t="str">
        <f>INDEX(Categories!$B$2:$B$11,MATCH(H100,Categories!$A$2:$A$11,0))</f>
        <v>Sporting Goods</v>
      </c>
      <c r="J100" s="19">
        <f>INDEX(Products!$E$2:$E$101,MATCH(C100,Products!$A$2:$A$101,0))</f>
        <v>205.89</v>
      </c>
      <c r="K100" s="19">
        <f t="shared" si="4"/>
        <v>1853.0099999999998</v>
      </c>
      <c r="L100" s="19">
        <f t="shared" si="5"/>
        <v>1013.7420000000006</v>
      </c>
    </row>
    <row r="101" spans="1:12" ht="15" customHeight="1" x14ac:dyDescent="0.25">
      <c r="A101" s="10">
        <v>100</v>
      </c>
      <c r="B101" s="10">
        <v>37</v>
      </c>
      <c r="C101" s="10">
        <v>24</v>
      </c>
      <c r="D101" s="10">
        <v>9</v>
      </c>
      <c r="E101" s="19">
        <v>158.72999999999999</v>
      </c>
      <c r="F101" s="10">
        <v>0.1</v>
      </c>
      <c r="G101" s="19">
        <f t="shared" si="3"/>
        <v>1285.713</v>
      </c>
      <c r="H101" s="10">
        <f>INDEX(Products!$C$2:$C$101,MATCH(C101,Products!$A$2:$A$101,0))</f>
        <v>3</v>
      </c>
      <c r="I101" s="10" t="str">
        <f>INDEX(Categories!$B$2:$B$11,MATCH(H101,Categories!$A$2:$A$11,0))</f>
        <v>Furniture</v>
      </c>
      <c r="J101" s="19">
        <f>INDEX(Products!$E$2:$E$101,MATCH(C101,Products!$A$2:$A$101,0))</f>
        <v>86.09</v>
      </c>
      <c r="K101" s="19">
        <f t="shared" si="4"/>
        <v>774.81000000000006</v>
      </c>
      <c r="L101" s="19">
        <f t="shared" si="5"/>
        <v>510.90299999999991</v>
      </c>
    </row>
    <row r="102" spans="1:12" ht="15" customHeight="1" x14ac:dyDescent="0.25">
      <c r="A102" s="10">
        <v>101</v>
      </c>
      <c r="B102" s="10">
        <v>38</v>
      </c>
      <c r="C102" s="10">
        <v>96</v>
      </c>
      <c r="D102" s="10">
        <v>2</v>
      </c>
      <c r="E102" s="19">
        <v>266.72000000000003</v>
      </c>
      <c r="F102" s="10">
        <v>0</v>
      </c>
      <c r="G102" s="19">
        <f t="shared" si="3"/>
        <v>533.44000000000005</v>
      </c>
      <c r="H102" s="10">
        <f>INDEX(Products!$C$2:$C$101,MATCH(C102,Products!$A$2:$A$101,0))</f>
        <v>10</v>
      </c>
      <c r="I102" s="10" t="str">
        <f>INDEX(Categories!$B$2:$B$11,MATCH(H102,Categories!$A$2:$A$11,0))</f>
        <v>Groceries</v>
      </c>
      <c r="J102" s="19">
        <f>INDEX(Products!$E$2:$E$101,MATCH(C102,Products!$A$2:$A$101,0))</f>
        <v>162.65</v>
      </c>
      <c r="K102" s="19">
        <f t="shared" si="4"/>
        <v>325.3</v>
      </c>
      <c r="L102" s="19">
        <f t="shared" si="5"/>
        <v>208.14000000000004</v>
      </c>
    </row>
    <row r="103" spans="1:12" ht="15" customHeight="1" x14ac:dyDescent="0.25">
      <c r="A103" s="10">
        <v>102</v>
      </c>
      <c r="B103" s="10">
        <v>38</v>
      </c>
      <c r="C103" s="10">
        <v>3</v>
      </c>
      <c r="D103" s="10">
        <v>4</v>
      </c>
      <c r="E103" s="19">
        <v>101.78</v>
      </c>
      <c r="F103" s="10">
        <v>0.15</v>
      </c>
      <c r="G103" s="19">
        <f t="shared" si="3"/>
        <v>346.05200000000002</v>
      </c>
      <c r="H103" s="10">
        <f>INDEX(Products!$C$2:$C$101,MATCH(C103,Products!$A$2:$A$101,0))</f>
        <v>1</v>
      </c>
      <c r="I103" s="10" t="str">
        <f>INDEX(Categories!$B$2:$B$11,MATCH(H103,Categories!$A$2:$A$11,0))</f>
        <v>Electronics</v>
      </c>
      <c r="J103" s="19">
        <f>INDEX(Products!$E$2:$E$101,MATCH(C103,Products!$A$2:$A$101,0))</f>
        <v>57.2</v>
      </c>
      <c r="K103" s="19">
        <f t="shared" si="4"/>
        <v>228.8</v>
      </c>
      <c r="L103" s="19">
        <f t="shared" si="5"/>
        <v>117.25200000000001</v>
      </c>
    </row>
    <row r="104" spans="1:12" ht="15" customHeight="1" x14ac:dyDescent="0.25">
      <c r="A104" s="10">
        <v>103</v>
      </c>
      <c r="B104" s="10">
        <v>38</v>
      </c>
      <c r="C104" s="10">
        <v>46</v>
      </c>
      <c r="D104" s="10">
        <v>2</v>
      </c>
      <c r="E104" s="19">
        <v>125.01</v>
      </c>
      <c r="F104" s="10">
        <v>0.2</v>
      </c>
      <c r="G104" s="19">
        <f t="shared" si="3"/>
        <v>200.01600000000002</v>
      </c>
      <c r="H104" s="10">
        <f>INDEX(Products!$C$2:$C$101,MATCH(C104,Products!$A$2:$A$101,0))</f>
        <v>5</v>
      </c>
      <c r="I104" s="10" t="str">
        <f>INDEX(Categories!$B$2:$B$11,MATCH(H104,Categories!$A$2:$A$11,0))</f>
        <v>Home &amp; Kitchen</v>
      </c>
      <c r="J104" s="19">
        <f>INDEX(Products!$E$2:$E$101,MATCH(C104,Products!$A$2:$A$101,0))</f>
        <v>60.17</v>
      </c>
      <c r="K104" s="19">
        <f t="shared" si="4"/>
        <v>120.34</v>
      </c>
      <c r="L104" s="19">
        <f t="shared" si="5"/>
        <v>79.676000000000016</v>
      </c>
    </row>
    <row r="105" spans="1:12" ht="15" customHeight="1" x14ac:dyDescent="0.25">
      <c r="A105" s="10">
        <v>104</v>
      </c>
      <c r="B105" s="10">
        <v>39</v>
      </c>
      <c r="C105" s="10">
        <v>83</v>
      </c>
      <c r="D105" s="10">
        <v>8</v>
      </c>
      <c r="E105" s="19">
        <v>113.19</v>
      </c>
      <c r="F105" s="10">
        <v>0.15</v>
      </c>
      <c r="G105" s="19">
        <f t="shared" si="3"/>
        <v>769.69200000000001</v>
      </c>
      <c r="H105" s="10">
        <f>INDEX(Products!$C$2:$C$101,MATCH(C105,Products!$A$2:$A$101,0))</f>
        <v>9</v>
      </c>
      <c r="I105" s="10" t="str">
        <f>INDEX(Categories!$B$2:$B$11,MATCH(H105,Categories!$A$2:$A$11,0))</f>
        <v>Automotive Parts</v>
      </c>
      <c r="J105" s="19">
        <f>INDEX(Products!$E$2:$E$101,MATCH(C105,Products!$A$2:$A$101,0))</f>
        <v>83.12</v>
      </c>
      <c r="K105" s="19">
        <f t="shared" si="4"/>
        <v>664.96</v>
      </c>
      <c r="L105" s="19">
        <f t="shared" si="5"/>
        <v>104.73199999999997</v>
      </c>
    </row>
    <row r="106" spans="1:12" ht="15" customHeight="1" x14ac:dyDescent="0.25">
      <c r="A106" s="10">
        <v>105</v>
      </c>
      <c r="B106" s="10">
        <v>39</v>
      </c>
      <c r="C106" s="10">
        <v>23</v>
      </c>
      <c r="D106" s="10">
        <v>8</v>
      </c>
      <c r="E106" s="19">
        <v>346.21</v>
      </c>
      <c r="F106" s="10">
        <v>0.15</v>
      </c>
      <c r="G106" s="19">
        <f t="shared" si="3"/>
        <v>2354.2279999999996</v>
      </c>
      <c r="H106" s="10">
        <f>INDEX(Products!$C$2:$C$101,MATCH(C106,Products!$A$2:$A$101,0))</f>
        <v>3</v>
      </c>
      <c r="I106" s="10" t="str">
        <f>INDEX(Categories!$B$2:$B$11,MATCH(H106,Categories!$A$2:$A$11,0))</f>
        <v>Furniture</v>
      </c>
      <c r="J106" s="19">
        <f>INDEX(Products!$E$2:$E$101,MATCH(C106,Products!$A$2:$A$101,0))</f>
        <v>220.76</v>
      </c>
      <c r="K106" s="19">
        <f t="shared" si="4"/>
        <v>1766.08</v>
      </c>
      <c r="L106" s="19">
        <f t="shared" si="5"/>
        <v>588.14799999999968</v>
      </c>
    </row>
    <row r="107" spans="1:12" ht="15" customHeight="1" x14ac:dyDescent="0.25">
      <c r="A107" s="10">
        <v>106</v>
      </c>
      <c r="B107" s="10">
        <v>39</v>
      </c>
      <c r="C107" s="10">
        <v>100</v>
      </c>
      <c r="D107" s="10">
        <v>3</v>
      </c>
      <c r="E107" s="19">
        <v>313.44</v>
      </c>
      <c r="F107" s="10">
        <v>0.2</v>
      </c>
      <c r="G107" s="19">
        <f t="shared" si="3"/>
        <v>752.25599999999997</v>
      </c>
      <c r="H107" s="10">
        <f>INDEX(Products!$C$2:$C$101,MATCH(C107,Products!$A$2:$A$101,0))</f>
        <v>10</v>
      </c>
      <c r="I107" s="10" t="str">
        <f>INDEX(Categories!$B$2:$B$11,MATCH(H107,Categories!$A$2:$A$11,0))</f>
        <v>Groceries</v>
      </c>
      <c r="J107" s="19">
        <f>INDEX(Products!$E$2:$E$101,MATCH(C107,Products!$A$2:$A$101,0))</f>
        <v>187.4</v>
      </c>
      <c r="K107" s="19">
        <f t="shared" si="4"/>
        <v>562.20000000000005</v>
      </c>
      <c r="L107" s="19">
        <f t="shared" si="5"/>
        <v>190.05599999999993</v>
      </c>
    </row>
    <row r="108" spans="1:12" ht="15" customHeight="1" x14ac:dyDescent="0.25">
      <c r="A108" s="10">
        <v>107</v>
      </c>
      <c r="B108" s="10">
        <v>40</v>
      </c>
      <c r="C108" s="10">
        <v>6</v>
      </c>
      <c r="D108" s="10">
        <v>5</v>
      </c>
      <c r="E108" s="19">
        <v>234.43</v>
      </c>
      <c r="F108" s="10">
        <v>0.1</v>
      </c>
      <c r="G108" s="19">
        <f t="shared" si="3"/>
        <v>1054.9350000000002</v>
      </c>
      <c r="H108" s="10">
        <f>INDEX(Products!$C$2:$C$101,MATCH(C108,Products!$A$2:$A$101,0))</f>
        <v>1</v>
      </c>
      <c r="I108" s="10" t="str">
        <f>INDEX(Categories!$B$2:$B$11,MATCH(H108,Categories!$A$2:$A$11,0))</f>
        <v>Electronics</v>
      </c>
      <c r="J108" s="19">
        <f>INDEX(Products!$E$2:$E$101,MATCH(C108,Products!$A$2:$A$101,0))</f>
        <v>161.76</v>
      </c>
      <c r="K108" s="19">
        <f t="shared" si="4"/>
        <v>808.8</v>
      </c>
      <c r="L108" s="19">
        <f t="shared" si="5"/>
        <v>246.13500000000022</v>
      </c>
    </row>
    <row r="109" spans="1:12" ht="15" customHeight="1" x14ac:dyDescent="0.25">
      <c r="A109" s="10">
        <v>108</v>
      </c>
      <c r="B109" s="10">
        <v>40</v>
      </c>
      <c r="C109" s="10">
        <v>41</v>
      </c>
      <c r="D109" s="10">
        <v>7</v>
      </c>
      <c r="E109" s="19">
        <v>331.46</v>
      </c>
      <c r="F109" s="10">
        <v>0.2</v>
      </c>
      <c r="G109" s="19">
        <f t="shared" si="3"/>
        <v>1856.1759999999999</v>
      </c>
      <c r="H109" s="10">
        <f>INDEX(Products!$C$2:$C$101,MATCH(C109,Products!$A$2:$A$101,0))</f>
        <v>5</v>
      </c>
      <c r="I109" s="10" t="str">
        <f>INDEX(Categories!$B$2:$B$11,MATCH(H109,Categories!$A$2:$A$11,0))</f>
        <v>Home &amp; Kitchen</v>
      </c>
      <c r="J109" s="19">
        <f>INDEX(Products!$E$2:$E$101,MATCH(C109,Products!$A$2:$A$101,0))</f>
        <v>152.76</v>
      </c>
      <c r="K109" s="19">
        <f t="shared" si="4"/>
        <v>1069.32</v>
      </c>
      <c r="L109" s="19">
        <f t="shared" si="5"/>
        <v>786.85599999999999</v>
      </c>
    </row>
    <row r="110" spans="1:12" ht="15" customHeight="1" x14ac:dyDescent="0.25">
      <c r="A110" s="10">
        <v>109</v>
      </c>
      <c r="B110" s="10">
        <v>41</v>
      </c>
      <c r="C110" s="10">
        <v>35</v>
      </c>
      <c r="D110" s="10">
        <v>7</v>
      </c>
      <c r="E110" s="19">
        <v>216.12</v>
      </c>
      <c r="F110" s="10">
        <v>0.05</v>
      </c>
      <c r="G110" s="19">
        <f t="shared" si="3"/>
        <v>1437.1980000000001</v>
      </c>
      <c r="H110" s="10">
        <f>INDEX(Products!$C$2:$C$101,MATCH(C110,Products!$A$2:$A$101,0))</f>
        <v>4</v>
      </c>
      <c r="I110" s="10" t="str">
        <f>INDEX(Categories!$B$2:$B$11,MATCH(H110,Categories!$A$2:$A$11,0))</f>
        <v>Apparel</v>
      </c>
      <c r="J110" s="19">
        <f>INDEX(Products!$E$2:$E$101,MATCH(C110,Products!$A$2:$A$101,0))</f>
        <v>134.93</v>
      </c>
      <c r="K110" s="19">
        <f t="shared" si="4"/>
        <v>944.51</v>
      </c>
      <c r="L110" s="19">
        <f t="shared" si="5"/>
        <v>492.6880000000001</v>
      </c>
    </row>
    <row r="111" spans="1:12" ht="15" customHeight="1" x14ac:dyDescent="0.25">
      <c r="A111" s="10">
        <v>110</v>
      </c>
      <c r="B111" s="10">
        <v>41</v>
      </c>
      <c r="C111" s="10">
        <v>16</v>
      </c>
      <c r="D111" s="10">
        <v>8</v>
      </c>
      <c r="E111" s="19">
        <v>345.42</v>
      </c>
      <c r="F111" s="10">
        <v>0.05</v>
      </c>
      <c r="G111" s="19">
        <f t="shared" si="3"/>
        <v>2625.192</v>
      </c>
      <c r="H111" s="10">
        <f>INDEX(Products!$C$2:$C$101,MATCH(C111,Products!$A$2:$A$101,0))</f>
        <v>2</v>
      </c>
      <c r="I111" s="10" t="str">
        <f>INDEX(Categories!$B$2:$B$11,MATCH(H111,Categories!$A$2:$A$11,0))</f>
        <v>Office Supplies</v>
      </c>
      <c r="J111" s="19">
        <f>INDEX(Products!$E$2:$E$101,MATCH(C111,Products!$A$2:$A$101,0))</f>
        <v>173.58</v>
      </c>
      <c r="K111" s="19">
        <f t="shared" si="4"/>
        <v>1388.64</v>
      </c>
      <c r="L111" s="19">
        <f t="shared" si="5"/>
        <v>1236.5519999999999</v>
      </c>
    </row>
    <row r="112" spans="1:12" ht="15" customHeight="1" x14ac:dyDescent="0.25">
      <c r="A112" s="10">
        <v>111</v>
      </c>
      <c r="B112" s="10">
        <v>41</v>
      </c>
      <c r="C112" s="10">
        <v>48</v>
      </c>
      <c r="D112" s="10">
        <v>6</v>
      </c>
      <c r="E112" s="19">
        <v>205.11</v>
      </c>
      <c r="F112" s="10">
        <v>0</v>
      </c>
      <c r="G112" s="19">
        <f t="shared" si="3"/>
        <v>1230.6600000000001</v>
      </c>
      <c r="H112" s="10">
        <f>INDEX(Products!$C$2:$C$101,MATCH(C112,Products!$A$2:$A$101,0))</f>
        <v>5</v>
      </c>
      <c r="I112" s="10" t="str">
        <f>INDEX(Categories!$B$2:$B$11,MATCH(H112,Categories!$A$2:$A$11,0))</f>
        <v>Home &amp; Kitchen</v>
      </c>
      <c r="J112" s="19">
        <f>INDEX(Products!$E$2:$E$101,MATCH(C112,Products!$A$2:$A$101,0))</f>
        <v>108.01</v>
      </c>
      <c r="K112" s="19">
        <f t="shared" si="4"/>
        <v>648.06000000000006</v>
      </c>
      <c r="L112" s="19">
        <f t="shared" si="5"/>
        <v>582.6</v>
      </c>
    </row>
    <row r="113" spans="1:12" ht="15" customHeight="1" x14ac:dyDescent="0.25">
      <c r="A113" s="10">
        <v>112</v>
      </c>
      <c r="B113" s="10">
        <v>42</v>
      </c>
      <c r="C113" s="10">
        <v>78</v>
      </c>
      <c r="D113" s="10">
        <v>6</v>
      </c>
      <c r="E113" s="19">
        <v>178.61</v>
      </c>
      <c r="F113" s="10">
        <v>0</v>
      </c>
      <c r="G113" s="19">
        <f t="shared" si="3"/>
        <v>1071.6600000000001</v>
      </c>
      <c r="H113" s="10">
        <f>INDEX(Products!$C$2:$C$101,MATCH(C113,Products!$A$2:$A$101,0))</f>
        <v>8</v>
      </c>
      <c r="I113" s="10" t="str">
        <f>INDEX(Categories!$B$2:$B$11,MATCH(H113,Categories!$A$2:$A$11,0))</f>
        <v>Health &amp; Beauty</v>
      </c>
      <c r="J113" s="19">
        <f>INDEX(Products!$E$2:$E$101,MATCH(C113,Products!$A$2:$A$101,0))</f>
        <v>86.62</v>
      </c>
      <c r="K113" s="19">
        <f t="shared" si="4"/>
        <v>519.72</v>
      </c>
      <c r="L113" s="19">
        <f t="shared" si="5"/>
        <v>551.94000000000005</v>
      </c>
    </row>
    <row r="114" spans="1:12" ht="15" customHeight="1" x14ac:dyDescent="0.25">
      <c r="A114" s="10">
        <v>113</v>
      </c>
      <c r="B114" s="10">
        <v>42</v>
      </c>
      <c r="C114" s="10">
        <v>24</v>
      </c>
      <c r="D114" s="10">
        <v>2</v>
      </c>
      <c r="E114" s="19">
        <v>158.72999999999999</v>
      </c>
      <c r="F114" s="10">
        <v>0</v>
      </c>
      <c r="G114" s="19">
        <f t="shared" si="3"/>
        <v>317.45999999999998</v>
      </c>
      <c r="H114" s="10">
        <f>INDEX(Products!$C$2:$C$101,MATCH(C114,Products!$A$2:$A$101,0))</f>
        <v>3</v>
      </c>
      <c r="I114" s="10" t="str">
        <f>INDEX(Categories!$B$2:$B$11,MATCH(H114,Categories!$A$2:$A$11,0))</f>
        <v>Furniture</v>
      </c>
      <c r="J114" s="19">
        <f>INDEX(Products!$E$2:$E$101,MATCH(C114,Products!$A$2:$A$101,0))</f>
        <v>86.09</v>
      </c>
      <c r="K114" s="19">
        <f t="shared" si="4"/>
        <v>172.18</v>
      </c>
      <c r="L114" s="19">
        <f t="shared" si="5"/>
        <v>145.27999999999997</v>
      </c>
    </row>
    <row r="115" spans="1:12" ht="15" customHeight="1" x14ac:dyDescent="0.25">
      <c r="A115" s="10">
        <v>114</v>
      </c>
      <c r="B115" s="10">
        <v>42</v>
      </c>
      <c r="C115" s="10">
        <v>70</v>
      </c>
      <c r="D115" s="10">
        <v>5</v>
      </c>
      <c r="E115" s="19">
        <v>149.31</v>
      </c>
      <c r="F115" s="10">
        <v>0</v>
      </c>
      <c r="G115" s="19">
        <f t="shared" si="3"/>
        <v>746.55</v>
      </c>
      <c r="H115" s="10">
        <f>INDEX(Products!$C$2:$C$101,MATCH(C115,Products!$A$2:$A$101,0))</f>
        <v>7</v>
      </c>
      <c r="I115" s="10" t="str">
        <f>INDEX(Categories!$B$2:$B$11,MATCH(H115,Categories!$A$2:$A$11,0))</f>
        <v>Toys &amp; Games</v>
      </c>
      <c r="J115" s="19">
        <f>INDEX(Products!$E$2:$E$101,MATCH(C115,Products!$A$2:$A$101,0))</f>
        <v>76.739999999999995</v>
      </c>
      <c r="K115" s="19">
        <f t="shared" si="4"/>
        <v>383.7</v>
      </c>
      <c r="L115" s="19">
        <f t="shared" si="5"/>
        <v>362.84999999999997</v>
      </c>
    </row>
    <row r="116" spans="1:12" ht="15" customHeight="1" x14ac:dyDescent="0.25">
      <c r="A116" s="10">
        <v>115</v>
      </c>
      <c r="B116" s="10">
        <v>42</v>
      </c>
      <c r="C116" s="10">
        <v>38</v>
      </c>
      <c r="D116" s="10">
        <v>8</v>
      </c>
      <c r="E116" s="19">
        <v>146.91999999999999</v>
      </c>
      <c r="F116" s="10">
        <v>0.1</v>
      </c>
      <c r="G116" s="19">
        <f t="shared" si="3"/>
        <v>1057.8239999999998</v>
      </c>
      <c r="H116" s="10">
        <f>INDEX(Products!$C$2:$C$101,MATCH(C116,Products!$A$2:$A$101,0))</f>
        <v>4</v>
      </c>
      <c r="I116" s="10" t="str">
        <f>INDEX(Categories!$B$2:$B$11,MATCH(H116,Categories!$A$2:$A$11,0))</f>
        <v>Apparel</v>
      </c>
      <c r="J116" s="19">
        <f>INDEX(Products!$E$2:$E$101,MATCH(C116,Products!$A$2:$A$101,0))</f>
        <v>65.36</v>
      </c>
      <c r="K116" s="19">
        <f t="shared" si="4"/>
        <v>522.88</v>
      </c>
      <c r="L116" s="19">
        <f t="shared" si="5"/>
        <v>534.94399999999985</v>
      </c>
    </row>
    <row r="117" spans="1:12" ht="15" customHeight="1" x14ac:dyDescent="0.25">
      <c r="A117" s="10">
        <v>116</v>
      </c>
      <c r="B117" s="10">
        <v>43</v>
      </c>
      <c r="C117" s="10">
        <v>94</v>
      </c>
      <c r="D117" s="10">
        <v>6</v>
      </c>
      <c r="E117" s="19">
        <v>309.85000000000002</v>
      </c>
      <c r="F117" s="10">
        <v>0.1</v>
      </c>
      <c r="G117" s="19">
        <f t="shared" si="3"/>
        <v>1673.19</v>
      </c>
      <c r="H117" s="10">
        <f>INDEX(Products!$C$2:$C$101,MATCH(C117,Products!$A$2:$A$101,0))</f>
        <v>10</v>
      </c>
      <c r="I117" s="10" t="str">
        <f>INDEX(Categories!$B$2:$B$11,MATCH(H117,Categories!$A$2:$A$11,0))</f>
        <v>Groceries</v>
      </c>
      <c r="J117" s="19">
        <f>INDEX(Products!$E$2:$E$101,MATCH(C117,Products!$A$2:$A$101,0))</f>
        <v>201.08</v>
      </c>
      <c r="K117" s="19">
        <f t="shared" si="4"/>
        <v>1206.48</v>
      </c>
      <c r="L117" s="19">
        <f t="shared" si="5"/>
        <v>466.71000000000004</v>
      </c>
    </row>
    <row r="118" spans="1:12" ht="15" customHeight="1" x14ac:dyDescent="0.25">
      <c r="A118" s="10">
        <v>117</v>
      </c>
      <c r="B118" s="10">
        <v>44</v>
      </c>
      <c r="C118" s="10">
        <v>87</v>
      </c>
      <c r="D118" s="10">
        <v>4</v>
      </c>
      <c r="E118" s="19">
        <v>407.7</v>
      </c>
      <c r="F118" s="10">
        <v>0.2</v>
      </c>
      <c r="G118" s="19">
        <f t="shared" si="3"/>
        <v>1304.6400000000001</v>
      </c>
      <c r="H118" s="10">
        <f>INDEX(Products!$C$2:$C$101,MATCH(C118,Products!$A$2:$A$101,0))</f>
        <v>9</v>
      </c>
      <c r="I118" s="10" t="str">
        <f>INDEX(Categories!$B$2:$B$11,MATCH(H118,Categories!$A$2:$A$11,0))</f>
        <v>Automotive Parts</v>
      </c>
      <c r="J118" s="19">
        <f>INDEX(Products!$E$2:$E$101,MATCH(C118,Products!$A$2:$A$101,0))</f>
        <v>225.03</v>
      </c>
      <c r="K118" s="19">
        <f t="shared" si="4"/>
        <v>900.12</v>
      </c>
      <c r="L118" s="19">
        <f t="shared" si="5"/>
        <v>404.5200000000001</v>
      </c>
    </row>
    <row r="119" spans="1:12" ht="15" customHeight="1" x14ac:dyDescent="0.25">
      <c r="A119" s="10">
        <v>118</v>
      </c>
      <c r="B119" s="10">
        <v>44</v>
      </c>
      <c r="C119" s="10">
        <v>57</v>
      </c>
      <c r="D119" s="10">
        <v>6</v>
      </c>
      <c r="E119" s="19">
        <v>357.27</v>
      </c>
      <c r="F119" s="10">
        <v>0</v>
      </c>
      <c r="G119" s="19">
        <f t="shared" si="3"/>
        <v>2143.62</v>
      </c>
      <c r="H119" s="10">
        <f>INDEX(Products!$C$2:$C$101,MATCH(C119,Products!$A$2:$A$101,0))</f>
        <v>6</v>
      </c>
      <c r="I119" s="10" t="str">
        <f>INDEX(Categories!$B$2:$B$11,MATCH(H119,Categories!$A$2:$A$11,0))</f>
        <v>Sporting Goods</v>
      </c>
      <c r="J119" s="19">
        <f>INDEX(Products!$E$2:$E$101,MATCH(C119,Products!$A$2:$A$101,0))</f>
        <v>214.86</v>
      </c>
      <c r="K119" s="19">
        <f t="shared" si="4"/>
        <v>1289.1600000000001</v>
      </c>
      <c r="L119" s="19">
        <f t="shared" si="5"/>
        <v>854.45999999999981</v>
      </c>
    </row>
    <row r="120" spans="1:12" ht="15" customHeight="1" x14ac:dyDescent="0.25">
      <c r="A120" s="10">
        <v>119</v>
      </c>
      <c r="B120" s="10">
        <v>44</v>
      </c>
      <c r="C120" s="10">
        <v>5</v>
      </c>
      <c r="D120" s="10">
        <v>7</v>
      </c>
      <c r="E120" s="19">
        <v>310.02</v>
      </c>
      <c r="F120" s="10">
        <v>0.1</v>
      </c>
      <c r="G120" s="19">
        <f t="shared" si="3"/>
        <v>1953.126</v>
      </c>
      <c r="H120" s="10">
        <f>INDEX(Products!$C$2:$C$101,MATCH(C120,Products!$A$2:$A$101,0))</f>
        <v>1</v>
      </c>
      <c r="I120" s="10" t="str">
        <f>INDEX(Categories!$B$2:$B$11,MATCH(H120,Categories!$A$2:$A$11,0))</f>
        <v>Electronics</v>
      </c>
      <c r="J120" s="19">
        <f>INDEX(Products!$E$2:$E$101,MATCH(C120,Products!$A$2:$A$101,0))</f>
        <v>134.93</v>
      </c>
      <c r="K120" s="19">
        <f t="shared" si="4"/>
        <v>944.51</v>
      </c>
      <c r="L120" s="19">
        <f t="shared" si="5"/>
        <v>1008.616</v>
      </c>
    </row>
    <row r="121" spans="1:12" ht="15" customHeight="1" x14ac:dyDescent="0.25">
      <c r="A121" s="10">
        <v>120</v>
      </c>
      <c r="B121" s="10">
        <v>44</v>
      </c>
      <c r="C121" s="10">
        <v>17</v>
      </c>
      <c r="D121" s="10">
        <v>1</v>
      </c>
      <c r="E121" s="19">
        <v>216.84</v>
      </c>
      <c r="F121" s="10">
        <v>0.1</v>
      </c>
      <c r="G121" s="19">
        <f t="shared" si="3"/>
        <v>195.15600000000001</v>
      </c>
      <c r="H121" s="10">
        <f>INDEX(Products!$C$2:$C$101,MATCH(C121,Products!$A$2:$A$101,0))</f>
        <v>2</v>
      </c>
      <c r="I121" s="10" t="str">
        <f>INDEX(Categories!$B$2:$B$11,MATCH(H121,Categories!$A$2:$A$11,0))</f>
        <v>Office Supplies</v>
      </c>
      <c r="J121" s="19">
        <f>INDEX(Products!$E$2:$E$101,MATCH(C121,Products!$A$2:$A$101,0))</f>
        <v>151.30000000000001</v>
      </c>
      <c r="K121" s="19">
        <f t="shared" si="4"/>
        <v>151.30000000000001</v>
      </c>
      <c r="L121" s="19">
        <f t="shared" si="5"/>
        <v>43.855999999999995</v>
      </c>
    </row>
    <row r="122" spans="1:12" ht="15" customHeight="1" x14ac:dyDescent="0.25">
      <c r="A122" s="10">
        <v>121</v>
      </c>
      <c r="B122" s="10">
        <v>44</v>
      </c>
      <c r="C122" s="10">
        <v>9</v>
      </c>
      <c r="D122" s="10">
        <v>3</v>
      </c>
      <c r="E122" s="19">
        <v>255.18</v>
      </c>
      <c r="F122" s="10">
        <v>0.15</v>
      </c>
      <c r="G122" s="19">
        <f t="shared" si="3"/>
        <v>650.70899999999995</v>
      </c>
      <c r="H122" s="10">
        <f>INDEX(Products!$C$2:$C$101,MATCH(C122,Products!$A$2:$A$101,0))</f>
        <v>1</v>
      </c>
      <c r="I122" s="10" t="str">
        <f>INDEX(Categories!$B$2:$B$11,MATCH(H122,Categories!$A$2:$A$11,0))</f>
        <v>Electronics</v>
      </c>
      <c r="J122" s="19">
        <f>INDEX(Products!$E$2:$E$101,MATCH(C122,Products!$A$2:$A$101,0))</f>
        <v>188.01</v>
      </c>
      <c r="K122" s="19">
        <f t="shared" si="4"/>
        <v>564.03</v>
      </c>
      <c r="L122" s="19">
        <f t="shared" si="5"/>
        <v>86.678999999999974</v>
      </c>
    </row>
    <row r="123" spans="1:12" ht="15" customHeight="1" x14ac:dyDescent="0.25">
      <c r="A123" s="10">
        <v>122</v>
      </c>
      <c r="B123" s="10">
        <v>45</v>
      </c>
      <c r="C123" s="10">
        <v>41</v>
      </c>
      <c r="D123" s="10">
        <v>2</v>
      </c>
      <c r="E123" s="19">
        <v>331.46</v>
      </c>
      <c r="F123" s="10">
        <v>0</v>
      </c>
      <c r="G123" s="19">
        <f t="shared" si="3"/>
        <v>662.92</v>
      </c>
      <c r="H123" s="10">
        <f>INDEX(Products!$C$2:$C$101,MATCH(C123,Products!$A$2:$A$101,0))</f>
        <v>5</v>
      </c>
      <c r="I123" s="10" t="str">
        <f>INDEX(Categories!$B$2:$B$11,MATCH(H123,Categories!$A$2:$A$11,0))</f>
        <v>Home &amp; Kitchen</v>
      </c>
      <c r="J123" s="19">
        <f>INDEX(Products!$E$2:$E$101,MATCH(C123,Products!$A$2:$A$101,0))</f>
        <v>152.76</v>
      </c>
      <c r="K123" s="19">
        <f t="shared" si="4"/>
        <v>305.52</v>
      </c>
      <c r="L123" s="19">
        <f t="shared" si="5"/>
        <v>357.4</v>
      </c>
    </row>
    <row r="124" spans="1:12" ht="15" customHeight="1" x14ac:dyDescent="0.25">
      <c r="A124" s="10">
        <v>123</v>
      </c>
      <c r="B124" s="10">
        <v>45</v>
      </c>
      <c r="C124" s="10">
        <v>84</v>
      </c>
      <c r="D124" s="10">
        <v>3</v>
      </c>
      <c r="E124" s="19">
        <v>258</v>
      </c>
      <c r="F124" s="10">
        <v>0.05</v>
      </c>
      <c r="G124" s="19">
        <f t="shared" si="3"/>
        <v>735.3</v>
      </c>
      <c r="H124" s="10">
        <f>INDEX(Products!$C$2:$C$101,MATCH(C124,Products!$A$2:$A$101,0))</f>
        <v>9</v>
      </c>
      <c r="I124" s="10" t="str">
        <f>INDEX(Categories!$B$2:$B$11,MATCH(H124,Categories!$A$2:$A$11,0))</f>
        <v>Automotive Parts</v>
      </c>
      <c r="J124" s="19">
        <f>INDEX(Products!$E$2:$E$101,MATCH(C124,Products!$A$2:$A$101,0))</f>
        <v>134.19999999999999</v>
      </c>
      <c r="K124" s="19">
        <f t="shared" si="4"/>
        <v>402.59999999999997</v>
      </c>
      <c r="L124" s="19">
        <f t="shared" si="5"/>
        <v>332.7</v>
      </c>
    </row>
    <row r="125" spans="1:12" ht="15" customHeight="1" x14ac:dyDescent="0.25">
      <c r="A125" s="10">
        <v>124</v>
      </c>
      <c r="B125" s="10">
        <v>45</v>
      </c>
      <c r="C125" s="10">
        <v>36</v>
      </c>
      <c r="D125" s="10">
        <v>9</v>
      </c>
      <c r="E125" s="19">
        <v>472.77</v>
      </c>
      <c r="F125" s="10">
        <v>0.05</v>
      </c>
      <c r="G125" s="19">
        <f t="shared" si="3"/>
        <v>4042.1835000000001</v>
      </c>
      <c r="H125" s="10">
        <f>INDEX(Products!$C$2:$C$101,MATCH(C125,Products!$A$2:$A$101,0))</f>
        <v>4</v>
      </c>
      <c r="I125" s="10" t="str">
        <f>INDEX(Categories!$B$2:$B$11,MATCH(H125,Categories!$A$2:$A$11,0))</f>
        <v>Apparel</v>
      </c>
      <c r="J125" s="19">
        <f>INDEX(Products!$E$2:$E$101,MATCH(C125,Products!$A$2:$A$101,0))</f>
        <v>236.19</v>
      </c>
      <c r="K125" s="19">
        <f t="shared" si="4"/>
        <v>2125.71</v>
      </c>
      <c r="L125" s="19">
        <f t="shared" si="5"/>
        <v>1916.4735000000001</v>
      </c>
    </row>
    <row r="126" spans="1:12" ht="15" customHeight="1" x14ac:dyDescent="0.25">
      <c r="A126" s="10">
        <v>125</v>
      </c>
      <c r="B126" s="10">
        <v>45</v>
      </c>
      <c r="C126" s="10">
        <v>32</v>
      </c>
      <c r="D126" s="10">
        <v>9</v>
      </c>
      <c r="E126" s="19">
        <v>489.82</v>
      </c>
      <c r="F126" s="10">
        <v>0</v>
      </c>
      <c r="G126" s="19">
        <f t="shared" si="3"/>
        <v>4408.38</v>
      </c>
      <c r="H126" s="10">
        <f>INDEX(Products!$C$2:$C$101,MATCH(C126,Products!$A$2:$A$101,0))</f>
        <v>4</v>
      </c>
      <c r="I126" s="10" t="str">
        <f>INDEX(Categories!$B$2:$B$11,MATCH(H126,Categories!$A$2:$A$11,0))</f>
        <v>Apparel</v>
      </c>
      <c r="J126" s="19">
        <f>INDEX(Products!$E$2:$E$101,MATCH(C126,Products!$A$2:$A$101,0))</f>
        <v>237.87</v>
      </c>
      <c r="K126" s="19">
        <f t="shared" si="4"/>
        <v>2140.83</v>
      </c>
      <c r="L126" s="19">
        <f t="shared" si="5"/>
        <v>2267.5500000000002</v>
      </c>
    </row>
    <row r="127" spans="1:12" ht="15" customHeight="1" x14ac:dyDescent="0.25">
      <c r="A127" s="10">
        <v>126</v>
      </c>
      <c r="B127" s="10">
        <v>46</v>
      </c>
      <c r="C127" s="10">
        <v>18</v>
      </c>
      <c r="D127" s="10">
        <v>2</v>
      </c>
      <c r="E127" s="19">
        <v>185.81</v>
      </c>
      <c r="F127" s="10">
        <v>0.05</v>
      </c>
      <c r="G127" s="19">
        <f t="shared" si="3"/>
        <v>353.03899999999999</v>
      </c>
      <c r="H127" s="10">
        <f>INDEX(Products!$C$2:$C$101,MATCH(C127,Products!$A$2:$A$101,0))</f>
        <v>2</v>
      </c>
      <c r="I127" s="10" t="str">
        <f>INDEX(Categories!$B$2:$B$11,MATCH(H127,Categories!$A$2:$A$11,0))</f>
        <v>Office Supplies</v>
      </c>
      <c r="J127" s="19">
        <f>INDEX(Products!$E$2:$E$101,MATCH(C127,Products!$A$2:$A$101,0))</f>
        <v>108.81</v>
      </c>
      <c r="K127" s="19">
        <f t="shared" si="4"/>
        <v>217.62</v>
      </c>
      <c r="L127" s="19">
        <f t="shared" si="5"/>
        <v>135.41899999999998</v>
      </c>
    </row>
    <row r="128" spans="1:12" ht="15" customHeight="1" x14ac:dyDescent="0.25">
      <c r="A128" s="10">
        <v>127</v>
      </c>
      <c r="B128" s="10">
        <v>47</v>
      </c>
      <c r="C128" s="10">
        <v>39</v>
      </c>
      <c r="D128" s="10">
        <v>3</v>
      </c>
      <c r="E128" s="19">
        <v>42.44</v>
      </c>
      <c r="F128" s="10">
        <v>0.2</v>
      </c>
      <c r="G128" s="19">
        <f t="shared" si="3"/>
        <v>101.85599999999999</v>
      </c>
      <c r="H128" s="10">
        <f>INDEX(Products!$C$2:$C$101,MATCH(C128,Products!$A$2:$A$101,0))</f>
        <v>4</v>
      </c>
      <c r="I128" s="10" t="str">
        <f>INDEX(Categories!$B$2:$B$11,MATCH(H128,Categories!$A$2:$A$11,0))</f>
        <v>Apparel</v>
      </c>
      <c r="J128" s="19">
        <f>INDEX(Products!$E$2:$E$101,MATCH(C128,Products!$A$2:$A$101,0))</f>
        <v>21.3</v>
      </c>
      <c r="K128" s="19">
        <f t="shared" si="4"/>
        <v>63.900000000000006</v>
      </c>
      <c r="L128" s="19">
        <f t="shared" si="5"/>
        <v>37.955999999999989</v>
      </c>
    </row>
    <row r="129" spans="1:12" ht="15" customHeight="1" x14ac:dyDescent="0.25">
      <c r="A129" s="10">
        <v>128</v>
      </c>
      <c r="B129" s="10">
        <v>47</v>
      </c>
      <c r="C129" s="10">
        <v>21</v>
      </c>
      <c r="D129" s="10">
        <v>6</v>
      </c>
      <c r="E129" s="19">
        <v>358.6</v>
      </c>
      <c r="F129" s="10">
        <v>0.1</v>
      </c>
      <c r="G129" s="19">
        <f t="shared" si="3"/>
        <v>1936.4400000000003</v>
      </c>
      <c r="H129" s="10">
        <f>INDEX(Products!$C$2:$C$101,MATCH(C129,Products!$A$2:$A$101,0))</f>
        <v>3</v>
      </c>
      <c r="I129" s="10" t="str">
        <f>INDEX(Categories!$B$2:$B$11,MATCH(H129,Categories!$A$2:$A$11,0))</f>
        <v>Furniture</v>
      </c>
      <c r="J129" s="19">
        <f>INDEX(Products!$E$2:$E$101,MATCH(C129,Products!$A$2:$A$101,0))</f>
        <v>155.13</v>
      </c>
      <c r="K129" s="19">
        <f t="shared" si="4"/>
        <v>930.78</v>
      </c>
      <c r="L129" s="19">
        <f t="shared" si="5"/>
        <v>1005.6600000000003</v>
      </c>
    </row>
    <row r="130" spans="1:12" ht="15" customHeight="1" x14ac:dyDescent="0.25">
      <c r="A130" s="10">
        <v>129</v>
      </c>
      <c r="B130" s="10">
        <v>47</v>
      </c>
      <c r="C130" s="10">
        <v>92</v>
      </c>
      <c r="D130" s="10">
        <v>4</v>
      </c>
      <c r="E130" s="19">
        <v>467.17</v>
      </c>
      <c r="F130" s="10">
        <v>0</v>
      </c>
      <c r="G130" s="19">
        <f t="shared" ref="G130:G193" si="6">D130*E130*(1-F130)</f>
        <v>1868.68</v>
      </c>
      <c r="H130" s="10">
        <f>INDEX(Products!$C$2:$C$101,MATCH(C130,Products!$A$2:$A$101,0))</f>
        <v>10</v>
      </c>
      <c r="I130" s="10" t="str">
        <f>INDEX(Categories!$B$2:$B$11,MATCH(H130,Categories!$A$2:$A$11,0))</f>
        <v>Groceries</v>
      </c>
      <c r="J130" s="19">
        <f>INDEX(Products!$E$2:$E$101,MATCH(C130,Products!$A$2:$A$101,0))</f>
        <v>216.67</v>
      </c>
      <c r="K130" s="19">
        <f t="shared" ref="K130:K193" si="7">D130*J130</f>
        <v>866.68</v>
      </c>
      <c r="L130" s="19">
        <f t="shared" ref="L130:L193" si="8">G130-K130</f>
        <v>1002.0000000000001</v>
      </c>
    </row>
    <row r="131" spans="1:12" ht="15" customHeight="1" x14ac:dyDescent="0.25">
      <c r="A131" s="10">
        <v>130</v>
      </c>
      <c r="B131" s="10">
        <v>48</v>
      </c>
      <c r="C131" s="10">
        <v>48</v>
      </c>
      <c r="D131" s="10">
        <v>2</v>
      </c>
      <c r="E131" s="19">
        <v>205.11</v>
      </c>
      <c r="F131" s="10">
        <v>0</v>
      </c>
      <c r="G131" s="19">
        <f t="shared" si="6"/>
        <v>410.22</v>
      </c>
      <c r="H131" s="10">
        <f>INDEX(Products!$C$2:$C$101,MATCH(C131,Products!$A$2:$A$101,0))</f>
        <v>5</v>
      </c>
      <c r="I131" s="10" t="str">
        <f>INDEX(Categories!$B$2:$B$11,MATCH(H131,Categories!$A$2:$A$11,0))</f>
        <v>Home &amp; Kitchen</v>
      </c>
      <c r="J131" s="19">
        <f>INDEX(Products!$E$2:$E$101,MATCH(C131,Products!$A$2:$A$101,0))</f>
        <v>108.01</v>
      </c>
      <c r="K131" s="19">
        <f t="shared" si="7"/>
        <v>216.02</v>
      </c>
      <c r="L131" s="19">
        <f t="shared" si="8"/>
        <v>194.20000000000002</v>
      </c>
    </row>
    <row r="132" spans="1:12" ht="15" customHeight="1" x14ac:dyDescent="0.25">
      <c r="A132" s="10">
        <v>131</v>
      </c>
      <c r="B132" s="10">
        <v>48</v>
      </c>
      <c r="C132" s="10">
        <v>60</v>
      </c>
      <c r="D132" s="10">
        <v>5</v>
      </c>
      <c r="E132" s="19">
        <v>313.82</v>
      </c>
      <c r="F132" s="10">
        <v>0.05</v>
      </c>
      <c r="G132" s="19">
        <f t="shared" si="6"/>
        <v>1490.6449999999998</v>
      </c>
      <c r="H132" s="10">
        <f>INDEX(Products!$C$2:$C$101,MATCH(C132,Products!$A$2:$A$101,0))</f>
        <v>6</v>
      </c>
      <c r="I132" s="10" t="str">
        <f>INDEX(Categories!$B$2:$B$11,MATCH(H132,Categories!$A$2:$A$11,0))</f>
        <v>Sporting Goods</v>
      </c>
      <c r="J132" s="19">
        <f>INDEX(Products!$E$2:$E$101,MATCH(C132,Products!$A$2:$A$101,0))</f>
        <v>165.44</v>
      </c>
      <c r="K132" s="19">
        <f t="shared" si="7"/>
        <v>827.2</v>
      </c>
      <c r="L132" s="19">
        <f t="shared" si="8"/>
        <v>663.44499999999971</v>
      </c>
    </row>
    <row r="133" spans="1:12" ht="15" customHeight="1" x14ac:dyDescent="0.25">
      <c r="A133" s="10">
        <v>132</v>
      </c>
      <c r="B133" s="10">
        <v>48</v>
      </c>
      <c r="C133" s="10">
        <v>71</v>
      </c>
      <c r="D133" s="10">
        <v>8</v>
      </c>
      <c r="E133" s="19">
        <v>228.48</v>
      </c>
      <c r="F133" s="10">
        <v>0.1</v>
      </c>
      <c r="G133" s="19">
        <f t="shared" si="6"/>
        <v>1645.056</v>
      </c>
      <c r="H133" s="10">
        <f>INDEX(Products!$C$2:$C$101,MATCH(C133,Products!$A$2:$A$101,0))</f>
        <v>8</v>
      </c>
      <c r="I133" s="10" t="str">
        <f>INDEX(Categories!$B$2:$B$11,MATCH(H133,Categories!$A$2:$A$11,0))</f>
        <v>Health &amp; Beauty</v>
      </c>
      <c r="J133" s="19">
        <f>INDEX(Products!$E$2:$E$101,MATCH(C133,Products!$A$2:$A$101,0))</f>
        <v>136.03</v>
      </c>
      <c r="K133" s="19">
        <f t="shared" si="7"/>
        <v>1088.24</v>
      </c>
      <c r="L133" s="19">
        <f t="shared" si="8"/>
        <v>556.81600000000003</v>
      </c>
    </row>
    <row r="134" spans="1:12" ht="15" customHeight="1" x14ac:dyDescent="0.25">
      <c r="A134" s="10">
        <v>133</v>
      </c>
      <c r="B134" s="10">
        <v>48</v>
      </c>
      <c r="C134" s="10">
        <v>17</v>
      </c>
      <c r="D134" s="10">
        <v>7</v>
      </c>
      <c r="E134" s="19">
        <v>216.84</v>
      </c>
      <c r="F134" s="10">
        <v>0.2</v>
      </c>
      <c r="G134" s="19">
        <f t="shared" si="6"/>
        <v>1214.3040000000001</v>
      </c>
      <c r="H134" s="10">
        <f>INDEX(Products!$C$2:$C$101,MATCH(C134,Products!$A$2:$A$101,0))</f>
        <v>2</v>
      </c>
      <c r="I134" s="10" t="str">
        <f>INDEX(Categories!$B$2:$B$11,MATCH(H134,Categories!$A$2:$A$11,0))</f>
        <v>Office Supplies</v>
      </c>
      <c r="J134" s="19">
        <f>INDEX(Products!$E$2:$E$101,MATCH(C134,Products!$A$2:$A$101,0))</f>
        <v>151.30000000000001</v>
      </c>
      <c r="K134" s="19">
        <f t="shared" si="7"/>
        <v>1059.1000000000001</v>
      </c>
      <c r="L134" s="19">
        <f t="shared" si="8"/>
        <v>155.20399999999995</v>
      </c>
    </row>
    <row r="135" spans="1:12" ht="15" customHeight="1" x14ac:dyDescent="0.25">
      <c r="A135" s="10">
        <v>134</v>
      </c>
      <c r="B135" s="10">
        <v>48</v>
      </c>
      <c r="C135" s="10">
        <v>79</v>
      </c>
      <c r="D135" s="10">
        <v>7</v>
      </c>
      <c r="E135" s="19">
        <v>369.82</v>
      </c>
      <c r="F135" s="10">
        <v>0.2</v>
      </c>
      <c r="G135" s="19">
        <f t="shared" si="6"/>
        <v>2070.9919999999997</v>
      </c>
      <c r="H135" s="10">
        <f>INDEX(Products!$C$2:$C$101,MATCH(C135,Products!$A$2:$A$101,0))</f>
        <v>8</v>
      </c>
      <c r="I135" s="10" t="str">
        <f>INDEX(Categories!$B$2:$B$11,MATCH(H135,Categories!$A$2:$A$11,0))</f>
        <v>Health &amp; Beauty</v>
      </c>
      <c r="J135" s="19">
        <f>INDEX(Products!$E$2:$E$101,MATCH(C135,Products!$A$2:$A$101,0))</f>
        <v>215.26</v>
      </c>
      <c r="K135" s="19">
        <f t="shared" si="7"/>
        <v>1506.82</v>
      </c>
      <c r="L135" s="19">
        <f t="shared" si="8"/>
        <v>564.1719999999998</v>
      </c>
    </row>
    <row r="136" spans="1:12" ht="15" customHeight="1" x14ac:dyDescent="0.25">
      <c r="A136" s="10">
        <v>135</v>
      </c>
      <c r="B136" s="10">
        <v>49</v>
      </c>
      <c r="C136" s="10">
        <v>100</v>
      </c>
      <c r="D136" s="10">
        <v>10</v>
      </c>
      <c r="E136" s="19">
        <v>313.44</v>
      </c>
      <c r="F136" s="10">
        <v>0</v>
      </c>
      <c r="G136" s="19">
        <f t="shared" si="6"/>
        <v>3134.4</v>
      </c>
      <c r="H136" s="10">
        <f>INDEX(Products!$C$2:$C$101,MATCH(C136,Products!$A$2:$A$101,0))</f>
        <v>10</v>
      </c>
      <c r="I136" s="10" t="str">
        <f>INDEX(Categories!$B$2:$B$11,MATCH(H136,Categories!$A$2:$A$11,0))</f>
        <v>Groceries</v>
      </c>
      <c r="J136" s="19">
        <f>INDEX(Products!$E$2:$E$101,MATCH(C136,Products!$A$2:$A$101,0))</f>
        <v>187.4</v>
      </c>
      <c r="K136" s="19">
        <f t="shared" si="7"/>
        <v>1874</v>
      </c>
      <c r="L136" s="19">
        <f t="shared" si="8"/>
        <v>1260.4000000000001</v>
      </c>
    </row>
    <row r="137" spans="1:12" ht="15" customHeight="1" x14ac:dyDescent="0.25">
      <c r="A137" s="10">
        <v>136</v>
      </c>
      <c r="B137" s="10">
        <v>49</v>
      </c>
      <c r="C137" s="10">
        <v>71</v>
      </c>
      <c r="D137" s="10">
        <v>3</v>
      </c>
      <c r="E137" s="19">
        <v>228.48</v>
      </c>
      <c r="F137" s="10">
        <v>0.05</v>
      </c>
      <c r="G137" s="19">
        <f t="shared" si="6"/>
        <v>651.16799999999989</v>
      </c>
      <c r="H137" s="10">
        <f>INDEX(Products!$C$2:$C$101,MATCH(C137,Products!$A$2:$A$101,0))</f>
        <v>8</v>
      </c>
      <c r="I137" s="10" t="str">
        <f>INDEX(Categories!$B$2:$B$11,MATCH(H137,Categories!$A$2:$A$11,0))</f>
        <v>Health &amp; Beauty</v>
      </c>
      <c r="J137" s="19">
        <f>INDEX(Products!$E$2:$E$101,MATCH(C137,Products!$A$2:$A$101,0))</f>
        <v>136.03</v>
      </c>
      <c r="K137" s="19">
        <f t="shared" si="7"/>
        <v>408.09000000000003</v>
      </c>
      <c r="L137" s="19">
        <f t="shared" si="8"/>
        <v>243.07799999999986</v>
      </c>
    </row>
    <row r="138" spans="1:12" ht="15" customHeight="1" x14ac:dyDescent="0.25">
      <c r="A138" s="10">
        <v>137</v>
      </c>
      <c r="B138" s="10">
        <v>50</v>
      </c>
      <c r="C138" s="10">
        <v>67</v>
      </c>
      <c r="D138" s="10">
        <v>5</v>
      </c>
      <c r="E138" s="19">
        <v>120.48</v>
      </c>
      <c r="F138" s="10">
        <v>0</v>
      </c>
      <c r="G138" s="19">
        <f t="shared" si="6"/>
        <v>602.4</v>
      </c>
      <c r="H138" s="10">
        <f>INDEX(Products!$C$2:$C$101,MATCH(C138,Products!$A$2:$A$101,0))</f>
        <v>7</v>
      </c>
      <c r="I138" s="10" t="str">
        <f>INDEX(Categories!$B$2:$B$11,MATCH(H138,Categories!$A$2:$A$11,0))</f>
        <v>Toys &amp; Games</v>
      </c>
      <c r="J138" s="19">
        <f>INDEX(Products!$E$2:$E$101,MATCH(C138,Products!$A$2:$A$101,0))</f>
        <v>63.2</v>
      </c>
      <c r="K138" s="19">
        <f t="shared" si="7"/>
        <v>316</v>
      </c>
      <c r="L138" s="19">
        <f t="shared" si="8"/>
        <v>286.39999999999998</v>
      </c>
    </row>
    <row r="139" spans="1:12" ht="15" customHeight="1" x14ac:dyDescent="0.25">
      <c r="A139" s="10">
        <v>138</v>
      </c>
      <c r="B139" s="10">
        <v>50</v>
      </c>
      <c r="C139" s="10">
        <v>37</v>
      </c>
      <c r="D139" s="10">
        <v>9</v>
      </c>
      <c r="E139" s="19">
        <v>262.99</v>
      </c>
      <c r="F139" s="10">
        <v>0</v>
      </c>
      <c r="G139" s="19">
        <f t="shared" si="6"/>
        <v>2366.91</v>
      </c>
      <c r="H139" s="10">
        <f>INDEX(Products!$C$2:$C$101,MATCH(C139,Products!$A$2:$A$101,0))</f>
        <v>4</v>
      </c>
      <c r="I139" s="10" t="str">
        <f>INDEX(Categories!$B$2:$B$11,MATCH(H139,Categories!$A$2:$A$11,0))</f>
        <v>Apparel</v>
      </c>
      <c r="J139" s="19">
        <f>INDEX(Products!$E$2:$E$101,MATCH(C139,Products!$A$2:$A$101,0))</f>
        <v>144.79</v>
      </c>
      <c r="K139" s="19">
        <f t="shared" si="7"/>
        <v>1303.1099999999999</v>
      </c>
      <c r="L139" s="19">
        <f t="shared" si="8"/>
        <v>1063.8</v>
      </c>
    </row>
    <row r="140" spans="1:12" ht="15" customHeight="1" x14ac:dyDescent="0.25">
      <c r="A140" s="10">
        <v>139</v>
      </c>
      <c r="B140" s="10">
        <v>50</v>
      </c>
      <c r="C140" s="10">
        <v>11</v>
      </c>
      <c r="D140" s="10">
        <v>3</v>
      </c>
      <c r="E140" s="19">
        <v>417.1</v>
      </c>
      <c r="F140" s="10">
        <v>0.15</v>
      </c>
      <c r="G140" s="19">
        <f t="shared" si="6"/>
        <v>1063.605</v>
      </c>
      <c r="H140" s="10">
        <f>INDEX(Products!$C$2:$C$101,MATCH(C140,Products!$A$2:$A$101,0))</f>
        <v>2</v>
      </c>
      <c r="I140" s="10" t="str">
        <f>INDEX(Categories!$B$2:$B$11,MATCH(H140,Categories!$A$2:$A$11,0))</f>
        <v>Office Supplies</v>
      </c>
      <c r="J140" s="19">
        <f>INDEX(Products!$E$2:$E$101,MATCH(C140,Products!$A$2:$A$101,0))</f>
        <v>210.29</v>
      </c>
      <c r="K140" s="19">
        <f t="shared" si="7"/>
        <v>630.87</v>
      </c>
      <c r="L140" s="19">
        <f t="shared" si="8"/>
        <v>432.73500000000001</v>
      </c>
    </row>
    <row r="141" spans="1:12" ht="15" customHeight="1" x14ac:dyDescent="0.25">
      <c r="A141" s="10">
        <v>140</v>
      </c>
      <c r="B141" s="10">
        <v>51</v>
      </c>
      <c r="C141" s="10">
        <v>73</v>
      </c>
      <c r="D141" s="10">
        <v>2</v>
      </c>
      <c r="E141" s="19">
        <v>375.67</v>
      </c>
      <c r="F141" s="10">
        <v>0</v>
      </c>
      <c r="G141" s="19">
        <f t="shared" si="6"/>
        <v>751.34</v>
      </c>
      <c r="H141" s="10">
        <f>INDEX(Products!$C$2:$C$101,MATCH(C141,Products!$A$2:$A$101,0))</f>
        <v>8</v>
      </c>
      <c r="I141" s="10" t="str">
        <f>INDEX(Categories!$B$2:$B$11,MATCH(H141,Categories!$A$2:$A$11,0))</f>
        <v>Health &amp; Beauty</v>
      </c>
      <c r="J141" s="19">
        <f>INDEX(Products!$E$2:$E$101,MATCH(C141,Products!$A$2:$A$101,0))</f>
        <v>214.44</v>
      </c>
      <c r="K141" s="19">
        <f t="shared" si="7"/>
        <v>428.88</v>
      </c>
      <c r="L141" s="19">
        <f t="shared" si="8"/>
        <v>322.46000000000004</v>
      </c>
    </row>
    <row r="142" spans="1:12" ht="15" customHeight="1" x14ac:dyDescent="0.25">
      <c r="A142" s="10">
        <v>141</v>
      </c>
      <c r="B142" s="10">
        <v>51</v>
      </c>
      <c r="C142" s="10">
        <v>6</v>
      </c>
      <c r="D142" s="10">
        <v>10</v>
      </c>
      <c r="E142" s="19">
        <v>234.43</v>
      </c>
      <c r="F142" s="10">
        <v>0</v>
      </c>
      <c r="G142" s="19">
        <f t="shared" si="6"/>
        <v>2344.3000000000002</v>
      </c>
      <c r="H142" s="10">
        <f>INDEX(Products!$C$2:$C$101,MATCH(C142,Products!$A$2:$A$101,0))</f>
        <v>1</v>
      </c>
      <c r="I142" s="10" t="str">
        <f>INDEX(Categories!$B$2:$B$11,MATCH(H142,Categories!$A$2:$A$11,0))</f>
        <v>Electronics</v>
      </c>
      <c r="J142" s="19">
        <f>INDEX(Products!$E$2:$E$101,MATCH(C142,Products!$A$2:$A$101,0))</f>
        <v>161.76</v>
      </c>
      <c r="K142" s="19">
        <f t="shared" si="7"/>
        <v>1617.6</v>
      </c>
      <c r="L142" s="19">
        <f t="shared" si="8"/>
        <v>726.70000000000027</v>
      </c>
    </row>
    <row r="143" spans="1:12" ht="15" customHeight="1" x14ac:dyDescent="0.25">
      <c r="A143" s="10">
        <v>142</v>
      </c>
      <c r="B143" s="10">
        <v>51</v>
      </c>
      <c r="C143" s="10">
        <v>4</v>
      </c>
      <c r="D143" s="10">
        <v>4</v>
      </c>
      <c r="E143" s="19">
        <v>419.61</v>
      </c>
      <c r="F143" s="10">
        <v>0.2</v>
      </c>
      <c r="G143" s="19">
        <f t="shared" si="6"/>
        <v>1342.7520000000002</v>
      </c>
      <c r="H143" s="10">
        <f>INDEX(Products!$C$2:$C$101,MATCH(C143,Products!$A$2:$A$101,0))</f>
        <v>1</v>
      </c>
      <c r="I143" s="10" t="str">
        <f>INDEX(Categories!$B$2:$B$11,MATCH(H143,Categories!$A$2:$A$11,0))</f>
        <v>Electronics</v>
      </c>
      <c r="J143" s="19">
        <f>INDEX(Products!$E$2:$E$101,MATCH(C143,Products!$A$2:$A$101,0))</f>
        <v>200.14</v>
      </c>
      <c r="K143" s="19">
        <f t="shared" si="7"/>
        <v>800.56</v>
      </c>
      <c r="L143" s="19">
        <f t="shared" si="8"/>
        <v>542.19200000000023</v>
      </c>
    </row>
    <row r="144" spans="1:12" ht="15" customHeight="1" x14ac:dyDescent="0.25">
      <c r="A144" s="10">
        <v>143</v>
      </c>
      <c r="B144" s="10">
        <v>52</v>
      </c>
      <c r="C144" s="10">
        <v>88</v>
      </c>
      <c r="D144" s="10">
        <v>5</v>
      </c>
      <c r="E144" s="19">
        <v>188.36</v>
      </c>
      <c r="F144" s="10">
        <v>0.05</v>
      </c>
      <c r="G144" s="19">
        <f t="shared" si="6"/>
        <v>894.71</v>
      </c>
      <c r="H144" s="10">
        <f>INDEX(Products!$C$2:$C$101,MATCH(C144,Products!$A$2:$A$101,0))</f>
        <v>9</v>
      </c>
      <c r="I144" s="10" t="str">
        <f>INDEX(Categories!$B$2:$B$11,MATCH(H144,Categories!$A$2:$A$11,0))</f>
        <v>Automotive Parts</v>
      </c>
      <c r="J144" s="19">
        <f>INDEX(Products!$E$2:$E$101,MATCH(C144,Products!$A$2:$A$101,0))</f>
        <v>112.11</v>
      </c>
      <c r="K144" s="19">
        <f t="shared" si="7"/>
        <v>560.54999999999995</v>
      </c>
      <c r="L144" s="19">
        <f t="shared" si="8"/>
        <v>334.16000000000008</v>
      </c>
    </row>
    <row r="145" spans="1:12" ht="15" customHeight="1" x14ac:dyDescent="0.25">
      <c r="A145" s="10">
        <v>144</v>
      </c>
      <c r="B145" s="10">
        <v>52</v>
      </c>
      <c r="C145" s="10">
        <v>52</v>
      </c>
      <c r="D145" s="10">
        <v>2</v>
      </c>
      <c r="E145" s="19">
        <v>469.43</v>
      </c>
      <c r="F145" s="10">
        <v>0.15</v>
      </c>
      <c r="G145" s="19">
        <f t="shared" si="6"/>
        <v>798.03099999999995</v>
      </c>
      <c r="H145" s="10">
        <f>INDEX(Products!$C$2:$C$101,MATCH(C145,Products!$A$2:$A$101,0))</f>
        <v>6</v>
      </c>
      <c r="I145" s="10" t="str">
        <f>INDEX(Categories!$B$2:$B$11,MATCH(H145,Categories!$A$2:$A$11,0))</f>
        <v>Sporting Goods</v>
      </c>
      <c r="J145" s="19">
        <f>INDEX(Products!$E$2:$E$101,MATCH(C145,Products!$A$2:$A$101,0))</f>
        <v>222.69</v>
      </c>
      <c r="K145" s="19">
        <f t="shared" si="7"/>
        <v>445.38</v>
      </c>
      <c r="L145" s="19">
        <f t="shared" si="8"/>
        <v>352.65099999999995</v>
      </c>
    </row>
    <row r="146" spans="1:12" ht="15" customHeight="1" x14ac:dyDescent="0.25">
      <c r="A146" s="10">
        <v>145</v>
      </c>
      <c r="B146" s="10">
        <v>53</v>
      </c>
      <c r="C146" s="10">
        <v>19</v>
      </c>
      <c r="D146" s="10">
        <v>7</v>
      </c>
      <c r="E146" s="19">
        <v>291.89</v>
      </c>
      <c r="F146" s="10">
        <v>0</v>
      </c>
      <c r="G146" s="19">
        <f t="shared" si="6"/>
        <v>2043.23</v>
      </c>
      <c r="H146" s="10">
        <f>INDEX(Products!$C$2:$C$101,MATCH(C146,Products!$A$2:$A$101,0))</f>
        <v>2</v>
      </c>
      <c r="I146" s="10" t="str">
        <f>INDEX(Categories!$B$2:$B$11,MATCH(H146,Categories!$A$2:$A$11,0))</f>
        <v>Office Supplies</v>
      </c>
      <c r="J146" s="19">
        <f>INDEX(Products!$E$2:$E$101,MATCH(C146,Products!$A$2:$A$101,0))</f>
        <v>206.12</v>
      </c>
      <c r="K146" s="19">
        <f t="shared" si="7"/>
        <v>1442.8400000000001</v>
      </c>
      <c r="L146" s="19">
        <f t="shared" si="8"/>
        <v>600.38999999999987</v>
      </c>
    </row>
    <row r="147" spans="1:12" ht="15" customHeight="1" x14ac:dyDescent="0.25">
      <c r="A147" s="10">
        <v>146</v>
      </c>
      <c r="B147" s="10">
        <v>53</v>
      </c>
      <c r="C147" s="10">
        <v>41</v>
      </c>
      <c r="D147" s="10">
        <v>6</v>
      </c>
      <c r="E147" s="19">
        <v>331.46</v>
      </c>
      <c r="F147" s="10">
        <v>0.1</v>
      </c>
      <c r="G147" s="19">
        <f t="shared" si="6"/>
        <v>1789.8839999999998</v>
      </c>
      <c r="H147" s="10">
        <f>INDEX(Products!$C$2:$C$101,MATCH(C147,Products!$A$2:$A$101,0))</f>
        <v>5</v>
      </c>
      <c r="I147" s="10" t="str">
        <f>INDEX(Categories!$B$2:$B$11,MATCH(H147,Categories!$A$2:$A$11,0))</f>
        <v>Home &amp; Kitchen</v>
      </c>
      <c r="J147" s="19">
        <f>INDEX(Products!$E$2:$E$101,MATCH(C147,Products!$A$2:$A$101,0))</f>
        <v>152.76</v>
      </c>
      <c r="K147" s="19">
        <f t="shared" si="7"/>
        <v>916.56</v>
      </c>
      <c r="L147" s="19">
        <f t="shared" si="8"/>
        <v>873.32399999999984</v>
      </c>
    </row>
    <row r="148" spans="1:12" ht="15" customHeight="1" x14ac:dyDescent="0.25">
      <c r="A148" s="10">
        <v>147</v>
      </c>
      <c r="B148" s="10">
        <v>53</v>
      </c>
      <c r="C148" s="10">
        <v>92</v>
      </c>
      <c r="D148" s="10">
        <v>9</v>
      </c>
      <c r="E148" s="19">
        <v>467.17</v>
      </c>
      <c r="F148" s="10">
        <v>0</v>
      </c>
      <c r="G148" s="19">
        <f t="shared" si="6"/>
        <v>4204.53</v>
      </c>
      <c r="H148" s="10">
        <f>INDEX(Products!$C$2:$C$101,MATCH(C148,Products!$A$2:$A$101,0))</f>
        <v>10</v>
      </c>
      <c r="I148" s="10" t="str">
        <f>INDEX(Categories!$B$2:$B$11,MATCH(H148,Categories!$A$2:$A$11,0))</f>
        <v>Groceries</v>
      </c>
      <c r="J148" s="19">
        <f>INDEX(Products!$E$2:$E$101,MATCH(C148,Products!$A$2:$A$101,0))</f>
        <v>216.67</v>
      </c>
      <c r="K148" s="19">
        <f t="shared" si="7"/>
        <v>1950.03</v>
      </c>
      <c r="L148" s="19">
        <f t="shared" si="8"/>
        <v>2254.5</v>
      </c>
    </row>
    <row r="149" spans="1:12" ht="15" customHeight="1" x14ac:dyDescent="0.25">
      <c r="A149" s="10">
        <v>148</v>
      </c>
      <c r="B149" s="10">
        <v>53</v>
      </c>
      <c r="C149" s="10">
        <v>94</v>
      </c>
      <c r="D149" s="10">
        <v>6</v>
      </c>
      <c r="E149" s="19">
        <v>309.85000000000002</v>
      </c>
      <c r="F149" s="10">
        <v>0</v>
      </c>
      <c r="G149" s="19">
        <f t="shared" si="6"/>
        <v>1859.1000000000001</v>
      </c>
      <c r="H149" s="10">
        <f>INDEX(Products!$C$2:$C$101,MATCH(C149,Products!$A$2:$A$101,0))</f>
        <v>10</v>
      </c>
      <c r="I149" s="10" t="str">
        <f>INDEX(Categories!$B$2:$B$11,MATCH(H149,Categories!$A$2:$A$11,0))</f>
        <v>Groceries</v>
      </c>
      <c r="J149" s="19">
        <f>INDEX(Products!$E$2:$E$101,MATCH(C149,Products!$A$2:$A$101,0))</f>
        <v>201.08</v>
      </c>
      <c r="K149" s="19">
        <f t="shared" si="7"/>
        <v>1206.48</v>
      </c>
      <c r="L149" s="19">
        <f t="shared" si="8"/>
        <v>652.62000000000012</v>
      </c>
    </row>
    <row r="150" spans="1:12" ht="15" customHeight="1" x14ac:dyDescent="0.25">
      <c r="A150" s="10">
        <v>149</v>
      </c>
      <c r="B150" s="10">
        <v>53</v>
      </c>
      <c r="C150" s="10">
        <v>45</v>
      </c>
      <c r="D150" s="10">
        <v>8</v>
      </c>
      <c r="E150" s="19">
        <v>72.88</v>
      </c>
      <c r="F150" s="10">
        <v>0</v>
      </c>
      <c r="G150" s="19">
        <f t="shared" si="6"/>
        <v>583.04</v>
      </c>
      <c r="H150" s="10">
        <f>INDEX(Products!$C$2:$C$101,MATCH(C150,Products!$A$2:$A$101,0))</f>
        <v>5</v>
      </c>
      <c r="I150" s="10" t="str">
        <f>INDEX(Categories!$B$2:$B$11,MATCH(H150,Categories!$A$2:$A$11,0))</f>
        <v>Home &amp; Kitchen</v>
      </c>
      <c r="J150" s="19">
        <f>INDEX(Products!$E$2:$E$101,MATCH(C150,Products!$A$2:$A$101,0))</f>
        <v>41.66</v>
      </c>
      <c r="K150" s="19">
        <f t="shared" si="7"/>
        <v>333.28</v>
      </c>
      <c r="L150" s="19">
        <f t="shared" si="8"/>
        <v>249.76</v>
      </c>
    </row>
    <row r="151" spans="1:12" ht="15" customHeight="1" x14ac:dyDescent="0.25">
      <c r="A151" s="10">
        <v>150</v>
      </c>
      <c r="B151" s="10">
        <v>54</v>
      </c>
      <c r="C151" s="10">
        <v>32</v>
      </c>
      <c r="D151" s="10">
        <v>6</v>
      </c>
      <c r="E151" s="19">
        <v>489.82</v>
      </c>
      <c r="F151" s="10">
        <v>0</v>
      </c>
      <c r="G151" s="19">
        <f t="shared" si="6"/>
        <v>2938.92</v>
      </c>
      <c r="H151" s="10">
        <f>INDEX(Products!$C$2:$C$101,MATCH(C151,Products!$A$2:$A$101,0))</f>
        <v>4</v>
      </c>
      <c r="I151" s="10" t="str">
        <f>INDEX(Categories!$B$2:$B$11,MATCH(H151,Categories!$A$2:$A$11,0))</f>
        <v>Apparel</v>
      </c>
      <c r="J151" s="19">
        <f>INDEX(Products!$E$2:$E$101,MATCH(C151,Products!$A$2:$A$101,0))</f>
        <v>237.87</v>
      </c>
      <c r="K151" s="19">
        <f t="shared" si="7"/>
        <v>1427.22</v>
      </c>
      <c r="L151" s="19">
        <f t="shared" si="8"/>
        <v>1511.7</v>
      </c>
    </row>
    <row r="152" spans="1:12" ht="15" customHeight="1" x14ac:dyDescent="0.25">
      <c r="A152" s="10">
        <v>151</v>
      </c>
      <c r="B152" s="10">
        <v>54</v>
      </c>
      <c r="C152" s="10">
        <v>21</v>
      </c>
      <c r="D152" s="10">
        <v>3</v>
      </c>
      <c r="E152" s="19">
        <v>358.6</v>
      </c>
      <c r="F152" s="10">
        <v>0.05</v>
      </c>
      <c r="G152" s="19">
        <f t="shared" si="6"/>
        <v>1022.0100000000001</v>
      </c>
      <c r="H152" s="10">
        <f>INDEX(Products!$C$2:$C$101,MATCH(C152,Products!$A$2:$A$101,0))</f>
        <v>3</v>
      </c>
      <c r="I152" s="10" t="str">
        <f>INDEX(Categories!$B$2:$B$11,MATCH(H152,Categories!$A$2:$A$11,0))</f>
        <v>Furniture</v>
      </c>
      <c r="J152" s="19">
        <f>INDEX(Products!$E$2:$E$101,MATCH(C152,Products!$A$2:$A$101,0))</f>
        <v>155.13</v>
      </c>
      <c r="K152" s="19">
        <f t="shared" si="7"/>
        <v>465.39</v>
      </c>
      <c r="L152" s="19">
        <f t="shared" si="8"/>
        <v>556.62000000000012</v>
      </c>
    </row>
    <row r="153" spans="1:12" ht="15" customHeight="1" x14ac:dyDescent="0.25">
      <c r="A153" s="10">
        <v>152</v>
      </c>
      <c r="B153" s="10">
        <v>54</v>
      </c>
      <c r="C153" s="10">
        <v>42</v>
      </c>
      <c r="D153" s="10">
        <v>9</v>
      </c>
      <c r="E153" s="19">
        <v>370</v>
      </c>
      <c r="F153" s="10">
        <v>0.05</v>
      </c>
      <c r="G153" s="19">
        <f t="shared" si="6"/>
        <v>3163.5</v>
      </c>
      <c r="H153" s="10">
        <f>INDEX(Products!$C$2:$C$101,MATCH(C153,Products!$A$2:$A$101,0))</f>
        <v>5</v>
      </c>
      <c r="I153" s="10" t="str">
        <f>INDEX(Categories!$B$2:$B$11,MATCH(H153,Categories!$A$2:$A$11,0))</f>
        <v>Home &amp; Kitchen</v>
      </c>
      <c r="J153" s="19">
        <f>INDEX(Products!$E$2:$E$101,MATCH(C153,Products!$A$2:$A$101,0))</f>
        <v>227.4</v>
      </c>
      <c r="K153" s="19">
        <f t="shared" si="7"/>
        <v>2046.6000000000001</v>
      </c>
      <c r="L153" s="19">
        <f t="shared" si="8"/>
        <v>1116.8999999999999</v>
      </c>
    </row>
    <row r="154" spans="1:12" ht="15" customHeight="1" x14ac:dyDescent="0.25">
      <c r="A154" s="10">
        <v>153</v>
      </c>
      <c r="B154" s="10">
        <v>54</v>
      </c>
      <c r="C154" s="10">
        <v>74</v>
      </c>
      <c r="D154" s="10">
        <v>8</v>
      </c>
      <c r="E154" s="19">
        <v>199.68</v>
      </c>
      <c r="F154" s="10">
        <v>0</v>
      </c>
      <c r="G154" s="19">
        <f t="shared" si="6"/>
        <v>1597.44</v>
      </c>
      <c r="H154" s="10">
        <f>INDEX(Products!$C$2:$C$101,MATCH(C154,Products!$A$2:$A$101,0))</f>
        <v>8</v>
      </c>
      <c r="I154" s="10" t="str">
        <f>INDEX(Categories!$B$2:$B$11,MATCH(H154,Categories!$A$2:$A$11,0))</f>
        <v>Health &amp; Beauty</v>
      </c>
      <c r="J154" s="19">
        <f>INDEX(Products!$E$2:$E$101,MATCH(C154,Products!$A$2:$A$101,0))</f>
        <v>98.36</v>
      </c>
      <c r="K154" s="19">
        <f t="shared" si="7"/>
        <v>786.88</v>
      </c>
      <c r="L154" s="19">
        <f t="shared" si="8"/>
        <v>810.56000000000006</v>
      </c>
    </row>
    <row r="155" spans="1:12" ht="15" customHeight="1" x14ac:dyDescent="0.25">
      <c r="A155" s="10">
        <v>154</v>
      </c>
      <c r="B155" s="10">
        <v>55</v>
      </c>
      <c r="C155" s="10">
        <v>31</v>
      </c>
      <c r="D155" s="10">
        <v>1</v>
      </c>
      <c r="E155" s="19">
        <v>93.27</v>
      </c>
      <c r="F155" s="10">
        <v>0</v>
      </c>
      <c r="G155" s="19">
        <f t="shared" si="6"/>
        <v>93.27</v>
      </c>
      <c r="H155" s="10">
        <f>INDEX(Products!$C$2:$C$101,MATCH(C155,Products!$A$2:$A$101,0))</f>
        <v>4</v>
      </c>
      <c r="I155" s="10" t="str">
        <f>INDEX(Categories!$B$2:$B$11,MATCH(H155,Categories!$A$2:$A$11,0))</f>
        <v>Apparel</v>
      </c>
      <c r="J155" s="19">
        <f>INDEX(Products!$E$2:$E$101,MATCH(C155,Products!$A$2:$A$101,0))</f>
        <v>65.099999999999994</v>
      </c>
      <c r="K155" s="19">
        <f t="shared" si="7"/>
        <v>65.099999999999994</v>
      </c>
      <c r="L155" s="19">
        <f t="shared" si="8"/>
        <v>28.17</v>
      </c>
    </row>
    <row r="156" spans="1:12" ht="15" customHeight="1" x14ac:dyDescent="0.25">
      <c r="A156" s="10">
        <v>155</v>
      </c>
      <c r="B156" s="10">
        <v>55</v>
      </c>
      <c r="C156" s="10">
        <v>28</v>
      </c>
      <c r="D156" s="10">
        <v>5</v>
      </c>
      <c r="E156" s="19">
        <v>149.97</v>
      </c>
      <c r="F156" s="10">
        <v>0.05</v>
      </c>
      <c r="G156" s="19">
        <f t="shared" si="6"/>
        <v>712.35749999999996</v>
      </c>
      <c r="H156" s="10">
        <f>INDEX(Products!$C$2:$C$101,MATCH(C156,Products!$A$2:$A$101,0))</f>
        <v>3</v>
      </c>
      <c r="I156" s="10" t="str">
        <f>INDEX(Categories!$B$2:$B$11,MATCH(H156,Categories!$A$2:$A$11,0))</f>
        <v>Furniture</v>
      </c>
      <c r="J156" s="19">
        <f>INDEX(Products!$E$2:$E$101,MATCH(C156,Products!$A$2:$A$101,0))</f>
        <v>113.7</v>
      </c>
      <c r="K156" s="19">
        <f t="shared" si="7"/>
        <v>568.5</v>
      </c>
      <c r="L156" s="19">
        <f t="shared" si="8"/>
        <v>143.85749999999996</v>
      </c>
    </row>
    <row r="157" spans="1:12" ht="15" customHeight="1" x14ac:dyDescent="0.25">
      <c r="A157" s="10">
        <v>156</v>
      </c>
      <c r="B157" s="10">
        <v>55</v>
      </c>
      <c r="C157" s="10">
        <v>75</v>
      </c>
      <c r="D157" s="10">
        <v>10</v>
      </c>
      <c r="E157" s="19">
        <v>347.21</v>
      </c>
      <c r="F157" s="10">
        <v>0.2</v>
      </c>
      <c r="G157" s="19">
        <f t="shared" si="6"/>
        <v>2777.6800000000003</v>
      </c>
      <c r="H157" s="10">
        <f>INDEX(Products!$C$2:$C$101,MATCH(C157,Products!$A$2:$A$101,0))</f>
        <v>8</v>
      </c>
      <c r="I157" s="10" t="str">
        <f>INDEX(Categories!$B$2:$B$11,MATCH(H157,Categories!$A$2:$A$11,0))</f>
        <v>Health &amp; Beauty</v>
      </c>
      <c r="J157" s="19">
        <f>INDEX(Products!$E$2:$E$101,MATCH(C157,Products!$A$2:$A$101,0))</f>
        <v>241.31</v>
      </c>
      <c r="K157" s="19">
        <f t="shared" si="7"/>
        <v>2413.1</v>
      </c>
      <c r="L157" s="19">
        <f t="shared" si="8"/>
        <v>364.58000000000038</v>
      </c>
    </row>
    <row r="158" spans="1:12" ht="15" customHeight="1" x14ac:dyDescent="0.25">
      <c r="A158" s="10">
        <v>157</v>
      </c>
      <c r="B158" s="10">
        <v>55</v>
      </c>
      <c r="C158" s="10">
        <v>46</v>
      </c>
      <c r="D158" s="10">
        <v>8</v>
      </c>
      <c r="E158" s="19">
        <v>125.01</v>
      </c>
      <c r="F158" s="10">
        <v>0</v>
      </c>
      <c r="G158" s="19">
        <f t="shared" si="6"/>
        <v>1000.08</v>
      </c>
      <c r="H158" s="10">
        <f>INDEX(Products!$C$2:$C$101,MATCH(C158,Products!$A$2:$A$101,0))</f>
        <v>5</v>
      </c>
      <c r="I158" s="10" t="str">
        <f>INDEX(Categories!$B$2:$B$11,MATCH(H158,Categories!$A$2:$A$11,0))</f>
        <v>Home &amp; Kitchen</v>
      </c>
      <c r="J158" s="19">
        <f>INDEX(Products!$E$2:$E$101,MATCH(C158,Products!$A$2:$A$101,0))</f>
        <v>60.17</v>
      </c>
      <c r="K158" s="19">
        <f t="shared" si="7"/>
        <v>481.36</v>
      </c>
      <c r="L158" s="19">
        <f t="shared" si="8"/>
        <v>518.72</v>
      </c>
    </row>
    <row r="159" spans="1:12" ht="15" customHeight="1" x14ac:dyDescent="0.25">
      <c r="A159" s="10">
        <v>158</v>
      </c>
      <c r="B159" s="10">
        <v>56</v>
      </c>
      <c r="C159" s="10">
        <v>94</v>
      </c>
      <c r="D159" s="10">
        <v>7</v>
      </c>
      <c r="E159" s="19">
        <v>309.85000000000002</v>
      </c>
      <c r="F159" s="10">
        <v>0</v>
      </c>
      <c r="G159" s="19">
        <f t="shared" si="6"/>
        <v>2168.9500000000003</v>
      </c>
      <c r="H159" s="10">
        <f>INDEX(Products!$C$2:$C$101,MATCH(C159,Products!$A$2:$A$101,0))</f>
        <v>10</v>
      </c>
      <c r="I159" s="10" t="str">
        <f>INDEX(Categories!$B$2:$B$11,MATCH(H159,Categories!$A$2:$A$11,0))</f>
        <v>Groceries</v>
      </c>
      <c r="J159" s="19">
        <f>INDEX(Products!$E$2:$E$101,MATCH(C159,Products!$A$2:$A$101,0))</f>
        <v>201.08</v>
      </c>
      <c r="K159" s="19">
        <f t="shared" si="7"/>
        <v>1407.5600000000002</v>
      </c>
      <c r="L159" s="19">
        <f t="shared" si="8"/>
        <v>761.3900000000001</v>
      </c>
    </row>
    <row r="160" spans="1:12" ht="15" customHeight="1" x14ac:dyDescent="0.25">
      <c r="A160" s="10">
        <v>159</v>
      </c>
      <c r="B160" s="10">
        <v>56</v>
      </c>
      <c r="C160" s="10">
        <v>47</v>
      </c>
      <c r="D160" s="10">
        <v>1</v>
      </c>
      <c r="E160" s="19">
        <v>96.51</v>
      </c>
      <c r="F160" s="10">
        <v>0.05</v>
      </c>
      <c r="G160" s="19">
        <f t="shared" si="6"/>
        <v>91.6845</v>
      </c>
      <c r="H160" s="10">
        <f>INDEX(Products!$C$2:$C$101,MATCH(C160,Products!$A$2:$A$101,0))</f>
        <v>5</v>
      </c>
      <c r="I160" s="10" t="str">
        <f>INDEX(Categories!$B$2:$B$11,MATCH(H160,Categories!$A$2:$A$11,0))</f>
        <v>Home &amp; Kitchen</v>
      </c>
      <c r="J160" s="19">
        <f>INDEX(Products!$E$2:$E$101,MATCH(C160,Products!$A$2:$A$101,0))</f>
        <v>60.66</v>
      </c>
      <c r="K160" s="19">
        <f t="shared" si="7"/>
        <v>60.66</v>
      </c>
      <c r="L160" s="19">
        <f t="shared" si="8"/>
        <v>31.024500000000003</v>
      </c>
    </row>
    <row r="161" spans="1:12" ht="15" customHeight="1" x14ac:dyDescent="0.25">
      <c r="A161" s="10">
        <v>160</v>
      </c>
      <c r="B161" s="10">
        <v>56</v>
      </c>
      <c r="C161" s="10">
        <v>98</v>
      </c>
      <c r="D161" s="10">
        <v>1</v>
      </c>
      <c r="E161" s="19">
        <v>67.48</v>
      </c>
      <c r="F161" s="10">
        <v>0.1</v>
      </c>
      <c r="G161" s="19">
        <f t="shared" si="6"/>
        <v>60.732000000000006</v>
      </c>
      <c r="H161" s="10">
        <f>INDEX(Products!$C$2:$C$101,MATCH(C161,Products!$A$2:$A$101,0))</f>
        <v>10</v>
      </c>
      <c r="I161" s="10" t="str">
        <f>INDEX(Categories!$B$2:$B$11,MATCH(H161,Categories!$A$2:$A$11,0))</f>
        <v>Groceries</v>
      </c>
      <c r="J161" s="19">
        <f>INDEX(Products!$E$2:$E$101,MATCH(C161,Products!$A$2:$A$101,0))</f>
        <v>35.64</v>
      </c>
      <c r="K161" s="19">
        <f t="shared" si="7"/>
        <v>35.64</v>
      </c>
      <c r="L161" s="19">
        <f t="shared" si="8"/>
        <v>25.092000000000006</v>
      </c>
    </row>
    <row r="162" spans="1:12" ht="15" customHeight="1" x14ac:dyDescent="0.25">
      <c r="A162" s="10">
        <v>161</v>
      </c>
      <c r="B162" s="10">
        <v>57</v>
      </c>
      <c r="C162" s="10">
        <v>58</v>
      </c>
      <c r="D162" s="10">
        <v>10</v>
      </c>
      <c r="E162" s="19">
        <v>388.55</v>
      </c>
      <c r="F162" s="10">
        <v>0</v>
      </c>
      <c r="G162" s="19">
        <f t="shared" si="6"/>
        <v>3885.5</v>
      </c>
      <c r="H162" s="10">
        <f>INDEX(Products!$C$2:$C$101,MATCH(C162,Products!$A$2:$A$101,0))</f>
        <v>6</v>
      </c>
      <c r="I162" s="10" t="str">
        <f>INDEX(Categories!$B$2:$B$11,MATCH(H162,Categories!$A$2:$A$11,0))</f>
        <v>Sporting Goods</v>
      </c>
      <c r="J162" s="19">
        <f>INDEX(Products!$E$2:$E$101,MATCH(C162,Products!$A$2:$A$101,0))</f>
        <v>203.95</v>
      </c>
      <c r="K162" s="19">
        <f t="shared" si="7"/>
        <v>2039.5</v>
      </c>
      <c r="L162" s="19">
        <f t="shared" si="8"/>
        <v>1846</v>
      </c>
    </row>
    <row r="163" spans="1:12" ht="15" customHeight="1" x14ac:dyDescent="0.25">
      <c r="A163" s="10">
        <v>162</v>
      </c>
      <c r="B163" s="10">
        <v>57</v>
      </c>
      <c r="C163" s="10">
        <v>98</v>
      </c>
      <c r="D163" s="10">
        <v>3</v>
      </c>
      <c r="E163" s="19">
        <v>67.48</v>
      </c>
      <c r="F163" s="10">
        <v>0</v>
      </c>
      <c r="G163" s="19">
        <f t="shared" si="6"/>
        <v>202.44</v>
      </c>
      <c r="H163" s="10">
        <f>INDEX(Products!$C$2:$C$101,MATCH(C163,Products!$A$2:$A$101,0))</f>
        <v>10</v>
      </c>
      <c r="I163" s="10" t="str">
        <f>INDEX(Categories!$B$2:$B$11,MATCH(H163,Categories!$A$2:$A$11,0))</f>
        <v>Groceries</v>
      </c>
      <c r="J163" s="19">
        <f>INDEX(Products!$E$2:$E$101,MATCH(C163,Products!$A$2:$A$101,0))</f>
        <v>35.64</v>
      </c>
      <c r="K163" s="19">
        <f t="shared" si="7"/>
        <v>106.92</v>
      </c>
      <c r="L163" s="19">
        <f t="shared" si="8"/>
        <v>95.52</v>
      </c>
    </row>
    <row r="164" spans="1:12" ht="15" customHeight="1" x14ac:dyDescent="0.25">
      <c r="A164" s="10">
        <v>163</v>
      </c>
      <c r="B164" s="10">
        <v>57</v>
      </c>
      <c r="C164" s="10">
        <v>71</v>
      </c>
      <c r="D164" s="10">
        <v>7</v>
      </c>
      <c r="E164" s="19">
        <v>228.48</v>
      </c>
      <c r="F164" s="10">
        <v>0</v>
      </c>
      <c r="G164" s="19">
        <f t="shared" si="6"/>
        <v>1599.36</v>
      </c>
      <c r="H164" s="10">
        <f>INDEX(Products!$C$2:$C$101,MATCH(C164,Products!$A$2:$A$101,0))</f>
        <v>8</v>
      </c>
      <c r="I164" s="10" t="str">
        <f>INDEX(Categories!$B$2:$B$11,MATCH(H164,Categories!$A$2:$A$11,0))</f>
        <v>Health &amp; Beauty</v>
      </c>
      <c r="J164" s="19">
        <f>INDEX(Products!$E$2:$E$101,MATCH(C164,Products!$A$2:$A$101,0))</f>
        <v>136.03</v>
      </c>
      <c r="K164" s="19">
        <f t="shared" si="7"/>
        <v>952.21</v>
      </c>
      <c r="L164" s="19">
        <f t="shared" si="8"/>
        <v>647.14999999999986</v>
      </c>
    </row>
    <row r="165" spans="1:12" ht="15" customHeight="1" x14ac:dyDescent="0.25">
      <c r="A165" s="10">
        <v>164</v>
      </c>
      <c r="B165" s="10">
        <v>57</v>
      </c>
      <c r="C165" s="10">
        <v>36</v>
      </c>
      <c r="D165" s="10">
        <v>6</v>
      </c>
      <c r="E165" s="19">
        <v>472.77</v>
      </c>
      <c r="F165" s="10">
        <v>0.1</v>
      </c>
      <c r="G165" s="19">
        <f t="shared" si="6"/>
        <v>2552.9580000000001</v>
      </c>
      <c r="H165" s="10">
        <f>INDEX(Products!$C$2:$C$101,MATCH(C165,Products!$A$2:$A$101,0))</f>
        <v>4</v>
      </c>
      <c r="I165" s="10" t="str">
        <f>INDEX(Categories!$B$2:$B$11,MATCH(H165,Categories!$A$2:$A$11,0))</f>
        <v>Apparel</v>
      </c>
      <c r="J165" s="19">
        <f>INDEX(Products!$E$2:$E$101,MATCH(C165,Products!$A$2:$A$101,0))</f>
        <v>236.19</v>
      </c>
      <c r="K165" s="19">
        <f t="shared" si="7"/>
        <v>1417.1399999999999</v>
      </c>
      <c r="L165" s="19">
        <f t="shared" si="8"/>
        <v>1135.8180000000002</v>
      </c>
    </row>
    <row r="166" spans="1:12" ht="15" customHeight="1" x14ac:dyDescent="0.25">
      <c r="A166" s="10">
        <v>165</v>
      </c>
      <c r="B166" s="10">
        <v>57</v>
      </c>
      <c r="C166" s="10">
        <v>80</v>
      </c>
      <c r="D166" s="10">
        <v>6</v>
      </c>
      <c r="E166" s="19">
        <v>292.64999999999998</v>
      </c>
      <c r="F166" s="10">
        <v>0.2</v>
      </c>
      <c r="G166" s="19">
        <f t="shared" si="6"/>
        <v>1404.72</v>
      </c>
      <c r="H166" s="10">
        <f>INDEX(Products!$C$2:$C$101,MATCH(C166,Products!$A$2:$A$101,0))</f>
        <v>8</v>
      </c>
      <c r="I166" s="10" t="str">
        <f>INDEX(Categories!$B$2:$B$11,MATCH(H166,Categories!$A$2:$A$11,0))</f>
        <v>Health &amp; Beauty</v>
      </c>
      <c r="J166" s="19">
        <f>INDEX(Products!$E$2:$E$101,MATCH(C166,Products!$A$2:$A$101,0))</f>
        <v>218.48</v>
      </c>
      <c r="K166" s="19">
        <f t="shared" si="7"/>
        <v>1310.8799999999999</v>
      </c>
      <c r="L166" s="19">
        <f t="shared" si="8"/>
        <v>93.840000000000146</v>
      </c>
    </row>
    <row r="167" spans="1:12" ht="15" customHeight="1" x14ac:dyDescent="0.25">
      <c r="A167" s="10">
        <v>166</v>
      </c>
      <c r="B167" s="10">
        <v>58</v>
      </c>
      <c r="C167" s="10">
        <v>92</v>
      </c>
      <c r="D167" s="10">
        <v>8</v>
      </c>
      <c r="E167" s="19">
        <v>467.17</v>
      </c>
      <c r="F167" s="10">
        <v>0.1</v>
      </c>
      <c r="G167" s="19">
        <f t="shared" si="6"/>
        <v>3363.6240000000003</v>
      </c>
      <c r="H167" s="10">
        <f>INDEX(Products!$C$2:$C$101,MATCH(C167,Products!$A$2:$A$101,0))</f>
        <v>10</v>
      </c>
      <c r="I167" s="10" t="str">
        <f>INDEX(Categories!$B$2:$B$11,MATCH(H167,Categories!$A$2:$A$11,0))</f>
        <v>Groceries</v>
      </c>
      <c r="J167" s="19">
        <f>INDEX(Products!$E$2:$E$101,MATCH(C167,Products!$A$2:$A$101,0))</f>
        <v>216.67</v>
      </c>
      <c r="K167" s="19">
        <f t="shared" si="7"/>
        <v>1733.36</v>
      </c>
      <c r="L167" s="19">
        <f t="shared" si="8"/>
        <v>1630.2640000000004</v>
      </c>
    </row>
    <row r="168" spans="1:12" ht="15" customHeight="1" x14ac:dyDescent="0.25">
      <c r="A168" s="10">
        <v>167</v>
      </c>
      <c r="B168" s="10">
        <v>58</v>
      </c>
      <c r="C168" s="10">
        <v>43</v>
      </c>
      <c r="D168" s="10">
        <v>8</v>
      </c>
      <c r="E168" s="19">
        <v>42.13</v>
      </c>
      <c r="F168" s="10">
        <v>0</v>
      </c>
      <c r="G168" s="19">
        <f t="shared" si="6"/>
        <v>337.04</v>
      </c>
      <c r="H168" s="10">
        <f>INDEX(Products!$C$2:$C$101,MATCH(C168,Products!$A$2:$A$101,0))</f>
        <v>5</v>
      </c>
      <c r="I168" s="10" t="str">
        <f>INDEX(Categories!$B$2:$B$11,MATCH(H168,Categories!$A$2:$A$11,0))</f>
        <v>Home &amp; Kitchen</v>
      </c>
      <c r="J168" s="19">
        <f>INDEX(Products!$E$2:$E$101,MATCH(C168,Products!$A$2:$A$101,0))</f>
        <v>17.88</v>
      </c>
      <c r="K168" s="19">
        <f t="shared" si="7"/>
        <v>143.04</v>
      </c>
      <c r="L168" s="19">
        <f t="shared" si="8"/>
        <v>194.00000000000003</v>
      </c>
    </row>
    <row r="169" spans="1:12" ht="15" customHeight="1" x14ac:dyDescent="0.25">
      <c r="A169" s="10">
        <v>168</v>
      </c>
      <c r="B169" s="10">
        <v>59</v>
      </c>
      <c r="C169" s="10">
        <v>76</v>
      </c>
      <c r="D169" s="10">
        <v>9</v>
      </c>
      <c r="E169" s="19">
        <v>390.64</v>
      </c>
      <c r="F169" s="10">
        <v>0.1</v>
      </c>
      <c r="G169" s="19">
        <f t="shared" si="6"/>
        <v>3164.1839999999997</v>
      </c>
      <c r="H169" s="10">
        <f>INDEX(Products!$C$2:$C$101,MATCH(C169,Products!$A$2:$A$101,0))</f>
        <v>8</v>
      </c>
      <c r="I169" s="10" t="str">
        <f>INDEX(Categories!$B$2:$B$11,MATCH(H169,Categories!$A$2:$A$11,0))</f>
        <v>Health &amp; Beauty</v>
      </c>
      <c r="J169" s="19">
        <f>INDEX(Products!$E$2:$E$101,MATCH(C169,Products!$A$2:$A$101,0))</f>
        <v>218.93</v>
      </c>
      <c r="K169" s="19">
        <f t="shared" si="7"/>
        <v>1970.3700000000001</v>
      </c>
      <c r="L169" s="19">
        <f t="shared" si="8"/>
        <v>1193.8139999999996</v>
      </c>
    </row>
    <row r="170" spans="1:12" ht="15" customHeight="1" x14ac:dyDescent="0.25">
      <c r="A170" s="10">
        <v>169</v>
      </c>
      <c r="B170" s="10">
        <v>59</v>
      </c>
      <c r="C170" s="10">
        <v>44</v>
      </c>
      <c r="D170" s="10">
        <v>8</v>
      </c>
      <c r="E170" s="19">
        <v>111.7</v>
      </c>
      <c r="F170" s="10">
        <v>0.15</v>
      </c>
      <c r="G170" s="19">
        <f t="shared" si="6"/>
        <v>759.56</v>
      </c>
      <c r="H170" s="10">
        <f>INDEX(Products!$C$2:$C$101,MATCH(C170,Products!$A$2:$A$101,0))</f>
        <v>5</v>
      </c>
      <c r="I170" s="10" t="str">
        <f>INDEX(Categories!$B$2:$B$11,MATCH(H170,Categories!$A$2:$A$11,0))</f>
        <v>Home &amp; Kitchen</v>
      </c>
      <c r="J170" s="19">
        <f>INDEX(Products!$E$2:$E$101,MATCH(C170,Products!$A$2:$A$101,0))</f>
        <v>55.12</v>
      </c>
      <c r="K170" s="19">
        <f t="shared" si="7"/>
        <v>440.96</v>
      </c>
      <c r="L170" s="19">
        <f t="shared" si="8"/>
        <v>318.59999999999997</v>
      </c>
    </row>
    <row r="171" spans="1:12" ht="15" customHeight="1" x14ac:dyDescent="0.25">
      <c r="A171" s="10">
        <v>170</v>
      </c>
      <c r="B171" s="10">
        <v>59</v>
      </c>
      <c r="C171" s="10">
        <v>65</v>
      </c>
      <c r="D171" s="10">
        <v>10</v>
      </c>
      <c r="E171" s="19">
        <v>167.19</v>
      </c>
      <c r="F171" s="10">
        <v>0</v>
      </c>
      <c r="G171" s="19">
        <f t="shared" si="6"/>
        <v>1671.9</v>
      </c>
      <c r="H171" s="10">
        <f>INDEX(Products!$C$2:$C$101,MATCH(C171,Products!$A$2:$A$101,0))</f>
        <v>7</v>
      </c>
      <c r="I171" s="10" t="str">
        <f>INDEX(Categories!$B$2:$B$11,MATCH(H171,Categories!$A$2:$A$11,0))</f>
        <v>Toys &amp; Games</v>
      </c>
      <c r="J171" s="19">
        <f>INDEX(Products!$E$2:$E$101,MATCH(C171,Products!$A$2:$A$101,0))</f>
        <v>116.98</v>
      </c>
      <c r="K171" s="19">
        <f t="shared" si="7"/>
        <v>1169.8</v>
      </c>
      <c r="L171" s="19">
        <f t="shared" si="8"/>
        <v>502.10000000000014</v>
      </c>
    </row>
    <row r="172" spans="1:12" ht="15" customHeight="1" x14ac:dyDescent="0.25">
      <c r="A172" s="10">
        <v>171</v>
      </c>
      <c r="B172" s="10">
        <v>60</v>
      </c>
      <c r="C172" s="10">
        <v>75</v>
      </c>
      <c r="D172" s="10">
        <v>1</v>
      </c>
      <c r="E172" s="19">
        <v>347.21</v>
      </c>
      <c r="F172" s="10">
        <v>0.1</v>
      </c>
      <c r="G172" s="19">
        <f t="shared" si="6"/>
        <v>312.48899999999998</v>
      </c>
      <c r="H172" s="10">
        <f>INDEX(Products!$C$2:$C$101,MATCH(C172,Products!$A$2:$A$101,0))</f>
        <v>8</v>
      </c>
      <c r="I172" s="10" t="str">
        <f>INDEX(Categories!$B$2:$B$11,MATCH(H172,Categories!$A$2:$A$11,0))</f>
        <v>Health &amp; Beauty</v>
      </c>
      <c r="J172" s="19">
        <f>INDEX(Products!$E$2:$E$101,MATCH(C172,Products!$A$2:$A$101,0))</f>
        <v>241.31</v>
      </c>
      <c r="K172" s="19">
        <f t="shared" si="7"/>
        <v>241.31</v>
      </c>
      <c r="L172" s="19">
        <f t="shared" si="8"/>
        <v>71.178999999999974</v>
      </c>
    </row>
    <row r="173" spans="1:12" ht="15" customHeight="1" x14ac:dyDescent="0.25">
      <c r="A173" s="10">
        <v>172</v>
      </c>
      <c r="B173" s="10">
        <v>60</v>
      </c>
      <c r="C173" s="10">
        <v>40</v>
      </c>
      <c r="D173" s="10">
        <v>8</v>
      </c>
      <c r="E173" s="19">
        <v>330.91</v>
      </c>
      <c r="F173" s="10">
        <v>0</v>
      </c>
      <c r="G173" s="19">
        <f t="shared" si="6"/>
        <v>2647.28</v>
      </c>
      <c r="H173" s="10">
        <f>INDEX(Products!$C$2:$C$101,MATCH(C173,Products!$A$2:$A$101,0))</f>
        <v>4</v>
      </c>
      <c r="I173" s="10" t="str">
        <f>INDEX(Categories!$B$2:$B$11,MATCH(H173,Categories!$A$2:$A$11,0))</f>
        <v>Apparel</v>
      </c>
      <c r="J173" s="19">
        <f>INDEX(Products!$E$2:$E$101,MATCH(C173,Products!$A$2:$A$101,0))</f>
        <v>237.43</v>
      </c>
      <c r="K173" s="19">
        <f t="shared" si="7"/>
        <v>1899.44</v>
      </c>
      <c r="L173" s="19">
        <f t="shared" si="8"/>
        <v>747.84000000000015</v>
      </c>
    </row>
    <row r="174" spans="1:12" ht="15" customHeight="1" x14ac:dyDescent="0.25">
      <c r="A174" s="10">
        <v>173</v>
      </c>
      <c r="B174" s="10">
        <v>60</v>
      </c>
      <c r="C174" s="10">
        <v>93</v>
      </c>
      <c r="D174" s="10">
        <v>10</v>
      </c>
      <c r="E174" s="19">
        <v>288.39999999999998</v>
      </c>
      <c r="F174" s="10">
        <v>0.1</v>
      </c>
      <c r="G174" s="19">
        <f t="shared" si="6"/>
        <v>2595.6</v>
      </c>
      <c r="H174" s="10">
        <f>INDEX(Products!$C$2:$C$101,MATCH(C174,Products!$A$2:$A$101,0))</f>
        <v>10</v>
      </c>
      <c r="I174" s="10" t="str">
        <f>INDEX(Categories!$B$2:$B$11,MATCH(H174,Categories!$A$2:$A$11,0))</f>
        <v>Groceries</v>
      </c>
      <c r="J174" s="19">
        <f>INDEX(Products!$E$2:$E$101,MATCH(C174,Products!$A$2:$A$101,0))</f>
        <v>125.69</v>
      </c>
      <c r="K174" s="19">
        <f t="shared" si="7"/>
        <v>1256.9000000000001</v>
      </c>
      <c r="L174" s="19">
        <f t="shared" si="8"/>
        <v>1338.6999999999998</v>
      </c>
    </row>
    <row r="175" spans="1:12" ht="15" customHeight="1" x14ac:dyDescent="0.25">
      <c r="A175" s="10">
        <v>174</v>
      </c>
      <c r="B175" s="10">
        <v>60</v>
      </c>
      <c r="C175" s="10">
        <v>89</v>
      </c>
      <c r="D175" s="10">
        <v>4</v>
      </c>
      <c r="E175" s="19">
        <v>312.76</v>
      </c>
      <c r="F175" s="10">
        <v>0.15</v>
      </c>
      <c r="G175" s="19">
        <f t="shared" si="6"/>
        <v>1063.384</v>
      </c>
      <c r="H175" s="10">
        <f>INDEX(Products!$C$2:$C$101,MATCH(C175,Products!$A$2:$A$101,0))</f>
        <v>9</v>
      </c>
      <c r="I175" s="10" t="str">
        <f>INDEX(Categories!$B$2:$B$11,MATCH(H175,Categories!$A$2:$A$11,0))</f>
        <v>Automotive Parts</v>
      </c>
      <c r="J175" s="19">
        <f>INDEX(Products!$E$2:$E$101,MATCH(C175,Products!$A$2:$A$101,0))</f>
        <v>173.51</v>
      </c>
      <c r="K175" s="19">
        <f t="shared" si="7"/>
        <v>694.04</v>
      </c>
      <c r="L175" s="19">
        <f t="shared" si="8"/>
        <v>369.34400000000005</v>
      </c>
    </row>
    <row r="176" spans="1:12" ht="15" customHeight="1" x14ac:dyDescent="0.25">
      <c r="A176" s="10">
        <v>175</v>
      </c>
      <c r="B176" s="10">
        <v>61</v>
      </c>
      <c r="C176" s="10">
        <v>25</v>
      </c>
      <c r="D176" s="10">
        <v>1</v>
      </c>
      <c r="E176" s="19">
        <v>334.98</v>
      </c>
      <c r="F176" s="10">
        <v>0.05</v>
      </c>
      <c r="G176" s="19">
        <f t="shared" si="6"/>
        <v>318.23099999999999</v>
      </c>
      <c r="H176" s="10">
        <f>INDEX(Products!$C$2:$C$101,MATCH(C176,Products!$A$2:$A$101,0))</f>
        <v>3</v>
      </c>
      <c r="I176" s="10" t="str">
        <f>INDEX(Categories!$B$2:$B$11,MATCH(H176,Categories!$A$2:$A$11,0))</f>
        <v>Furniture</v>
      </c>
      <c r="J176" s="19">
        <f>INDEX(Products!$E$2:$E$101,MATCH(C176,Products!$A$2:$A$101,0))</f>
        <v>200.06</v>
      </c>
      <c r="K176" s="19">
        <f t="shared" si="7"/>
        <v>200.06</v>
      </c>
      <c r="L176" s="19">
        <f t="shared" si="8"/>
        <v>118.17099999999999</v>
      </c>
    </row>
    <row r="177" spans="1:12" ht="15" customHeight="1" x14ac:dyDescent="0.25">
      <c r="A177" s="10">
        <v>176</v>
      </c>
      <c r="B177" s="10">
        <v>62</v>
      </c>
      <c r="C177" s="10">
        <v>61</v>
      </c>
      <c r="D177" s="10">
        <v>3</v>
      </c>
      <c r="E177" s="19">
        <v>289.8</v>
      </c>
      <c r="F177" s="10">
        <v>0.1</v>
      </c>
      <c r="G177" s="19">
        <f t="shared" si="6"/>
        <v>782.46000000000015</v>
      </c>
      <c r="H177" s="10">
        <f>INDEX(Products!$C$2:$C$101,MATCH(C177,Products!$A$2:$A$101,0))</f>
        <v>7</v>
      </c>
      <c r="I177" s="10" t="str">
        <f>INDEX(Categories!$B$2:$B$11,MATCH(H177,Categories!$A$2:$A$11,0))</f>
        <v>Toys &amp; Games</v>
      </c>
      <c r="J177" s="19">
        <f>INDEX(Products!$E$2:$E$101,MATCH(C177,Products!$A$2:$A$101,0))</f>
        <v>156.79</v>
      </c>
      <c r="K177" s="19">
        <f t="shared" si="7"/>
        <v>470.37</v>
      </c>
      <c r="L177" s="19">
        <f t="shared" si="8"/>
        <v>312.09000000000015</v>
      </c>
    </row>
    <row r="178" spans="1:12" ht="15" customHeight="1" x14ac:dyDescent="0.25">
      <c r="A178" s="10">
        <v>177</v>
      </c>
      <c r="B178" s="10">
        <v>62</v>
      </c>
      <c r="C178" s="10">
        <v>95</v>
      </c>
      <c r="D178" s="10">
        <v>4</v>
      </c>
      <c r="E178" s="19">
        <v>394.56</v>
      </c>
      <c r="F178" s="10">
        <v>0.1</v>
      </c>
      <c r="G178" s="19">
        <f t="shared" si="6"/>
        <v>1420.4159999999999</v>
      </c>
      <c r="H178" s="10">
        <f>INDEX(Products!$C$2:$C$101,MATCH(C178,Products!$A$2:$A$101,0))</f>
        <v>10</v>
      </c>
      <c r="I178" s="10" t="str">
        <f>INDEX(Categories!$B$2:$B$11,MATCH(H178,Categories!$A$2:$A$11,0))</f>
        <v>Groceries</v>
      </c>
      <c r="J178" s="19">
        <f>INDEX(Products!$E$2:$E$101,MATCH(C178,Products!$A$2:$A$101,0))</f>
        <v>192.57</v>
      </c>
      <c r="K178" s="19">
        <f t="shared" si="7"/>
        <v>770.28</v>
      </c>
      <c r="L178" s="19">
        <f t="shared" si="8"/>
        <v>650.13599999999997</v>
      </c>
    </row>
    <row r="179" spans="1:12" ht="15" customHeight="1" x14ac:dyDescent="0.25">
      <c r="A179" s="10">
        <v>178</v>
      </c>
      <c r="B179" s="10">
        <v>62</v>
      </c>
      <c r="C179" s="10">
        <v>94</v>
      </c>
      <c r="D179" s="10">
        <v>6</v>
      </c>
      <c r="E179" s="19">
        <v>309.85000000000002</v>
      </c>
      <c r="F179" s="10">
        <v>0.15</v>
      </c>
      <c r="G179" s="19">
        <f t="shared" si="6"/>
        <v>1580.2350000000001</v>
      </c>
      <c r="H179" s="10">
        <f>INDEX(Products!$C$2:$C$101,MATCH(C179,Products!$A$2:$A$101,0))</f>
        <v>10</v>
      </c>
      <c r="I179" s="10" t="str">
        <f>INDEX(Categories!$B$2:$B$11,MATCH(H179,Categories!$A$2:$A$11,0))</f>
        <v>Groceries</v>
      </c>
      <c r="J179" s="19">
        <f>INDEX(Products!$E$2:$E$101,MATCH(C179,Products!$A$2:$A$101,0))</f>
        <v>201.08</v>
      </c>
      <c r="K179" s="19">
        <f t="shared" si="7"/>
        <v>1206.48</v>
      </c>
      <c r="L179" s="19">
        <f t="shared" si="8"/>
        <v>373.75500000000011</v>
      </c>
    </row>
    <row r="180" spans="1:12" ht="15" customHeight="1" x14ac:dyDescent="0.25">
      <c r="A180" s="10">
        <v>179</v>
      </c>
      <c r="B180" s="10">
        <v>62</v>
      </c>
      <c r="C180" s="10">
        <v>8</v>
      </c>
      <c r="D180" s="10">
        <v>8</v>
      </c>
      <c r="E180" s="19">
        <v>418.1</v>
      </c>
      <c r="F180" s="10">
        <v>0.1</v>
      </c>
      <c r="G180" s="19">
        <f t="shared" si="6"/>
        <v>3010.32</v>
      </c>
      <c r="H180" s="10">
        <f>INDEX(Products!$C$2:$C$101,MATCH(C180,Products!$A$2:$A$101,0))</f>
        <v>1</v>
      </c>
      <c r="I180" s="10" t="str">
        <f>INDEX(Categories!$B$2:$B$11,MATCH(H180,Categories!$A$2:$A$11,0))</f>
        <v>Electronics</v>
      </c>
      <c r="J180" s="19">
        <f>INDEX(Products!$E$2:$E$101,MATCH(C180,Products!$A$2:$A$101,0))</f>
        <v>188.75</v>
      </c>
      <c r="K180" s="19">
        <f t="shared" si="7"/>
        <v>1510</v>
      </c>
      <c r="L180" s="19">
        <f t="shared" si="8"/>
        <v>1500.3200000000002</v>
      </c>
    </row>
    <row r="181" spans="1:12" ht="15" customHeight="1" x14ac:dyDescent="0.25">
      <c r="A181" s="10">
        <v>180</v>
      </c>
      <c r="B181" s="10">
        <v>62</v>
      </c>
      <c r="C181" s="10">
        <v>91</v>
      </c>
      <c r="D181" s="10">
        <v>7</v>
      </c>
      <c r="E181" s="19">
        <v>180.37</v>
      </c>
      <c r="F181" s="10">
        <v>0</v>
      </c>
      <c r="G181" s="19">
        <f t="shared" si="6"/>
        <v>1262.5900000000001</v>
      </c>
      <c r="H181" s="10">
        <f>INDEX(Products!$C$2:$C$101,MATCH(C181,Products!$A$2:$A$101,0))</f>
        <v>10</v>
      </c>
      <c r="I181" s="10" t="str">
        <f>INDEX(Categories!$B$2:$B$11,MATCH(H181,Categories!$A$2:$A$11,0))</f>
        <v>Groceries</v>
      </c>
      <c r="J181" s="19">
        <f>INDEX(Products!$E$2:$E$101,MATCH(C181,Products!$A$2:$A$101,0))</f>
        <v>75.92</v>
      </c>
      <c r="K181" s="19">
        <f t="shared" si="7"/>
        <v>531.44000000000005</v>
      </c>
      <c r="L181" s="19">
        <f t="shared" si="8"/>
        <v>731.15000000000009</v>
      </c>
    </row>
    <row r="182" spans="1:12" ht="15" customHeight="1" x14ac:dyDescent="0.25">
      <c r="A182" s="10">
        <v>181</v>
      </c>
      <c r="B182" s="10">
        <v>63</v>
      </c>
      <c r="C182" s="10">
        <v>87</v>
      </c>
      <c r="D182" s="10">
        <v>5</v>
      </c>
      <c r="E182" s="19">
        <v>407.7</v>
      </c>
      <c r="F182" s="10">
        <v>0.1</v>
      </c>
      <c r="G182" s="19">
        <f t="shared" si="6"/>
        <v>1834.65</v>
      </c>
      <c r="H182" s="10">
        <f>INDEX(Products!$C$2:$C$101,MATCH(C182,Products!$A$2:$A$101,0))</f>
        <v>9</v>
      </c>
      <c r="I182" s="10" t="str">
        <f>INDEX(Categories!$B$2:$B$11,MATCH(H182,Categories!$A$2:$A$11,0))</f>
        <v>Automotive Parts</v>
      </c>
      <c r="J182" s="19">
        <f>INDEX(Products!$E$2:$E$101,MATCH(C182,Products!$A$2:$A$101,0))</f>
        <v>225.03</v>
      </c>
      <c r="K182" s="19">
        <f t="shared" si="7"/>
        <v>1125.1500000000001</v>
      </c>
      <c r="L182" s="19">
        <f t="shared" si="8"/>
        <v>709.5</v>
      </c>
    </row>
    <row r="183" spans="1:12" ht="15" customHeight="1" x14ac:dyDescent="0.25">
      <c r="A183" s="10">
        <v>182</v>
      </c>
      <c r="B183" s="10">
        <v>63</v>
      </c>
      <c r="C183" s="10">
        <v>99</v>
      </c>
      <c r="D183" s="10">
        <v>8</v>
      </c>
      <c r="E183" s="19">
        <v>329.4</v>
      </c>
      <c r="F183" s="10">
        <v>0</v>
      </c>
      <c r="G183" s="19">
        <f t="shared" si="6"/>
        <v>2635.2</v>
      </c>
      <c r="H183" s="10">
        <f>INDEX(Products!$C$2:$C$101,MATCH(C183,Products!$A$2:$A$101,0))</f>
        <v>10</v>
      </c>
      <c r="I183" s="10" t="str">
        <f>INDEX(Categories!$B$2:$B$11,MATCH(H183,Categories!$A$2:$A$11,0))</f>
        <v>Groceries</v>
      </c>
      <c r="J183" s="19">
        <f>INDEX(Products!$E$2:$E$101,MATCH(C183,Products!$A$2:$A$101,0))</f>
        <v>208.13</v>
      </c>
      <c r="K183" s="19">
        <f t="shared" si="7"/>
        <v>1665.04</v>
      </c>
      <c r="L183" s="19">
        <f t="shared" si="8"/>
        <v>970.15999999999985</v>
      </c>
    </row>
    <row r="184" spans="1:12" ht="15" customHeight="1" x14ac:dyDescent="0.25">
      <c r="A184" s="10">
        <v>183</v>
      </c>
      <c r="B184" s="10">
        <v>63</v>
      </c>
      <c r="C184" s="10">
        <v>93</v>
      </c>
      <c r="D184" s="10">
        <v>4</v>
      </c>
      <c r="E184" s="19">
        <v>288.39999999999998</v>
      </c>
      <c r="F184" s="10">
        <v>0</v>
      </c>
      <c r="G184" s="19">
        <f t="shared" si="6"/>
        <v>1153.5999999999999</v>
      </c>
      <c r="H184" s="10">
        <f>INDEX(Products!$C$2:$C$101,MATCH(C184,Products!$A$2:$A$101,0))</f>
        <v>10</v>
      </c>
      <c r="I184" s="10" t="str">
        <f>INDEX(Categories!$B$2:$B$11,MATCH(H184,Categories!$A$2:$A$11,0))</f>
        <v>Groceries</v>
      </c>
      <c r="J184" s="19">
        <f>INDEX(Products!$E$2:$E$101,MATCH(C184,Products!$A$2:$A$101,0))</f>
        <v>125.69</v>
      </c>
      <c r="K184" s="19">
        <f t="shared" si="7"/>
        <v>502.76</v>
      </c>
      <c r="L184" s="19">
        <f t="shared" si="8"/>
        <v>650.83999999999992</v>
      </c>
    </row>
    <row r="185" spans="1:12" ht="15" customHeight="1" x14ac:dyDescent="0.25">
      <c r="A185" s="10">
        <v>184</v>
      </c>
      <c r="B185" s="10">
        <v>64</v>
      </c>
      <c r="C185" s="10">
        <v>72</v>
      </c>
      <c r="D185" s="10">
        <v>5</v>
      </c>
      <c r="E185" s="19">
        <v>526.70000000000005</v>
      </c>
      <c r="F185" s="10">
        <v>0</v>
      </c>
      <c r="G185" s="19">
        <f t="shared" si="6"/>
        <v>2633.5</v>
      </c>
      <c r="H185" s="10">
        <f>INDEX(Products!$C$2:$C$101,MATCH(C185,Products!$A$2:$A$101,0))</f>
        <v>8</v>
      </c>
      <c r="I185" s="10" t="str">
        <f>INDEX(Categories!$B$2:$B$11,MATCH(H185,Categories!$A$2:$A$11,0))</f>
        <v>Health &amp; Beauty</v>
      </c>
      <c r="J185" s="19">
        <f>INDEX(Products!$E$2:$E$101,MATCH(C185,Products!$A$2:$A$101,0))</f>
        <v>233.41</v>
      </c>
      <c r="K185" s="19">
        <f t="shared" si="7"/>
        <v>1167.05</v>
      </c>
      <c r="L185" s="19">
        <f t="shared" si="8"/>
        <v>1466.45</v>
      </c>
    </row>
    <row r="186" spans="1:12" ht="15" customHeight="1" x14ac:dyDescent="0.25">
      <c r="A186" s="10">
        <v>185</v>
      </c>
      <c r="B186" s="10">
        <v>64</v>
      </c>
      <c r="C186" s="10">
        <v>93</v>
      </c>
      <c r="D186" s="10">
        <v>10</v>
      </c>
      <c r="E186" s="19">
        <v>288.39999999999998</v>
      </c>
      <c r="F186" s="10">
        <v>0.15</v>
      </c>
      <c r="G186" s="19">
        <f t="shared" si="6"/>
        <v>2451.4</v>
      </c>
      <c r="H186" s="10">
        <f>INDEX(Products!$C$2:$C$101,MATCH(C186,Products!$A$2:$A$101,0))</f>
        <v>10</v>
      </c>
      <c r="I186" s="10" t="str">
        <f>INDEX(Categories!$B$2:$B$11,MATCH(H186,Categories!$A$2:$A$11,0))</f>
        <v>Groceries</v>
      </c>
      <c r="J186" s="19">
        <f>INDEX(Products!$E$2:$E$101,MATCH(C186,Products!$A$2:$A$101,0))</f>
        <v>125.69</v>
      </c>
      <c r="K186" s="19">
        <f t="shared" si="7"/>
        <v>1256.9000000000001</v>
      </c>
      <c r="L186" s="19">
        <f t="shared" si="8"/>
        <v>1194.5</v>
      </c>
    </row>
    <row r="187" spans="1:12" ht="15" customHeight="1" x14ac:dyDescent="0.25">
      <c r="A187" s="10">
        <v>186</v>
      </c>
      <c r="B187" s="10">
        <v>64</v>
      </c>
      <c r="C187" s="10">
        <v>36</v>
      </c>
      <c r="D187" s="10">
        <v>9</v>
      </c>
      <c r="E187" s="19">
        <v>472.77</v>
      </c>
      <c r="F187" s="10">
        <v>0.05</v>
      </c>
      <c r="G187" s="19">
        <f t="shared" si="6"/>
        <v>4042.1835000000001</v>
      </c>
      <c r="H187" s="10">
        <f>INDEX(Products!$C$2:$C$101,MATCH(C187,Products!$A$2:$A$101,0))</f>
        <v>4</v>
      </c>
      <c r="I187" s="10" t="str">
        <f>INDEX(Categories!$B$2:$B$11,MATCH(H187,Categories!$A$2:$A$11,0))</f>
        <v>Apparel</v>
      </c>
      <c r="J187" s="19">
        <f>INDEX(Products!$E$2:$E$101,MATCH(C187,Products!$A$2:$A$101,0))</f>
        <v>236.19</v>
      </c>
      <c r="K187" s="19">
        <f t="shared" si="7"/>
        <v>2125.71</v>
      </c>
      <c r="L187" s="19">
        <f t="shared" si="8"/>
        <v>1916.4735000000001</v>
      </c>
    </row>
    <row r="188" spans="1:12" ht="15" customHeight="1" x14ac:dyDescent="0.25">
      <c r="A188" s="10">
        <v>187</v>
      </c>
      <c r="B188" s="10">
        <v>65</v>
      </c>
      <c r="C188" s="10">
        <v>96</v>
      </c>
      <c r="D188" s="10">
        <v>4</v>
      </c>
      <c r="E188" s="19">
        <v>266.72000000000003</v>
      </c>
      <c r="F188" s="10">
        <v>0.2</v>
      </c>
      <c r="G188" s="19">
        <f t="shared" si="6"/>
        <v>853.50400000000013</v>
      </c>
      <c r="H188" s="10">
        <f>INDEX(Products!$C$2:$C$101,MATCH(C188,Products!$A$2:$A$101,0))</f>
        <v>10</v>
      </c>
      <c r="I188" s="10" t="str">
        <f>INDEX(Categories!$B$2:$B$11,MATCH(H188,Categories!$A$2:$A$11,0))</f>
        <v>Groceries</v>
      </c>
      <c r="J188" s="19">
        <f>INDEX(Products!$E$2:$E$101,MATCH(C188,Products!$A$2:$A$101,0))</f>
        <v>162.65</v>
      </c>
      <c r="K188" s="19">
        <f t="shared" si="7"/>
        <v>650.6</v>
      </c>
      <c r="L188" s="19">
        <f t="shared" si="8"/>
        <v>202.90400000000011</v>
      </c>
    </row>
    <row r="189" spans="1:12" ht="15" customHeight="1" x14ac:dyDescent="0.25">
      <c r="A189" s="10">
        <v>188</v>
      </c>
      <c r="B189" s="10">
        <v>65</v>
      </c>
      <c r="C189" s="10">
        <v>62</v>
      </c>
      <c r="D189" s="10">
        <v>9</v>
      </c>
      <c r="E189" s="19">
        <v>321.75</v>
      </c>
      <c r="F189" s="10">
        <v>0</v>
      </c>
      <c r="G189" s="19">
        <f t="shared" si="6"/>
        <v>2895.75</v>
      </c>
      <c r="H189" s="10">
        <f>INDEX(Products!$C$2:$C$101,MATCH(C189,Products!$A$2:$A$101,0))</f>
        <v>7</v>
      </c>
      <c r="I189" s="10" t="str">
        <f>INDEX(Categories!$B$2:$B$11,MATCH(H189,Categories!$A$2:$A$11,0))</f>
        <v>Toys &amp; Games</v>
      </c>
      <c r="J189" s="19">
        <f>INDEX(Products!$E$2:$E$101,MATCH(C189,Products!$A$2:$A$101,0))</f>
        <v>138.66</v>
      </c>
      <c r="K189" s="19">
        <f t="shared" si="7"/>
        <v>1247.94</v>
      </c>
      <c r="L189" s="19">
        <f t="shared" si="8"/>
        <v>1647.81</v>
      </c>
    </row>
    <row r="190" spans="1:12" ht="15" customHeight="1" x14ac:dyDescent="0.25">
      <c r="A190" s="10">
        <v>189</v>
      </c>
      <c r="B190" s="10">
        <v>65</v>
      </c>
      <c r="C190" s="10">
        <v>28</v>
      </c>
      <c r="D190" s="10">
        <v>9</v>
      </c>
      <c r="E190" s="19">
        <v>149.97</v>
      </c>
      <c r="F190" s="10">
        <v>0.15</v>
      </c>
      <c r="G190" s="19">
        <f t="shared" si="6"/>
        <v>1147.2705000000001</v>
      </c>
      <c r="H190" s="10">
        <f>INDEX(Products!$C$2:$C$101,MATCH(C190,Products!$A$2:$A$101,0))</f>
        <v>3</v>
      </c>
      <c r="I190" s="10" t="str">
        <f>INDEX(Categories!$B$2:$B$11,MATCH(H190,Categories!$A$2:$A$11,0))</f>
        <v>Furniture</v>
      </c>
      <c r="J190" s="19">
        <f>INDEX(Products!$E$2:$E$101,MATCH(C190,Products!$A$2:$A$101,0))</f>
        <v>113.7</v>
      </c>
      <c r="K190" s="19">
        <f t="shared" si="7"/>
        <v>1023.3000000000001</v>
      </c>
      <c r="L190" s="19">
        <f t="shared" si="8"/>
        <v>123.97050000000002</v>
      </c>
    </row>
    <row r="191" spans="1:12" ht="15" customHeight="1" x14ac:dyDescent="0.25">
      <c r="A191" s="10">
        <v>190</v>
      </c>
      <c r="B191" s="10">
        <v>66</v>
      </c>
      <c r="C191" s="10">
        <v>7</v>
      </c>
      <c r="D191" s="10">
        <v>7</v>
      </c>
      <c r="E191" s="19">
        <v>150.96</v>
      </c>
      <c r="F191" s="10">
        <v>0</v>
      </c>
      <c r="G191" s="19">
        <f t="shared" si="6"/>
        <v>1056.72</v>
      </c>
      <c r="H191" s="10">
        <f>INDEX(Products!$C$2:$C$101,MATCH(C191,Products!$A$2:$A$101,0))</f>
        <v>1</v>
      </c>
      <c r="I191" s="10" t="str">
        <f>INDEX(Categories!$B$2:$B$11,MATCH(H191,Categories!$A$2:$A$11,0))</f>
        <v>Electronics</v>
      </c>
      <c r="J191" s="19">
        <f>INDEX(Products!$E$2:$E$101,MATCH(C191,Products!$A$2:$A$101,0))</f>
        <v>83.86</v>
      </c>
      <c r="K191" s="19">
        <f t="shared" si="7"/>
        <v>587.02</v>
      </c>
      <c r="L191" s="19">
        <f t="shared" si="8"/>
        <v>469.70000000000005</v>
      </c>
    </row>
    <row r="192" spans="1:12" ht="15" customHeight="1" x14ac:dyDescent="0.25">
      <c r="A192" s="10">
        <v>191</v>
      </c>
      <c r="B192" s="10">
        <v>66</v>
      </c>
      <c r="C192" s="10">
        <v>13</v>
      </c>
      <c r="D192" s="10">
        <v>8</v>
      </c>
      <c r="E192" s="19">
        <v>360.29</v>
      </c>
      <c r="F192" s="10">
        <v>0</v>
      </c>
      <c r="G192" s="19">
        <f t="shared" si="6"/>
        <v>2882.32</v>
      </c>
      <c r="H192" s="10">
        <f>INDEX(Products!$C$2:$C$101,MATCH(C192,Products!$A$2:$A$101,0))</f>
        <v>2</v>
      </c>
      <c r="I192" s="10" t="str">
        <f>INDEX(Categories!$B$2:$B$11,MATCH(H192,Categories!$A$2:$A$11,0))</f>
        <v>Office Supplies</v>
      </c>
      <c r="J192" s="19">
        <f>INDEX(Products!$E$2:$E$101,MATCH(C192,Products!$A$2:$A$101,0))</f>
        <v>152.66</v>
      </c>
      <c r="K192" s="19">
        <f t="shared" si="7"/>
        <v>1221.28</v>
      </c>
      <c r="L192" s="19">
        <f t="shared" si="8"/>
        <v>1661.0400000000002</v>
      </c>
    </row>
    <row r="193" spans="1:12" ht="15" customHeight="1" x14ac:dyDescent="0.25">
      <c r="A193" s="10">
        <v>192</v>
      </c>
      <c r="B193" s="10">
        <v>67</v>
      </c>
      <c r="C193" s="10">
        <v>42</v>
      </c>
      <c r="D193" s="10">
        <v>1</v>
      </c>
      <c r="E193" s="19">
        <v>370</v>
      </c>
      <c r="F193" s="10">
        <v>0.2</v>
      </c>
      <c r="G193" s="19">
        <f t="shared" si="6"/>
        <v>296</v>
      </c>
      <c r="H193" s="10">
        <f>INDEX(Products!$C$2:$C$101,MATCH(C193,Products!$A$2:$A$101,0))</f>
        <v>5</v>
      </c>
      <c r="I193" s="10" t="str">
        <f>INDEX(Categories!$B$2:$B$11,MATCH(H193,Categories!$A$2:$A$11,0))</f>
        <v>Home &amp; Kitchen</v>
      </c>
      <c r="J193" s="19">
        <f>INDEX(Products!$E$2:$E$101,MATCH(C193,Products!$A$2:$A$101,0))</f>
        <v>227.4</v>
      </c>
      <c r="K193" s="19">
        <f t="shared" si="7"/>
        <v>227.4</v>
      </c>
      <c r="L193" s="19">
        <f t="shared" si="8"/>
        <v>68.599999999999994</v>
      </c>
    </row>
    <row r="194" spans="1:12" ht="15" customHeight="1" x14ac:dyDescent="0.25">
      <c r="A194" s="10">
        <v>193</v>
      </c>
      <c r="B194" s="10">
        <v>67</v>
      </c>
      <c r="C194" s="10">
        <v>37</v>
      </c>
      <c r="D194" s="10">
        <v>2</v>
      </c>
      <c r="E194" s="19">
        <v>262.99</v>
      </c>
      <c r="F194" s="10">
        <v>0.15</v>
      </c>
      <c r="G194" s="19">
        <f t="shared" ref="G194:G257" si="9">D194*E194*(1-F194)</f>
        <v>447.08300000000003</v>
      </c>
      <c r="H194" s="10">
        <f>INDEX(Products!$C$2:$C$101,MATCH(C194,Products!$A$2:$A$101,0))</f>
        <v>4</v>
      </c>
      <c r="I194" s="10" t="str">
        <f>INDEX(Categories!$B$2:$B$11,MATCH(H194,Categories!$A$2:$A$11,0))</f>
        <v>Apparel</v>
      </c>
      <c r="J194" s="19">
        <f>INDEX(Products!$E$2:$E$101,MATCH(C194,Products!$A$2:$A$101,0))</f>
        <v>144.79</v>
      </c>
      <c r="K194" s="19">
        <f t="shared" ref="K194:K257" si="10">D194*J194</f>
        <v>289.58</v>
      </c>
      <c r="L194" s="19">
        <f t="shared" ref="L194:L257" si="11">G194-K194</f>
        <v>157.50300000000004</v>
      </c>
    </row>
    <row r="195" spans="1:12" ht="15" customHeight="1" x14ac:dyDescent="0.25">
      <c r="A195" s="10">
        <v>194</v>
      </c>
      <c r="B195" s="10">
        <v>67</v>
      </c>
      <c r="C195" s="10">
        <v>83</v>
      </c>
      <c r="D195" s="10">
        <v>10</v>
      </c>
      <c r="E195" s="19">
        <v>113.19</v>
      </c>
      <c r="F195" s="10">
        <v>0</v>
      </c>
      <c r="G195" s="19">
        <f t="shared" si="9"/>
        <v>1131.9000000000001</v>
      </c>
      <c r="H195" s="10">
        <f>INDEX(Products!$C$2:$C$101,MATCH(C195,Products!$A$2:$A$101,0))</f>
        <v>9</v>
      </c>
      <c r="I195" s="10" t="str">
        <f>INDEX(Categories!$B$2:$B$11,MATCH(H195,Categories!$A$2:$A$11,0))</f>
        <v>Automotive Parts</v>
      </c>
      <c r="J195" s="19">
        <f>INDEX(Products!$E$2:$E$101,MATCH(C195,Products!$A$2:$A$101,0))</f>
        <v>83.12</v>
      </c>
      <c r="K195" s="19">
        <f t="shared" si="10"/>
        <v>831.2</v>
      </c>
      <c r="L195" s="19">
        <f t="shared" si="11"/>
        <v>300.70000000000005</v>
      </c>
    </row>
    <row r="196" spans="1:12" ht="15" customHeight="1" x14ac:dyDescent="0.25">
      <c r="A196" s="10">
        <v>195</v>
      </c>
      <c r="B196" s="10">
        <v>68</v>
      </c>
      <c r="C196" s="10">
        <v>2</v>
      </c>
      <c r="D196" s="10">
        <v>5</v>
      </c>
      <c r="E196" s="19">
        <v>286.57</v>
      </c>
      <c r="F196" s="10">
        <v>0.1</v>
      </c>
      <c r="G196" s="19">
        <f t="shared" si="9"/>
        <v>1289.5650000000001</v>
      </c>
      <c r="H196" s="10">
        <f>INDEX(Products!$C$2:$C$101,MATCH(C196,Products!$A$2:$A$101,0))</f>
        <v>1</v>
      </c>
      <c r="I196" s="10" t="str">
        <f>INDEX(Categories!$B$2:$B$11,MATCH(H196,Categories!$A$2:$A$11,0))</f>
        <v>Electronics</v>
      </c>
      <c r="J196" s="19">
        <f>INDEX(Products!$E$2:$E$101,MATCH(C196,Products!$A$2:$A$101,0))</f>
        <v>135.94</v>
      </c>
      <c r="K196" s="19">
        <f t="shared" si="10"/>
        <v>679.7</v>
      </c>
      <c r="L196" s="19">
        <f t="shared" si="11"/>
        <v>609.86500000000001</v>
      </c>
    </row>
    <row r="197" spans="1:12" ht="15" customHeight="1" x14ac:dyDescent="0.25">
      <c r="A197" s="10">
        <v>196</v>
      </c>
      <c r="B197" s="10">
        <v>69</v>
      </c>
      <c r="C197" s="10">
        <v>43</v>
      </c>
      <c r="D197" s="10">
        <v>3</v>
      </c>
      <c r="E197" s="19">
        <v>42.13</v>
      </c>
      <c r="F197" s="10">
        <v>0.15</v>
      </c>
      <c r="G197" s="19">
        <f t="shared" si="9"/>
        <v>107.43150000000001</v>
      </c>
      <c r="H197" s="10">
        <f>INDEX(Products!$C$2:$C$101,MATCH(C197,Products!$A$2:$A$101,0))</f>
        <v>5</v>
      </c>
      <c r="I197" s="10" t="str">
        <f>INDEX(Categories!$B$2:$B$11,MATCH(H197,Categories!$A$2:$A$11,0))</f>
        <v>Home &amp; Kitchen</v>
      </c>
      <c r="J197" s="19">
        <f>INDEX(Products!$E$2:$E$101,MATCH(C197,Products!$A$2:$A$101,0))</f>
        <v>17.88</v>
      </c>
      <c r="K197" s="19">
        <f t="shared" si="10"/>
        <v>53.64</v>
      </c>
      <c r="L197" s="19">
        <f t="shared" si="11"/>
        <v>53.791500000000013</v>
      </c>
    </row>
    <row r="198" spans="1:12" ht="15" customHeight="1" x14ac:dyDescent="0.25">
      <c r="A198" s="10">
        <v>197</v>
      </c>
      <c r="B198" s="10">
        <v>70</v>
      </c>
      <c r="C198" s="10">
        <v>55</v>
      </c>
      <c r="D198" s="10">
        <v>7</v>
      </c>
      <c r="E198" s="19">
        <v>378.27</v>
      </c>
      <c r="F198" s="10">
        <v>0.15</v>
      </c>
      <c r="G198" s="19">
        <f t="shared" si="9"/>
        <v>2250.7064999999998</v>
      </c>
      <c r="H198" s="10">
        <f>INDEX(Products!$C$2:$C$101,MATCH(C198,Products!$A$2:$A$101,0))</f>
        <v>6</v>
      </c>
      <c r="I198" s="10" t="str">
        <f>INDEX(Categories!$B$2:$B$11,MATCH(H198,Categories!$A$2:$A$11,0))</f>
        <v>Sporting Goods</v>
      </c>
      <c r="J198" s="19">
        <f>INDEX(Products!$E$2:$E$101,MATCH(C198,Products!$A$2:$A$101,0))</f>
        <v>163.92</v>
      </c>
      <c r="K198" s="19">
        <f t="shared" si="10"/>
        <v>1147.4399999999998</v>
      </c>
      <c r="L198" s="19">
        <f t="shared" si="11"/>
        <v>1103.2665</v>
      </c>
    </row>
    <row r="199" spans="1:12" ht="15" customHeight="1" x14ac:dyDescent="0.25">
      <c r="A199" s="10">
        <v>198</v>
      </c>
      <c r="B199" s="10">
        <v>70</v>
      </c>
      <c r="C199" s="10">
        <v>66</v>
      </c>
      <c r="D199" s="10">
        <v>2</v>
      </c>
      <c r="E199" s="19">
        <v>155.88</v>
      </c>
      <c r="F199" s="10">
        <v>0</v>
      </c>
      <c r="G199" s="19">
        <f t="shared" si="9"/>
        <v>311.76</v>
      </c>
      <c r="H199" s="10">
        <f>INDEX(Products!$C$2:$C$101,MATCH(C199,Products!$A$2:$A$101,0))</f>
        <v>7</v>
      </c>
      <c r="I199" s="10" t="str">
        <f>INDEX(Categories!$B$2:$B$11,MATCH(H199,Categories!$A$2:$A$11,0))</f>
        <v>Toys &amp; Games</v>
      </c>
      <c r="J199" s="19">
        <f>INDEX(Products!$E$2:$E$101,MATCH(C199,Products!$A$2:$A$101,0))</f>
        <v>75.09</v>
      </c>
      <c r="K199" s="19">
        <f t="shared" si="10"/>
        <v>150.18</v>
      </c>
      <c r="L199" s="19">
        <f t="shared" si="11"/>
        <v>161.57999999999998</v>
      </c>
    </row>
    <row r="200" spans="1:12" ht="15" customHeight="1" x14ac:dyDescent="0.25">
      <c r="A200" s="10">
        <v>199</v>
      </c>
      <c r="B200" s="10">
        <v>70</v>
      </c>
      <c r="C200" s="10">
        <v>42</v>
      </c>
      <c r="D200" s="10">
        <v>3</v>
      </c>
      <c r="E200" s="19">
        <v>370</v>
      </c>
      <c r="F200" s="10">
        <v>0.05</v>
      </c>
      <c r="G200" s="19">
        <f t="shared" si="9"/>
        <v>1054.5</v>
      </c>
      <c r="H200" s="10">
        <f>INDEX(Products!$C$2:$C$101,MATCH(C200,Products!$A$2:$A$101,0))</f>
        <v>5</v>
      </c>
      <c r="I200" s="10" t="str">
        <f>INDEX(Categories!$B$2:$B$11,MATCH(H200,Categories!$A$2:$A$11,0))</f>
        <v>Home &amp; Kitchen</v>
      </c>
      <c r="J200" s="19">
        <f>INDEX(Products!$E$2:$E$101,MATCH(C200,Products!$A$2:$A$101,0))</f>
        <v>227.4</v>
      </c>
      <c r="K200" s="19">
        <f t="shared" si="10"/>
        <v>682.2</v>
      </c>
      <c r="L200" s="19">
        <f t="shared" si="11"/>
        <v>372.29999999999995</v>
      </c>
    </row>
    <row r="201" spans="1:12" ht="15" customHeight="1" x14ac:dyDescent="0.25">
      <c r="A201" s="10">
        <v>200</v>
      </c>
      <c r="B201" s="10">
        <v>70</v>
      </c>
      <c r="C201" s="10">
        <v>12</v>
      </c>
      <c r="D201" s="10">
        <v>6</v>
      </c>
      <c r="E201" s="19">
        <v>219.11</v>
      </c>
      <c r="F201" s="10">
        <v>0</v>
      </c>
      <c r="G201" s="19">
        <f t="shared" si="9"/>
        <v>1314.66</v>
      </c>
      <c r="H201" s="10">
        <f>INDEX(Products!$C$2:$C$101,MATCH(C201,Products!$A$2:$A$101,0))</f>
        <v>2</v>
      </c>
      <c r="I201" s="10" t="str">
        <f>INDEX(Categories!$B$2:$B$11,MATCH(H201,Categories!$A$2:$A$11,0))</f>
        <v>Office Supplies</v>
      </c>
      <c r="J201" s="19">
        <f>INDEX(Products!$E$2:$E$101,MATCH(C201,Products!$A$2:$A$101,0))</f>
        <v>142.30000000000001</v>
      </c>
      <c r="K201" s="19">
        <f t="shared" si="10"/>
        <v>853.80000000000007</v>
      </c>
      <c r="L201" s="19">
        <f t="shared" si="11"/>
        <v>460.86</v>
      </c>
    </row>
    <row r="202" spans="1:12" ht="15" customHeight="1" x14ac:dyDescent="0.25">
      <c r="A202" s="10">
        <v>201</v>
      </c>
      <c r="B202" s="10">
        <v>71</v>
      </c>
      <c r="C202" s="10">
        <v>93</v>
      </c>
      <c r="D202" s="10">
        <v>6</v>
      </c>
      <c r="E202" s="19">
        <v>288.39999999999998</v>
      </c>
      <c r="F202" s="10">
        <v>0.15</v>
      </c>
      <c r="G202" s="19">
        <f t="shared" si="9"/>
        <v>1470.84</v>
      </c>
      <c r="H202" s="10">
        <f>INDEX(Products!$C$2:$C$101,MATCH(C202,Products!$A$2:$A$101,0))</f>
        <v>10</v>
      </c>
      <c r="I202" s="10" t="str">
        <f>INDEX(Categories!$B$2:$B$11,MATCH(H202,Categories!$A$2:$A$11,0))</f>
        <v>Groceries</v>
      </c>
      <c r="J202" s="19">
        <f>INDEX(Products!$E$2:$E$101,MATCH(C202,Products!$A$2:$A$101,0))</f>
        <v>125.69</v>
      </c>
      <c r="K202" s="19">
        <f t="shared" si="10"/>
        <v>754.14</v>
      </c>
      <c r="L202" s="19">
        <f t="shared" si="11"/>
        <v>716.69999999999993</v>
      </c>
    </row>
    <row r="203" spans="1:12" ht="15" customHeight="1" x14ac:dyDescent="0.25">
      <c r="A203" s="10">
        <v>202</v>
      </c>
      <c r="B203" s="10">
        <v>71</v>
      </c>
      <c r="C203" s="10">
        <v>74</v>
      </c>
      <c r="D203" s="10">
        <v>4</v>
      </c>
      <c r="E203" s="19">
        <v>199.68</v>
      </c>
      <c r="F203" s="10">
        <v>0</v>
      </c>
      <c r="G203" s="19">
        <f t="shared" si="9"/>
        <v>798.72</v>
      </c>
      <c r="H203" s="10">
        <f>INDEX(Products!$C$2:$C$101,MATCH(C203,Products!$A$2:$A$101,0))</f>
        <v>8</v>
      </c>
      <c r="I203" s="10" t="str">
        <f>INDEX(Categories!$B$2:$B$11,MATCH(H203,Categories!$A$2:$A$11,0))</f>
        <v>Health &amp; Beauty</v>
      </c>
      <c r="J203" s="19">
        <f>INDEX(Products!$E$2:$E$101,MATCH(C203,Products!$A$2:$A$101,0))</f>
        <v>98.36</v>
      </c>
      <c r="K203" s="19">
        <f t="shared" si="10"/>
        <v>393.44</v>
      </c>
      <c r="L203" s="19">
        <f t="shared" si="11"/>
        <v>405.28000000000003</v>
      </c>
    </row>
    <row r="204" spans="1:12" ht="15" customHeight="1" x14ac:dyDescent="0.25">
      <c r="A204" s="10">
        <v>203</v>
      </c>
      <c r="B204" s="10">
        <v>71</v>
      </c>
      <c r="C204" s="10">
        <v>2</v>
      </c>
      <c r="D204" s="10">
        <v>2</v>
      </c>
      <c r="E204" s="19">
        <v>286.57</v>
      </c>
      <c r="F204" s="10">
        <v>0.05</v>
      </c>
      <c r="G204" s="19">
        <f t="shared" si="9"/>
        <v>544.48299999999995</v>
      </c>
      <c r="H204" s="10">
        <f>INDEX(Products!$C$2:$C$101,MATCH(C204,Products!$A$2:$A$101,0))</f>
        <v>1</v>
      </c>
      <c r="I204" s="10" t="str">
        <f>INDEX(Categories!$B$2:$B$11,MATCH(H204,Categories!$A$2:$A$11,0))</f>
        <v>Electronics</v>
      </c>
      <c r="J204" s="19">
        <f>INDEX(Products!$E$2:$E$101,MATCH(C204,Products!$A$2:$A$101,0))</f>
        <v>135.94</v>
      </c>
      <c r="K204" s="19">
        <f t="shared" si="10"/>
        <v>271.88</v>
      </c>
      <c r="L204" s="19">
        <f t="shared" si="11"/>
        <v>272.60299999999995</v>
      </c>
    </row>
    <row r="205" spans="1:12" ht="15" customHeight="1" x14ac:dyDescent="0.25">
      <c r="A205" s="10">
        <v>204</v>
      </c>
      <c r="B205" s="10">
        <v>71</v>
      </c>
      <c r="C205" s="10">
        <v>34</v>
      </c>
      <c r="D205" s="10">
        <v>5</v>
      </c>
      <c r="E205" s="19">
        <v>339.25</v>
      </c>
      <c r="F205" s="10">
        <v>0</v>
      </c>
      <c r="G205" s="19">
        <f t="shared" si="9"/>
        <v>1696.25</v>
      </c>
      <c r="H205" s="10">
        <f>INDEX(Products!$C$2:$C$101,MATCH(C205,Products!$A$2:$A$101,0))</f>
        <v>4</v>
      </c>
      <c r="I205" s="10" t="str">
        <f>INDEX(Categories!$B$2:$B$11,MATCH(H205,Categories!$A$2:$A$11,0))</f>
        <v>Apparel</v>
      </c>
      <c r="J205" s="19">
        <f>INDEX(Products!$E$2:$E$101,MATCH(C205,Products!$A$2:$A$101,0))</f>
        <v>208.66</v>
      </c>
      <c r="K205" s="19">
        <f t="shared" si="10"/>
        <v>1043.3</v>
      </c>
      <c r="L205" s="19">
        <f t="shared" si="11"/>
        <v>652.95000000000005</v>
      </c>
    </row>
    <row r="206" spans="1:12" ht="15" customHeight="1" x14ac:dyDescent="0.25">
      <c r="A206" s="10">
        <v>205</v>
      </c>
      <c r="B206" s="10">
        <v>71</v>
      </c>
      <c r="C206" s="10">
        <v>84</v>
      </c>
      <c r="D206" s="10">
        <v>7</v>
      </c>
      <c r="E206" s="19">
        <v>258</v>
      </c>
      <c r="F206" s="10">
        <v>0.15</v>
      </c>
      <c r="G206" s="19">
        <f t="shared" si="9"/>
        <v>1535.1</v>
      </c>
      <c r="H206" s="10">
        <f>INDEX(Products!$C$2:$C$101,MATCH(C206,Products!$A$2:$A$101,0))</f>
        <v>9</v>
      </c>
      <c r="I206" s="10" t="str">
        <f>INDEX(Categories!$B$2:$B$11,MATCH(H206,Categories!$A$2:$A$11,0))</f>
        <v>Automotive Parts</v>
      </c>
      <c r="J206" s="19">
        <f>INDEX(Products!$E$2:$E$101,MATCH(C206,Products!$A$2:$A$101,0))</f>
        <v>134.19999999999999</v>
      </c>
      <c r="K206" s="19">
        <f t="shared" si="10"/>
        <v>939.39999999999986</v>
      </c>
      <c r="L206" s="19">
        <f t="shared" si="11"/>
        <v>595.70000000000005</v>
      </c>
    </row>
    <row r="207" spans="1:12" ht="15" customHeight="1" x14ac:dyDescent="0.25">
      <c r="A207" s="10">
        <v>206</v>
      </c>
      <c r="B207" s="10">
        <v>72</v>
      </c>
      <c r="C207" s="10">
        <v>29</v>
      </c>
      <c r="D207" s="10">
        <v>8</v>
      </c>
      <c r="E207" s="19">
        <v>152.52000000000001</v>
      </c>
      <c r="F207" s="10">
        <v>0</v>
      </c>
      <c r="G207" s="19">
        <f t="shared" si="9"/>
        <v>1220.1600000000001</v>
      </c>
      <c r="H207" s="10">
        <f>INDEX(Products!$C$2:$C$101,MATCH(C207,Products!$A$2:$A$101,0))</f>
        <v>3</v>
      </c>
      <c r="I207" s="10" t="str">
        <f>INDEX(Categories!$B$2:$B$11,MATCH(H207,Categories!$A$2:$A$11,0))</f>
        <v>Furniture</v>
      </c>
      <c r="J207" s="19">
        <f>INDEX(Products!$E$2:$E$101,MATCH(C207,Products!$A$2:$A$101,0))</f>
        <v>78.63</v>
      </c>
      <c r="K207" s="19">
        <f t="shared" si="10"/>
        <v>629.04</v>
      </c>
      <c r="L207" s="19">
        <f t="shared" si="11"/>
        <v>591.12000000000012</v>
      </c>
    </row>
    <row r="208" spans="1:12" ht="15" customHeight="1" x14ac:dyDescent="0.25">
      <c r="A208" s="10">
        <v>207</v>
      </c>
      <c r="B208" s="10">
        <v>72</v>
      </c>
      <c r="C208" s="10">
        <v>18</v>
      </c>
      <c r="D208" s="10">
        <v>8</v>
      </c>
      <c r="E208" s="19">
        <v>185.81</v>
      </c>
      <c r="F208" s="10">
        <v>0.15</v>
      </c>
      <c r="G208" s="19">
        <f t="shared" si="9"/>
        <v>1263.508</v>
      </c>
      <c r="H208" s="10">
        <f>INDEX(Products!$C$2:$C$101,MATCH(C208,Products!$A$2:$A$101,0))</f>
        <v>2</v>
      </c>
      <c r="I208" s="10" t="str">
        <f>INDEX(Categories!$B$2:$B$11,MATCH(H208,Categories!$A$2:$A$11,0))</f>
        <v>Office Supplies</v>
      </c>
      <c r="J208" s="19">
        <f>INDEX(Products!$E$2:$E$101,MATCH(C208,Products!$A$2:$A$101,0))</f>
        <v>108.81</v>
      </c>
      <c r="K208" s="19">
        <f t="shared" si="10"/>
        <v>870.48</v>
      </c>
      <c r="L208" s="19">
        <f t="shared" si="11"/>
        <v>393.02800000000002</v>
      </c>
    </row>
    <row r="209" spans="1:12" ht="15" customHeight="1" x14ac:dyDescent="0.25">
      <c r="A209" s="10">
        <v>208</v>
      </c>
      <c r="B209" s="10">
        <v>73</v>
      </c>
      <c r="C209" s="10">
        <v>91</v>
      </c>
      <c r="D209" s="10">
        <v>1</v>
      </c>
      <c r="E209" s="19">
        <v>180.37</v>
      </c>
      <c r="F209" s="10">
        <v>0.2</v>
      </c>
      <c r="G209" s="19">
        <f t="shared" si="9"/>
        <v>144.29600000000002</v>
      </c>
      <c r="H209" s="10">
        <f>INDEX(Products!$C$2:$C$101,MATCH(C209,Products!$A$2:$A$101,0))</f>
        <v>10</v>
      </c>
      <c r="I209" s="10" t="str">
        <f>INDEX(Categories!$B$2:$B$11,MATCH(H209,Categories!$A$2:$A$11,0))</f>
        <v>Groceries</v>
      </c>
      <c r="J209" s="19">
        <f>INDEX(Products!$E$2:$E$101,MATCH(C209,Products!$A$2:$A$101,0))</f>
        <v>75.92</v>
      </c>
      <c r="K209" s="19">
        <f t="shared" si="10"/>
        <v>75.92</v>
      </c>
      <c r="L209" s="19">
        <f t="shared" si="11"/>
        <v>68.376000000000019</v>
      </c>
    </row>
    <row r="210" spans="1:12" ht="15" customHeight="1" x14ac:dyDescent="0.25">
      <c r="A210" s="10">
        <v>209</v>
      </c>
      <c r="B210" s="10">
        <v>73</v>
      </c>
      <c r="C210" s="10">
        <v>47</v>
      </c>
      <c r="D210" s="10">
        <v>9</v>
      </c>
      <c r="E210" s="19">
        <v>96.51</v>
      </c>
      <c r="F210" s="10">
        <v>0.1</v>
      </c>
      <c r="G210" s="19">
        <f t="shared" si="9"/>
        <v>781.73099999999999</v>
      </c>
      <c r="H210" s="10">
        <f>INDEX(Products!$C$2:$C$101,MATCH(C210,Products!$A$2:$A$101,0))</f>
        <v>5</v>
      </c>
      <c r="I210" s="10" t="str">
        <f>INDEX(Categories!$B$2:$B$11,MATCH(H210,Categories!$A$2:$A$11,0))</f>
        <v>Home &amp; Kitchen</v>
      </c>
      <c r="J210" s="19">
        <f>INDEX(Products!$E$2:$E$101,MATCH(C210,Products!$A$2:$A$101,0))</f>
        <v>60.66</v>
      </c>
      <c r="K210" s="19">
        <f t="shared" si="10"/>
        <v>545.93999999999994</v>
      </c>
      <c r="L210" s="19">
        <f t="shared" si="11"/>
        <v>235.79100000000005</v>
      </c>
    </row>
    <row r="211" spans="1:12" ht="15" customHeight="1" x14ac:dyDescent="0.25">
      <c r="A211" s="10">
        <v>210</v>
      </c>
      <c r="B211" s="10">
        <v>73</v>
      </c>
      <c r="C211" s="10">
        <v>10</v>
      </c>
      <c r="D211" s="10">
        <v>4</v>
      </c>
      <c r="E211" s="19">
        <v>395.24</v>
      </c>
      <c r="F211" s="10">
        <v>0.1</v>
      </c>
      <c r="G211" s="19">
        <f t="shared" si="9"/>
        <v>1422.864</v>
      </c>
      <c r="H211" s="10">
        <f>INDEX(Products!$C$2:$C$101,MATCH(C211,Products!$A$2:$A$101,0))</f>
        <v>1</v>
      </c>
      <c r="I211" s="10" t="str">
        <f>INDEX(Categories!$B$2:$B$11,MATCH(H211,Categories!$A$2:$A$11,0))</f>
        <v>Electronics</v>
      </c>
      <c r="J211" s="19">
        <f>INDEX(Products!$E$2:$E$101,MATCH(C211,Products!$A$2:$A$101,0))</f>
        <v>195.96</v>
      </c>
      <c r="K211" s="19">
        <f t="shared" si="10"/>
        <v>783.84</v>
      </c>
      <c r="L211" s="19">
        <f t="shared" si="11"/>
        <v>639.024</v>
      </c>
    </row>
    <row r="212" spans="1:12" ht="15" customHeight="1" x14ac:dyDescent="0.25">
      <c r="A212" s="10">
        <v>211</v>
      </c>
      <c r="B212" s="10">
        <v>73</v>
      </c>
      <c r="C212" s="10">
        <v>73</v>
      </c>
      <c r="D212" s="10">
        <v>9</v>
      </c>
      <c r="E212" s="19">
        <v>375.67</v>
      </c>
      <c r="F212" s="10">
        <v>0</v>
      </c>
      <c r="G212" s="19">
        <f t="shared" si="9"/>
        <v>3381.03</v>
      </c>
      <c r="H212" s="10">
        <f>INDEX(Products!$C$2:$C$101,MATCH(C212,Products!$A$2:$A$101,0))</f>
        <v>8</v>
      </c>
      <c r="I212" s="10" t="str">
        <f>INDEX(Categories!$B$2:$B$11,MATCH(H212,Categories!$A$2:$A$11,0))</f>
        <v>Health &amp; Beauty</v>
      </c>
      <c r="J212" s="19">
        <f>INDEX(Products!$E$2:$E$101,MATCH(C212,Products!$A$2:$A$101,0))</f>
        <v>214.44</v>
      </c>
      <c r="K212" s="19">
        <f t="shared" si="10"/>
        <v>1929.96</v>
      </c>
      <c r="L212" s="19">
        <f t="shared" si="11"/>
        <v>1451.0700000000002</v>
      </c>
    </row>
    <row r="213" spans="1:12" ht="15" customHeight="1" x14ac:dyDescent="0.25">
      <c r="A213" s="10">
        <v>212</v>
      </c>
      <c r="B213" s="10">
        <v>73</v>
      </c>
      <c r="C213" s="10">
        <v>15</v>
      </c>
      <c r="D213" s="10">
        <v>3</v>
      </c>
      <c r="E213" s="19">
        <v>389.29</v>
      </c>
      <c r="F213" s="10">
        <v>0</v>
      </c>
      <c r="G213" s="19">
        <f t="shared" si="9"/>
        <v>1167.8700000000001</v>
      </c>
      <c r="H213" s="10">
        <f>INDEX(Products!$C$2:$C$101,MATCH(C213,Products!$A$2:$A$101,0))</f>
        <v>2</v>
      </c>
      <c r="I213" s="10" t="str">
        <f>INDEX(Categories!$B$2:$B$11,MATCH(H213,Categories!$A$2:$A$11,0))</f>
        <v>Office Supplies</v>
      </c>
      <c r="J213" s="19">
        <f>INDEX(Products!$E$2:$E$101,MATCH(C213,Products!$A$2:$A$101,0))</f>
        <v>227.28</v>
      </c>
      <c r="K213" s="19">
        <f t="shared" si="10"/>
        <v>681.84</v>
      </c>
      <c r="L213" s="19">
        <f t="shared" si="11"/>
        <v>486.03000000000009</v>
      </c>
    </row>
    <row r="214" spans="1:12" ht="15" customHeight="1" x14ac:dyDescent="0.25">
      <c r="A214" s="10">
        <v>213</v>
      </c>
      <c r="B214" s="10">
        <v>74</v>
      </c>
      <c r="C214" s="10">
        <v>59</v>
      </c>
      <c r="D214" s="10">
        <v>3</v>
      </c>
      <c r="E214" s="19">
        <v>68</v>
      </c>
      <c r="F214" s="10">
        <v>0.1</v>
      </c>
      <c r="G214" s="19">
        <f t="shared" si="9"/>
        <v>183.6</v>
      </c>
      <c r="H214" s="10">
        <f>INDEX(Products!$C$2:$C$101,MATCH(C214,Products!$A$2:$A$101,0))</f>
        <v>6</v>
      </c>
      <c r="I214" s="10" t="str">
        <f>INDEX(Categories!$B$2:$B$11,MATCH(H214,Categories!$A$2:$A$11,0))</f>
        <v>Sporting Goods</v>
      </c>
      <c r="J214" s="19">
        <f>INDEX(Products!$E$2:$E$101,MATCH(C214,Products!$A$2:$A$101,0))</f>
        <v>31.63</v>
      </c>
      <c r="K214" s="19">
        <f t="shared" si="10"/>
        <v>94.89</v>
      </c>
      <c r="L214" s="19">
        <f t="shared" si="11"/>
        <v>88.71</v>
      </c>
    </row>
    <row r="215" spans="1:12" ht="15" customHeight="1" x14ac:dyDescent="0.25">
      <c r="A215" s="10">
        <v>214</v>
      </c>
      <c r="B215" s="10">
        <v>75</v>
      </c>
      <c r="C215" s="10">
        <v>1</v>
      </c>
      <c r="D215" s="10">
        <v>10</v>
      </c>
      <c r="E215" s="19">
        <v>384.09</v>
      </c>
      <c r="F215" s="10">
        <v>0</v>
      </c>
      <c r="G215" s="19">
        <f t="shared" si="9"/>
        <v>3840.8999999999996</v>
      </c>
      <c r="H215" s="10">
        <f>INDEX(Products!$C$2:$C$101,MATCH(C215,Products!$A$2:$A$101,0))</f>
        <v>1</v>
      </c>
      <c r="I215" s="10" t="str">
        <f>INDEX(Categories!$B$2:$B$11,MATCH(H215,Categories!$A$2:$A$11,0))</f>
        <v>Electronics</v>
      </c>
      <c r="J215" s="19">
        <f>INDEX(Products!$E$2:$E$101,MATCH(C215,Products!$A$2:$A$101,0))</f>
        <v>235.86</v>
      </c>
      <c r="K215" s="19">
        <f t="shared" si="10"/>
        <v>2358.6000000000004</v>
      </c>
      <c r="L215" s="19">
        <f t="shared" si="11"/>
        <v>1482.2999999999993</v>
      </c>
    </row>
    <row r="216" spans="1:12" ht="15" customHeight="1" x14ac:dyDescent="0.25">
      <c r="A216" s="10">
        <v>215</v>
      </c>
      <c r="B216" s="10">
        <v>75</v>
      </c>
      <c r="C216" s="10">
        <v>96</v>
      </c>
      <c r="D216" s="10">
        <v>1</v>
      </c>
      <c r="E216" s="19">
        <v>266.72000000000003</v>
      </c>
      <c r="F216" s="10">
        <v>0.05</v>
      </c>
      <c r="G216" s="19">
        <f t="shared" si="9"/>
        <v>253.38400000000001</v>
      </c>
      <c r="H216" s="10">
        <f>INDEX(Products!$C$2:$C$101,MATCH(C216,Products!$A$2:$A$101,0))</f>
        <v>10</v>
      </c>
      <c r="I216" s="10" t="str">
        <f>INDEX(Categories!$B$2:$B$11,MATCH(H216,Categories!$A$2:$A$11,0))</f>
        <v>Groceries</v>
      </c>
      <c r="J216" s="19">
        <f>INDEX(Products!$E$2:$E$101,MATCH(C216,Products!$A$2:$A$101,0))</f>
        <v>162.65</v>
      </c>
      <c r="K216" s="19">
        <f t="shared" si="10"/>
        <v>162.65</v>
      </c>
      <c r="L216" s="19">
        <f t="shared" si="11"/>
        <v>90.734000000000009</v>
      </c>
    </row>
    <row r="217" spans="1:12" ht="15" customHeight="1" x14ac:dyDescent="0.25">
      <c r="A217" s="10">
        <v>216</v>
      </c>
      <c r="B217" s="10">
        <v>75</v>
      </c>
      <c r="C217" s="10">
        <v>28</v>
      </c>
      <c r="D217" s="10">
        <v>6</v>
      </c>
      <c r="E217" s="19">
        <v>149.97</v>
      </c>
      <c r="F217" s="10">
        <v>0.15</v>
      </c>
      <c r="G217" s="19">
        <f t="shared" si="9"/>
        <v>764.84699999999998</v>
      </c>
      <c r="H217" s="10">
        <f>INDEX(Products!$C$2:$C$101,MATCH(C217,Products!$A$2:$A$101,0))</f>
        <v>3</v>
      </c>
      <c r="I217" s="10" t="str">
        <f>INDEX(Categories!$B$2:$B$11,MATCH(H217,Categories!$A$2:$A$11,0))</f>
        <v>Furniture</v>
      </c>
      <c r="J217" s="19">
        <f>INDEX(Products!$E$2:$E$101,MATCH(C217,Products!$A$2:$A$101,0))</f>
        <v>113.7</v>
      </c>
      <c r="K217" s="19">
        <f t="shared" si="10"/>
        <v>682.2</v>
      </c>
      <c r="L217" s="19">
        <f t="shared" si="11"/>
        <v>82.646999999999935</v>
      </c>
    </row>
    <row r="218" spans="1:12" ht="15" customHeight="1" x14ac:dyDescent="0.25">
      <c r="A218" s="10">
        <v>217</v>
      </c>
      <c r="B218" s="10">
        <v>76</v>
      </c>
      <c r="C218" s="10">
        <v>99</v>
      </c>
      <c r="D218" s="10">
        <v>7</v>
      </c>
      <c r="E218" s="19">
        <v>329.4</v>
      </c>
      <c r="F218" s="10">
        <v>0</v>
      </c>
      <c r="G218" s="19">
        <f t="shared" si="9"/>
        <v>2305.7999999999997</v>
      </c>
      <c r="H218" s="10">
        <f>INDEX(Products!$C$2:$C$101,MATCH(C218,Products!$A$2:$A$101,0))</f>
        <v>10</v>
      </c>
      <c r="I218" s="10" t="str">
        <f>INDEX(Categories!$B$2:$B$11,MATCH(H218,Categories!$A$2:$A$11,0))</f>
        <v>Groceries</v>
      </c>
      <c r="J218" s="19">
        <f>INDEX(Products!$E$2:$E$101,MATCH(C218,Products!$A$2:$A$101,0))</f>
        <v>208.13</v>
      </c>
      <c r="K218" s="19">
        <f t="shared" si="10"/>
        <v>1456.9099999999999</v>
      </c>
      <c r="L218" s="19">
        <f t="shared" si="11"/>
        <v>848.88999999999987</v>
      </c>
    </row>
    <row r="219" spans="1:12" ht="15" customHeight="1" x14ac:dyDescent="0.25">
      <c r="A219" s="10">
        <v>218</v>
      </c>
      <c r="B219" s="10">
        <v>76</v>
      </c>
      <c r="C219" s="10">
        <v>18</v>
      </c>
      <c r="D219" s="10">
        <v>7</v>
      </c>
      <c r="E219" s="19">
        <v>185.81</v>
      </c>
      <c r="F219" s="10">
        <v>0.05</v>
      </c>
      <c r="G219" s="19">
        <f t="shared" si="9"/>
        <v>1235.6365000000001</v>
      </c>
      <c r="H219" s="10">
        <f>INDEX(Products!$C$2:$C$101,MATCH(C219,Products!$A$2:$A$101,0))</f>
        <v>2</v>
      </c>
      <c r="I219" s="10" t="str">
        <f>INDEX(Categories!$B$2:$B$11,MATCH(H219,Categories!$A$2:$A$11,0))</f>
        <v>Office Supplies</v>
      </c>
      <c r="J219" s="19">
        <f>INDEX(Products!$E$2:$E$101,MATCH(C219,Products!$A$2:$A$101,0))</f>
        <v>108.81</v>
      </c>
      <c r="K219" s="19">
        <f t="shared" si="10"/>
        <v>761.67000000000007</v>
      </c>
      <c r="L219" s="19">
        <f t="shared" si="11"/>
        <v>473.9665</v>
      </c>
    </row>
    <row r="220" spans="1:12" ht="15" customHeight="1" x14ac:dyDescent="0.25">
      <c r="A220" s="10">
        <v>219</v>
      </c>
      <c r="B220" s="10">
        <v>77</v>
      </c>
      <c r="C220" s="10">
        <v>68</v>
      </c>
      <c r="D220" s="10">
        <v>1</v>
      </c>
      <c r="E220" s="19">
        <v>271.66000000000003</v>
      </c>
      <c r="F220" s="10">
        <v>0.2</v>
      </c>
      <c r="G220" s="19">
        <f t="shared" si="9"/>
        <v>217.32800000000003</v>
      </c>
      <c r="H220" s="10">
        <f>INDEX(Products!$C$2:$C$101,MATCH(C220,Products!$A$2:$A$101,0))</f>
        <v>7</v>
      </c>
      <c r="I220" s="10" t="str">
        <f>INDEX(Categories!$B$2:$B$11,MATCH(H220,Categories!$A$2:$A$11,0))</f>
        <v>Toys &amp; Games</v>
      </c>
      <c r="J220" s="19">
        <f>INDEX(Products!$E$2:$E$101,MATCH(C220,Products!$A$2:$A$101,0))</f>
        <v>187.33</v>
      </c>
      <c r="K220" s="19">
        <f t="shared" si="10"/>
        <v>187.33</v>
      </c>
      <c r="L220" s="19">
        <f t="shared" si="11"/>
        <v>29.998000000000019</v>
      </c>
    </row>
    <row r="221" spans="1:12" ht="15" customHeight="1" x14ac:dyDescent="0.25">
      <c r="A221" s="10">
        <v>220</v>
      </c>
      <c r="B221" s="10">
        <v>77</v>
      </c>
      <c r="C221" s="10">
        <v>17</v>
      </c>
      <c r="D221" s="10">
        <v>1</v>
      </c>
      <c r="E221" s="19">
        <v>216.84</v>
      </c>
      <c r="F221" s="10">
        <v>0</v>
      </c>
      <c r="G221" s="19">
        <f t="shared" si="9"/>
        <v>216.84</v>
      </c>
      <c r="H221" s="10">
        <f>INDEX(Products!$C$2:$C$101,MATCH(C221,Products!$A$2:$A$101,0))</f>
        <v>2</v>
      </c>
      <c r="I221" s="10" t="str">
        <f>INDEX(Categories!$B$2:$B$11,MATCH(H221,Categories!$A$2:$A$11,0))</f>
        <v>Office Supplies</v>
      </c>
      <c r="J221" s="19">
        <f>INDEX(Products!$E$2:$E$101,MATCH(C221,Products!$A$2:$A$101,0))</f>
        <v>151.30000000000001</v>
      </c>
      <c r="K221" s="19">
        <f t="shared" si="10"/>
        <v>151.30000000000001</v>
      </c>
      <c r="L221" s="19">
        <f t="shared" si="11"/>
        <v>65.539999999999992</v>
      </c>
    </row>
    <row r="222" spans="1:12" ht="15" customHeight="1" x14ac:dyDescent="0.25">
      <c r="A222" s="10">
        <v>221</v>
      </c>
      <c r="B222" s="10">
        <v>77</v>
      </c>
      <c r="C222" s="10">
        <v>94</v>
      </c>
      <c r="D222" s="10">
        <v>8</v>
      </c>
      <c r="E222" s="19">
        <v>309.85000000000002</v>
      </c>
      <c r="F222" s="10">
        <v>0.15</v>
      </c>
      <c r="G222" s="19">
        <f t="shared" si="9"/>
        <v>2106.98</v>
      </c>
      <c r="H222" s="10">
        <f>INDEX(Products!$C$2:$C$101,MATCH(C222,Products!$A$2:$A$101,0))</f>
        <v>10</v>
      </c>
      <c r="I222" s="10" t="str">
        <f>INDEX(Categories!$B$2:$B$11,MATCH(H222,Categories!$A$2:$A$11,0))</f>
        <v>Groceries</v>
      </c>
      <c r="J222" s="19">
        <f>INDEX(Products!$E$2:$E$101,MATCH(C222,Products!$A$2:$A$101,0))</f>
        <v>201.08</v>
      </c>
      <c r="K222" s="19">
        <f t="shared" si="10"/>
        <v>1608.64</v>
      </c>
      <c r="L222" s="19">
        <f t="shared" si="11"/>
        <v>498.33999999999992</v>
      </c>
    </row>
    <row r="223" spans="1:12" ht="15" customHeight="1" x14ac:dyDescent="0.25">
      <c r="A223" s="10">
        <v>222</v>
      </c>
      <c r="B223" s="10">
        <v>77</v>
      </c>
      <c r="C223" s="10">
        <v>29</v>
      </c>
      <c r="D223" s="10">
        <v>9</v>
      </c>
      <c r="E223" s="19">
        <v>152.52000000000001</v>
      </c>
      <c r="F223" s="10">
        <v>0.05</v>
      </c>
      <c r="G223" s="19">
        <f t="shared" si="9"/>
        <v>1304.046</v>
      </c>
      <c r="H223" s="10">
        <f>INDEX(Products!$C$2:$C$101,MATCH(C223,Products!$A$2:$A$101,0))</f>
        <v>3</v>
      </c>
      <c r="I223" s="10" t="str">
        <f>INDEX(Categories!$B$2:$B$11,MATCH(H223,Categories!$A$2:$A$11,0))</f>
        <v>Furniture</v>
      </c>
      <c r="J223" s="19">
        <f>INDEX(Products!$E$2:$E$101,MATCH(C223,Products!$A$2:$A$101,0))</f>
        <v>78.63</v>
      </c>
      <c r="K223" s="19">
        <f t="shared" si="10"/>
        <v>707.67</v>
      </c>
      <c r="L223" s="19">
        <f t="shared" si="11"/>
        <v>596.37600000000009</v>
      </c>
    </row>
    <row r="224" spans="1:12" ht="15" customHeight="1" x14ac:dyDescent="0.25">
      <c r="A224" s="10">
        <v>223</v>
      </c>
      <c r="B224" s="10">
        <v>78</v>
      </c>
      <c r="C224" s="10">
        <v>25</v>
      </c>
      <c r="D224" s="10">
        <v>2</v>
      </c>
      <c r="E224" s="19">
        <v>334.98</v>
      </c>
      <c r="F224" s="10">
        <v>0</v>
      </c>
      <c r="G224" s="19">
        <f t="shared" si="9"/>
        <v>669.96</v>
      </c>
      <c r="H224" s="10">
        <f>INDEX(Products!$C$2:$C$101,MATCH(C224,Products!$A$2:$A$101,0))</f>
        <v>3</v>
      </c>
      <c r="I224" s="10" t="str">
        <f>INDEX(Categories!$B$2:$B$11,MATCH(H224,Categories!$A$2:$A$11,0))</f>
        <v>Furniture</v>
      </c>
      <c r="J224" s="19">
        <f>INDEX(Products!$E$2:$E$101,MATCH(C224,Products!$A$2:$A$101,0))</f>
        <v>200.06</v>
      </c>
      <c r="K224" s="19">
        <f t="shared" si="10"/>
        <v>400.12</v>
      </c>
      <c r="L224" s="19">
        <f t="shared" si="11"/>
        <v>269.84000000000003</v>
      </c>
    </row>
    <row r="225" spans="1:12" ht="15" customHeight="1" x14ac:dyDescent="0.25">
      <c r="A225" s="10">
        <v>224</v>
      </c>
      <c r="B225" s="10">
        <v>78</v>
      </c>
      <c r="C225" s="10">
        <v>93</v>
      </c>
      <c r="D225" s="10">
        <v>7</v>
      </c>
      <c r="E225" s="19">
        <v>288.39999999999998</v>
      </c>
      <c r="F225" s="10">
        <v>0.1</v>
      </c>
      <c r="G225" s="19">
        <f t="shared" si="9"/>
        <v>1816.9199999999998</v>
      </c>
      <c r="H225" s="10">
        <f>INDEX(Products!$C$2:$C$101,MATCH(C225,Products!$A$2:$A$101,0))</f>
        <v>10</v>
      </c>
      <c r="I225" s="10" t="str">
        <f>INDEX(Categories!$B$2:$B$11,MATCH(H225,Categories!$A$2:$A$11,0))</f>
        <v>Groceries</v>
      </c>
      <c r="J225" s="19">
        <f>INDEX(Products!$E$2:$E$101,MATCH(C225,Products!$A$2:$A$101,0))</f>
        <v>125.69</v>
      </c>
      <c r="K225" s="19">
        <f t="shared" si="10"/>
        <v>879.82999999999993</v>
      </c>
      <c r="L225" s="19">
        <f t="shared" si="11"/>
        <v>937.08999999999992</v>
      </c>
    </row>
    <row r="226" spans="1:12" ht="15" customHeight="1" x14ac:dyDescent="0.25">
      <c r="A226" s="10">
        <v>225</v>
      </c>
      <c r="B226" s="10">
        <v>78</v>
      </c>
      <c r="C226" s="10">
        <v>98</v>
      </c>
      <c r="D226" s="10">
        <v>1</v>
      </c>
      <c r="E226" s="19">
        <v>67.48</v>
      </c>
      <c r="F226" s="10">
        <v>0</v>
      </c>
      <c r="G226" s="19">
        <f t="shared" si="9"/>
        <v>67.48</v>
      </c>
      <c r="H226" s="10">
        <f>INDEX(Products!$C$2:$C$101,MATCH(C226,Products!$A$2:$A$101,0))</f>
        <v>10</v>
      </c>
      <c r="I226" s="10" t="str">
        <f>INDEX(Categories!$B$2:$B$11,MATCH(H226,Categories!$A$2:$A$11,0))</f>
        <v>Groceries</v>
      </c>
      <c r="J226" s="19">
        <f>INDEX(Products!$E$2:$E$101,MATCH(C226,Products!$A$2:$A$101,0))</f>
        <v>35.64</v>
      </c>
      <c r="K226" s="19">
        <f t="shared" si="10"/>
        <v>35.64</v>
      </c>
      <c r="L226" s="19">
        <f t="shared" si="11"/>
        <v>31.840000000000003</v>
      </c>
    </row>
    <row r="227" spans="1:12" ht="15" customHeight="1" x14ac:dyDescent="0.25">
      <c r="A227" s="10">
        <v>226</v>
      </c>
      <c r="B227" s="10">
        <v>79</v>
      </c>
      <c r="C227" s="10">
        <v>70</v>
      </c>
      <c r="D227" s="10">
        <v>1</v>
      </c>
      <c r="E227" s="19">
        <v>149.31</v>
      </c>
      <c r="F227" s="10">
        <v>0</v>
      </c>
      <c r="G227" s="19">
        <f t="shared" si="9"/>
        <v>149.31</v>
      </c>
      <c r="H227" s="10">
        <f>INDEX(Products!$C$2:$C$101,MATCH(C227,Products!$A$2:$A$101,0))</f>
        <v>7</v>
      </c>
      <c r="I227" s="10" t="str">
        <f>INDEX(Categories!$B$2:$B$11,MATCH(H227,Categories!$A$2:$A$11,0))</f>
        <v>Toys &amp; Games</v>
      </c>
      <c r="J227" s="19">
        <f>INDEX(Products!$E$2:$E$101,MATCH(C227,Products!$A$2:$A$101,0))</f>
        <v>76.739999999999995</v>
      </c>
      <c r="K227" s="19">
        <f t="shared" si="10"/>
        <v>76.739999999999995</v>
      </c>
      <c r="L227" s="19">
        <f t="shared" si="11"/>
        <v>72.570000000000007</v>
      </c>
    </row>
    <row r="228" spans="1:12" ht="15" customHeight="1" x14ac:dyDescent="0.25">
      <c r="A228" s="10">
        <v>227</v>
      </c>
      <c r="B228" s="10">
        <v>79</v>
      </c>
      <c r="C228" s="10">
        <v>28</v>
      </c>
      <c r="D228" s="10">
        <v>9</v>
      </c>
      <c r="E228" s="19">
        <v>149.97</v>
      </c>
      <c r="F228" s="10">
        <v>0</v>
      </c>
      <c r="G228" s="19">
        <f t="shared" si="9"/>
        <v>1349.73</v>
      </c>
      <c r="H228" s="10">
        <f>INDEX(Products!$C$2:$C$101,MATCH(C228,Products!$A$2:$A$101,0))</f>
        <v>3</v>
      </c>
      <c r="I228" s="10" t="str">
        <f>INDEX(Categories!$B$2:$B$11,MATCH(H228,Categories!$A$2:$A$11,0))</f>
        <v>Furniture</v>
      </c>
      <c r="J228" s="19">
        <f>INDEX(Products!$E$2:$E$101,MATCH(C228,Products!$A$2:$A$101,0))</f>
        <v>113.7</v>
      </c>
      <c r="K228" s="19">
        <f t="shared" si="10"/>
        <v>1023.3000000000001</v>
      </c>
      <c r="L228" s="19">
        <f t="shared" si="11"/>
        <v>326.42999999999995</v>
      </c>
    </row>
    <row r="229" spans="1:12" ht="15" customHeight="1" x14ac:dyDescent="0.25">
      <c r="A229" s="10">
        <v>228</v>
      </c>
      <c r="B229" s="10">
        <v>80</v>
      </c>
      <c r="C229" s="10">
        <v>53</v>
      </c>
      <c r="D229" s="10">
        <v>5</v>
      </c>
      <c r="E229" s="19">
        <v>534</v>
      </c>
      <c r="F229" s="10">
        <v>0</v>
      </c>
      <c r="G229" s="19">
        <f t="shared" si="9"/>
        <v>2670</v>
      </c>
      <c r="H229" s="10">
        <f>INDEX(Products!$C$2:$C$101,MATCH(C229,Products!$A$2:$A$101,0))</f>
        <v>6</v>
      </c>
      <c r="I229" s="10" t="str">
        <f>INDEX(Categories!$B$2:$B$11,MATCH(H229,Categories!$A$2:$A$11,0))</f>
        <v>Sporting Goods</v>
      </c>
      <c r="J229" s="19">
        <f>INDEX(Products!$E$2:$E$101,MATCH(C229,Products!$A$2:$A$101,0))</f>
        <v>240.59</v>
      </c>
      <c r="K229" s="19">
        <f t="shared" si="10"/>
        <v>1202.95</v>
      </c>
      <c r="L229" s="19">
        <f t="shared" si="11"/>
        <v>1467.05</v>
      </c>
    </row>
    <row r="230" spans="1:12" ht="15" customHeight="1" x14ac:dyDescent="0.25">
      <c r="A230" s="10">
        <v>229</v>
      </c>
      <c r="B230" s="10">
        <v>80</v>
      </c>
      <c r="C230" s="10">
        <v>39</v>
      </c>
      <c r="D230" s="10">
        <v>9</v>
      </c>
      <c r="E230" s="19">
        <v>42.44</v>
      </c>
      <c r="F230" s="10">
        <v>0.1</v>
      </c>
      <c r="G230" s="19">
        <f t="shared" si="9"/>
        <v>343.76400000000001</v>
      </c>
      <c r="H230" s="10">
        <f>INDEX(Products!$C$2:$C$101,MATCH(C230,Products!$A$2:$A$101,0))</f>
        <v>4</v>
      </c>
      <c r="I230" s="10" t="str">
        <f>INDEX(Categories!$B$2:$B$11,MATCH(H230,Categories!$A$2:$A$11,0))</f>
        <v>Apparel</v>
      </c>
      <c r="J230" s="19">
        <f>INDEX(Products!$E$2:$E$101,MATCH(C230,Products!$A$2:$A$101,0))</f>
        <v>21.3</v>
      </c>
      <c r="K230" s="19">
        <f t="shared" si="10"/>
        <v>191.70000000000002</v>
      </c>
      <c r="L230" s="19">
        <f t="shared" si="11"/>
        <v>152.06399999999999</v>
      </c>
    </row>
    <row r="231" spans="1:12" ht="15" customHeight="1" x14ac:dyDescent="0.25">
      <c r="A231" s="10">
        <v>230</v>
      </c>
      <c r="B231" s="10">
        <v>81</v>
      </c>
      <c r="C231" s="10">
        <v>41</v>
      </c>
      <c r="D231" s="10">
        <v>5</v>
      </c>
      <c r="E231" s="19">
        <v>331.46</v>
      </c>
      <c r="F231" s="10">
        <v>0.05</v>
      </c>
      <c r="G231" s="19">
        <f t="shared" si="9"/>
        <v>1574.4349999999999</v>
      </c>
      <c r="H231" s="10">
        <f>INDEX(Products!$C$2:$C$101,MATCH(C231,Products!$A$2:$A$101,0))</f>
        <v>5</v>
      </c>
      <c r="I231" s="10" t="str">
        <f>INDEX(Categories!$B$2:$B$11,MATCH(H231,Categories!$A$2:$A$11,0))</f>
        <v>Home &amp; Kitchen</v>
      </c>
      <c r="J231" s="19">
        <f>INDEX(Products!$E$2:$E$101,MATCH(C231,Products!$A$2:$A$101,0))</f>
        <v>152.76</v>
      </c>
      <c r="K231" s="19">
        <f t="shared" si="10"/>
        <v>763.8</v>
      </c>
      <c r="L231" s="19">
        <f t="shared" si="11"/>
        <v>810.63499999999999</v>
      </c>
    </row>
    <row r="232" spans="1:12" ht="15" customHeight="1" x14ac:dyDescent="0.25">
      <c r="A232" s="10">
        <v>231</v>
      </c>
      <c r="B232" s="10">
        <v>81</v>
      </c>
      <c r="C232" s="10">
        <v>90</v>
      </c>
      <c r="D232" s="10">
        <v>3</v>
      </c>
      <c r="E232" s="19">
        <v>50.45</v>
      </c>
      <c r="F232" s="10">
        <v>0.2</v>
      </c>
      <c r="G232" s="19">
        <f t="shared" si="9"/>
        <v>121.08000000000003</v>
      </c>
      <c r="H232" s="10">
        <f>INDEX(Products!$C$2:$C$101,MATCH(C232,Products!$A$2:$A$101,0))</f>
        <v>9</v>
      </c>
      <c r="I232" s="10" t="str">
        <f>INDEX(Categories!$B$2:$B$11,MATCH(H232,Categories!$A$2:$A$11,0))</f>
        <v>Automotive Parts</v>
      </c>
      <c r="J232" s="19">
        <f>INDEX(Products!$E$2:$E$101,MATCH(C232,Products!$A$2:$A$101,0))</f>
        <v>29.34</v>
      </c>
      <c r="K232" s="19">
        <f t="shared" si="10"/>
        <v>88.02</v>
      </c>
      <c r="L232" s="19">
        <f t="shared" si="11"/>
        <v>33.060000000000031</v>
      </c>
    </row>
    <row r="233" spans="1:12" ht="15" customHeight="1" x14ac:dyDescent="0.25">
      <c r="A233" s="10">
        <v>232</v>
      </c>
      <c r="B233" s="10">
        <v>81</v>
      </c>
      <c r="C233" s="10">
        <v>54</v>
      </c>
      <c r="D233" s="10">
        <v>9</v>
      </c>
      <c r="E233" s="19">
        <v>398.16</v>
      </c>
      <c r="F233" s="10">
        <v>0.05</v>
      </c>
      <c r="G233" s="19">
        <f t="shared" si="9"/>
        <v>3404.268</v>
      </c>
      <c r="H233" s="10">
        <f>INDEX(Products!$C$2:$C$101,MATCH(C233,Products!$A$2:$A$101,0))</f>
        <v>6</v>
      </c>
      <c r="I233" s="10" t="str">
        <f>INDEX(Categories!$B$2:$B$11,MATCH(H233,Categories!$A$2:$A$11,0))</f>
        <v>Sporting Goods</v>
      </c>
      <c r="J233" s="19">
        <f>INDEX(Products!$E$2:$E$101,MATCH(C233,Products!$A$2:$A$101,0))</f>
        <v>205.89</v>
      </c>
      <c r="K233" s="19">
        <f t="shared" si="10"/>
        <v>1853.0099999999998</v>
      </c>
      <c r="L233" s="19">
        <f t="shared" si="11"/>
        <v>1551.2580000000003</v>
      </c>
    </row>
    <row r="234" spans="1:12" ht="15" customHeight="1" x14ac:dyDescent="0.25">
      <c r="A234" s="10">
        <v>233</v>
      </c>
      <c r="B234" s="10">
        <v>81</v>
      </c>
      <c r="C234" s="10">
        <v>53</v>
      </c>
      <c r="D234" s="10">
        <v>4</v>
      </c>
      <c r="E234" s="19">
        <v>534</v>
      </c>
      <c r="F234" s="10">
        <v>0.2</v>
      </c>
      <c r="G234" s="19">
        <f t="shared" si="9"/>
        <v>1708.8000000000002</v>
      </c>
      <c r="H234" s="10">
        <f>INDEX(Products!$C$2:$C$101,MATCH(C234,Products!$A$2:$A$101,0))</f>
        <v>6</v>
      </c>
      <c r="I234" s="10" t="str">
        <f>INDEX(Categories!$B$2:$B$11,MATCH(H234,Categories!$A$2:$A$11,0))</f>
        <v>Sporting Goods</v>
      </c>
      <c r="J234" s="19">
        <f>INDEX(Products!$E$2:$E$101,MATCH(C234,Products!$A$2:$A$101,0))</f>
        <v>240.59</v>
      </c>
      <c r="K234" s="19">
        <f t="shared" si="10"/>
        <v>962.36</v>
      </c>
      <c r="L234" s="19">
        <f t="shared" si="11"/>
        <v>746.44000000000017</v>
      </c>
    </row>
    <row r="235" spans="1:12" ht="15" customHeight="1" x14ac:dyDescent="0.25">
      <c r="A235" s="10">
        <v>234</v>
      </c>
      <c r="B235" s="10">
        <v>81</v>
      </c>
      <c r="C235" s="10">
        <v>20</v>
      </c>
      <c r="D235" s="10">
        <v>4</v>
      </c>
      <c r="E235" s="19">
        <v>316.14999999999998</v>
      </c>
      <c r="F235" s="10">
        <v>0</v>
      </c>
      <c r="G235" s="19">
        <f t="shared" si="9"/>
        <v>1264.5999999999999</v>
      </c>
      <c r="H235" s="10">
        <f>INDEX(Products!$C$2:$C$101,MATCH(C235,Products!$A$2:$A$101,0))</f>
        <v>2</v>
      </c>
      <c r="I235" s="10" t="str">
        <f>INDEX(Categories!$B$2:$B$11,MATCH(H235,Categories!$A$2:$A$11,0))</f>
        <v>Office Supplies</v>
      </c>
      <c r="J235" s="19">
        <f>INDEX(Products!$E$2:$E$101,MATCH(C235,Products!$A$2:$A$101,0))</f>
        <v>177.71</v>
      </c>
      <c r="K235" s="19">
        <f t="shared" si="10"/>
        <v>710.84</v>
      </c>
      <c r="L235" s="19">
        <f t="shared" si="11"/>
        <v>553.75999999999988</v>
      </c>
    </row>
    <row r="236" spans="1:12" ht="15" customHeight="1" x14ac:dyDescent="0.25">
      <c r="A236" s="10">
        <v>235</v>
      </c>
      <c r="B236" s="10">
        <v>82</v>
      </c>
      <c r="C236" s="10">
        <v>68</v>
      </c>
      <c r="D236" s="10">
        <v>4</v>
      </c>
      <c r="E236" s="19">
        <v>271.66000000000003</v>
      </c>
      <c r="F236" s="10">
        <v>0</v>
      </c>
      <c r="G236" s="19">
        <f t="shared" si="9"/>
        <v>1086.6400000000001</v>
      </c>
      <c r="H236" s="10">
        <f>INDEX(Products!$C$2:$C$101,MATCH(C236,Products!$A$2:$A$101,0))</f>
        <v>7</v>
      </c>
      <c r="I236" s="10" t="str">
        <f>INDEX(Categories!$B$2:$B$11,MATCH(H236,Categories!$A$2:$A$11,0))</f>
        <v>Toys &amp; Games</v>
      </c>
      <c r="J236" s="19">
        <f>INDEX(Products!$E$2:$E$101,MATCH(C236,Products!$A$2:$A$101,0))</f>
        <v>187.33</v>
      </c>
      <c r="K236" s="19">
        <f t="shared" si="10"/>
        <v>749.32</v>
      </c>
      <c r="L236" s="19">
        <f t="shared" si="11"/>
        <v>337.32000000000005</v>
      </c>
    </row>
    <row r="237" spans="1:12" ht="15" customHeight="1" x14ac:dyDescent="0.25">
      <c r="A237" s="10">
        <v>236</v>
      </c>
      <c r="B237" s="10">
        <v>82</v>
      </c>
      <c r="C237" s="10">
        <v>18</v>
      </c>
      <c r="D237" s="10">
        <v>2</v>
      </c>
      <c r="E237" s="19">
        <v>185.81</v>
      </c>
      <c r="F237" s="10">
        <v>0.05</v>
      </c>
      <c r="G237" s="19">
        <f t="shared" si="9"/>
        <v>353.03899999999999</v>
      </c>
      <c r="H237" s="10">
        <f>INDEX(Products!$C$2:$C$101,MATCH(C237,Products!$A$2:$A$101,0))</f>
        <v>2</v>
      </c>
      <c r="I237" s="10" t="str">
        <f>INDEX(Categories!$B$2:$B$11,MATCH(H237,Categories!$A$2:$A$11,0))</f>
        <v>Office Supplies</v>
      </c>
      <c r="J237" s="19">
        <f>INDEX(Products!$E$2:$E$101,MATCH(C237,Products!$A$2:$A$101,0))</f>
        <v>108.81</v>
      </c>
      <c r="K237" s="19">
        <f t="shared" si="10"/>
        <v>217.62</v>
      </c>
      <c r="L237" s="19">
        <f t="shared" si="11"/>
        <v>135.41899999999998</v>
      </c>
    </row>
    <row r="238" spans="1:12" ht="15" customHeight="1" x14ac:dyDescent="0.25">
      <c r="A238" s="10">
        <v>237</v>
      </c>
      <c r="B238" s="10">
        <v>82</v>
      </c>
      <c r="C238" s="10">
        <v>50</v>
      </c>
      <c r="D238" s="10">
        <v>6</v>
      </c>
      <c r="E238" s="19">
        <v>411.05</v>
      </c>
      <c r="F238" s="10">
        <v>0</v>
      </c>
      <c r="G238" s="19">
        <f t="shared" si="9"/>
        <v>2466.3000000000002</v>
      </c>
      <c r="H238" s="10">
        <f>INDEX(Products!$C$2:$C$101,MATCH(C238,Products!$A$2:$A$101,0))</f>
        <v>5</v>
      </c>
      <c r="I238" s="10" t="str">
        <f>INDEX(Categories!$B$2:$B$11,MATCH(H238,Categories!$A$2:$A$11,0))</f>
        <v>Home &amp; Kitchen</v>
      </c>
      <c r="J238" s="19">
        <f>INDEX(Products!$E$2:$E$101,MATCH(C238,Products!$A$2:$A$101,0))</f>
        <v>230.53</v>
      </c>
      <c r="K238" s="19">
        <f t="shared" si="10"/>
        <v>1383.18</v>
      </c>
      <c r="L238" s="19">
        <f t="shared" si="11"/>
        <v>1083.1200000000001</v>
      </c>
    </row>
    <row r="239" spans="1:12" ht="15" customHeight="1" x14ac:dyDescent="0.25">
      <c r="A239" s="10">
        <v>238</v>
      </c>
      <c r="B239" s="10">
        <v>82</v>
      </c>
      <c r="C239" s="10">
        <v>32</v>
      </c>
      <c r="D239" s="10">
        <v>9</v>
      </c>
      <c r="E239" s="19">
        <v>489.82</v>
      </c>
      <c r="F239" s="10">
        <v>0.15</v>
      </c>
      <c r="G239" s="19">
        <f t="shared" si="9"/>
        <v>3747.123</v>
      </c>
      <c r="H239" s="10">
        <f>INDEX(Products!$C$2:$C$101,MATCH(C239,Products!$A$2:$A$101,0))</f>
        <v>4</v>
      </c>
      <c r="I239" s="10" t="str">
        <f>INDEX(Categories!$B$2:$B$11,MATCH(H239,Categories!$A$2:$A$11,0))</f>
        <v>Apparel</v>
      </c>
      <c r="J239" s="19">
        <f>INDEX(Products!$E$2:$E$101,MATCH(C239,Products!$A$2:$A$101,0))</f>
        <v>237.87</v>
      </c>
      <c r="K239" s="19">
        <f t="shared" si="10"/>
        <v>2140.83</v>
      </c>
      <c r="L239" s="19">
        <f t="shared" si="11"/>
        <v>1606.2930000000001</v>
      </c>
    </row>
    <row r="240" spans="1:12" ht="15" customHeight="1" x14ac:dyDescent="0.25">
      <c r="A240" s="10">
        <v>239</v>
      </c>
      <c r="B240" s="10">
        <v>82</v>
      </c>
      <c r="C240" s="10">
        <v>33</v>
      </c>
      <c r="D240" s="10">
        <v>4</v>
      </c>
      <c r="E240" s="19">
        <v>432.05</v>
      </c>
      <c r="F240" s="10">
        <v>0</v>
      </c>
      <c r="G240" s="19">
        <f t="shared" si="9"/>
        <v>1728.2</v>
      </c>
      <c r="H240" s="10">
        <f>INDEX(Products!$C$2:$C$101,MATCH(C240,Products!$A$2:$A$101,0))</f>
        <v>4</v>
      </c>
      <c r="I240" s="10" t="str">
        <f>INDEX(Categories!$B$2:$B$11,MATCH(H240,Categories!$A$2:$A$11,0))</f>
        <v>Apparel</v>
      </c>
      <c r="J240" s="19">
        <f>INDEX(Products!$E$2:$E$101,MATCH(C240,Products!$A$2:$A$101,0))</f>
        <v>181.97</v>
      </c>
      <c r="K240" s="19">
        <f t="shared" si="10"/>
        <v>727.88</v>
      </c>
      <c r="L240" s="19">
        <f t="shared" si="11"/>
        <v>1000.32</v>
      </c>
    </row>
    <row r="241" spans="1:12" ht="15" customHeight="1" x14ac:dyDescent="0.25">
      <c r="A241" s="10">
        <v>240</v>
      </c>
      <c r="B241" s="10">
        <v>83</v>
      </c>
      <c r="C241" s="10">
        <v>28</v>
      </c>
      <c r="D241" s="10">
        <v>1</v>
      </c>
      <c r="E241" s="19">
        <v>149.97</v>
      </c>
      <c r="F241" s="10">
        <v>0</v>
      </c>
      <c r="G241" s="19">
        <f t="shared" si="9"/>
        <v>149.97</v>
      </c>
      <c r="H241" s="10">
        <f>INDEX(Products!$C$2:$C$101,MATCH(C241,Products!$A$2:$A$101,0))</f>
        <v>3</v>
      </c>
      <c r="I241" s="10" t="str">
        <f>INDEX(Categories!$B$2:$B$11,MATCH(H241,Categories!$A$2:$A$11,0))</f>
        <v>Furniture</v>
      </c>
      <c r="J241" s="19">
        <f>INDEX(Products!$E$2:$E$101,MATCH(C241,Products!$A$2:$A$101,0))</f>
        <v>113.7</v>
      </c>
      <c r="K241" s="19">
        <f t="shared" si="10"/>
        <v>113.7</v>
      </c>
      <c r="L241" s="19">
        <f t="shared" si="11"/>
        <v>36.269999999999996</v>
      </c>
    </row>
    <row r="242" spans="1:12" ht="15" customHeight="1" x14ac:dyDescent="0.25">
      <c r="A242" s="10">
        <v>241</v>
      </c>
      <c r="B242" s="10">
        <v>83</v>
      </c>
      <c r="C242" s="10">
        <v>62</v>
      </c>
      <c r="D242" s="10">
        <v>4</v>
      </c>
      <c r="E242" s="19">
        <v>321.75</v>
      </c>
      <c r="F242" s="10">
        <v>0.15</v>
      </c>
      <c r="G242" s="19">
        <f t="shared" si="9"/>
        <v>1093.95</v>
      </c>
      <c r="H242" s="10">
        <f>INDEX(Products!$C$2:$C$101,MATCH(C242,Products!$A$2:$A$101,0))</f>
        <v>7</v>
      </c>
      <c r="I242" s="10" t="str">
        <f>INDEX(Categories!$B$2:$B$11,MATCH(H242,Categories!$A$2:$A$11,0))</f>
        <v>Toys &amp; Games</v>
      </c>
      <c r="J242" s="19">
        <f>INDEX(Products!$E$2:$E$101,MATCH(C242,Products!$A$2:$A$101,0))</f>
        <v>138.66</v>
      </c>
      <c r="K242" s="19">
        <f t="shared" si="10"/>
        <v>554.64</v>
      </c>
      <c r="L242" s="19">
        <f t="shared" si="11"/>
        <v>539.31000000000006</v>
      </c>
    </row>
    <row r="243" spans="1:12" ht="15" customHeight="1" x14ac:dyDescent="0.25">
      <c r="A243" s="10">
        <v>242</v>
      </c>
      <c r="B243" s="10">
        <v>83</v>
      </c>
      <c r="C243" s="10">
        <v>27</v>
      </c>
      <c r="D243" s="10">
        <v>2</v>
      </c>
      <c r="E243" s="19">
        <v>263.93</v>
      </c>
      <c r="F243" s="10">
        <v>0.15</v>
      </c>
      <c r="G243" s="19">
        <f t="shared" si="9"/>
        <v>448.68099999999998</v>
      </c>
      <c r="H243" s="10">
        <f>INDEX(Products!$C$2:$C$101,MATCH(C243,Products!$A$2:$A$101,0))</f>
        <v>3</v>
      </c>
      <c r="I243" s="10" t="str">
        <f>INDEX(Categories!$B$2:$B$11,MATCH(H243,Categories!$A$2:$A$11,0))</f>
        <v>Furniture</v>
      </c>
      <c r="J243" s="19">
        <f>INDEX(Products!$E$2:$E$101,MATCH(C243,Products!$A$2:$A$101,0))</f>
        <v>123.68</v>
      </c>
      <c r="K243" s="19">
        <f t="shared" si="10"/>
        <v>247.36</v>
      </c>
      <c r="L243" s="19">
        <f t="shared" si="11"/>
        <v>201.32099999999997</v>
      </c>
    </row>
    <row r="244" spans="1:12" ht="15" customHeight="1" x14ac:dyDescent="0.25">
      <c r="A244" s="10">
        <v>243</v>
      </c>
      <c r="B244" s="10">
        <v>83</v>
      </c>
      <c r="C244" s="10">
        <v>43</v>
      </c>
      <c r="D244" s="10">
        <v>8</v>
      </c>
      <c r="E244" s="19">
        <v>42.13</v>
      </c>
      <c r="F244" s="10">
        <v>0</v>
      </c>
      <c r="G244" s="19">
        <f t="shared" si="9"/>
        <v>337.04</v>
      </c>
      <c r="H244" s="10">
        <f>INDEX(Products!$C$2:$C$101,MATCH(C244,Products!$A$2:$A$101,0))</f>
        <v>5</v>
      </c>
      <c r="I244" s="10" t="str">
        <f>INDEX(Categories!$B$2:$B$11,MATCH(H244,Categories!$A$2:$A$11,0))</f>
        <v>Home &amp; Kitchen</v>
      </c>
      <c r="J244" s="19">
        <f>INDEX(Products!$E$2:$E$101,MATCH(C244,Products!$A$2:$A$101,0))</f>
        <v>17.88</v>
      </c>
      <c r="K244" s="19">
        <f t="shared" si="10"/>
        <v>143.04</v>
      </c>
      <c r="L244" s="19">
        <f t="shared" si="11"/>
        <v>194.00000000000003</v>
      </c>
    </row>
    <row r="245" spans="1:12" ht="15" customHeight="1" x14ac:dyDescent="0.25">
      <c r="A245" s="10">
        <v>244</v>
      </c>
      <c r="B245" s="10">
        <v>83</v>
      </c>
      <c r="C245" s="10">
        <v>39</v>
      </c>
      <c r="D245" s="10">
        <v>10</v>
      </c>
      <c r="E245" s="19">
        <v>42.44</v>
      </c>
      <c r="F245" s="10">
        <v>0.15</v>
      </c>
      <c r="G245" s="19">
        <f t="shared" si="9"/>
        <v>360.73999999999995</v>
      </c>
      <c r="H245" s="10">
        <f>INDEX(Products!$C$2:$C$101,MATCH(C245,Products!$A$2:$A$101,0))</f>
        <v>4</v>
      </c>
      <c r="I245" s="10" t="str">
        <f>INDEX(Categories!$B$2:$B$11,MATCH(H245,Categories!$A$2:$A$11,0))</f>
        <v>Apparel</v>
      </c>
      <c r="J245" s="19">
        <f>INDEX(Products!$E$2:$E$101,MATCH(C245,Products!$A$2:$A$101,0))</f>
        <v>21.3</v>
      </c>
      <c r="K245" s="19">
        <f t="shared" si="10"/>
        <v>213</v>
      </c>
      <c r="L245" s="19">
        <f t="shared" si="11"/>
        <v>147.73999999999995</v>
      </c>
    </row>
    <row r="246" spans="1:12" ht="15" customHeight="1" x14ac:dyDescent="0.25">
      <c r="A246" s="10">
        <v>245</v>
      </c>
      <c r="B246" s="10">
        <v>84</v>
      </c>
      <c r="C246" s="10">
        <v>84</v>
      </c>
      <c r="D246" s="10">
        <v>9</v>
      </c>
      <c r="E246" s="19">
        <v>258</v>
      </c>
      <c r="F246" s="10">
        <v>0.05</v>
      </c>
      <c r="G246" s="19">
        <f t="shared" si="9"/>
        <v>2205.9</v>
      </c>
      <c r="H246" s="10">
        <f>INDEX(Products!$C$2:$C$101,MATCH(C246,Products!$A$2:$A$101,0))</f>
        <v>9</v>
      </c>
      <c r="I246" s="10" t="str">
        <f>INDEX(Categories!$B$2:$B$11,MATCH(H246,Categories!$A$2:$A$11,0))</f>
        <v>Automotive Parts</v>
      </c>
      <c r="J246" s="19">
        <f>INDEX(Products!$E$2:$E$101,MATCH(C246,Products!$A$2:$A$101,0))</f>
        <v>134.19999999999999</v>
      </c>
      <c r="K246" s="19">
        <f t="shared" si="10"/>
        <v>1207.8</v>
      </c>
      <c r="L246" s="19">
        <f t="shared" si="11"/>
        <v>998.10000000000014</v>
      </c>
    </row>
    <row r="247" spans="1:12" ht="15" customHeight="1" x14ac:dyDescent="0.25">
      <c r="A247" s="10">
        <v>246</v>
      </c>
      <c r="B247" s="10">
        <v>84</v>
      </c>
      <c r="C247" s="10">
        <v>46</v>
      </c>
      <c r="D247" s="10">
        <v>8</v>
      </c>
      <c r="E247" s="19">
        <v>125.01</v>
      </c>
      <c r="F247" s="10">
        <v>0</v>
      </c>
      <c r="G247" s="19">
        <f t="shared" si="9"/>
        <v>1000.08</v>
      </c>
      <c r="H247" s="10">
        <f>INDEX(Products!$C$2:$C$101,MATCH(C247,Products!$A$2:$A$101,0))</f>
        <v>5</v>
      </c>
      <c r="I247" s="10" t="str">
        <f>INDEX(Categories!$B$2:$B$11,MATCH(H247,Categories!$A$2:$A$11,0))</f>
        <v>Home &amp; Kitchen</v>
      </c>
      <c r="J247" s="19">
        <f>INDEX(Products!$E$2:$E$101,MATCH(C247,Products!$A$2:$A$101,0))</f>
        <v>60.17</v>
      </c>
      <c r="K247" s="19">
        <f t="shared" si="10"/>
        <v>481.36</v>
      </c>
      <c r="L247" s="19">
        <f t="shared" si="11"/>
        <v>518.72</v>
      </c>
    </row>
    <row r="248" spans="1:12" ht="15" customHeight="1" x14ac:dyDescent="0.25">
      <c r="A248" s="10">
        <v>247</v>
      </c>
      <c r="B248" s="10">
        <v>84</v>
      </c>
      <c r="C248" s="10">
        <v>40</v>
      </c>
      <c r="D248" s="10">
        <v>8</v>
      </c>
      <c r="E248" s="19">
        <v>330.91</v>
      </c>
      <c r="F248" s="10">
        <v>0.2</v>
      </c>
      <c r="G248" s="19">
        <f t="shared" si="9"/>
        <v>2117.8240000000001</v>
      </c>
      <c r="H248" s="10">
        <f>INDEX(Products!$C$2:$C$101,MATCH(C248,Products!$A$2:$A$101,0))</f>
        <v>4</v>
      </c>
      <c r="I248" s="10" t="str">
        <f>INDEX(Categories!$B$2:$B$11,MATCH(H248,Categories!$A$2:$A$11,0))</f>
        <v>Apparel</v>
      </c>
      <c r="J248" s="19">
        <f>INDEX(Products!$E$2:$E$101,MATCH(C248,Products!$A$2:$A$101,0))</f>
        <v>237.43</v>
      </c>
      <c r="K248" s="19">
        <f t="shared" si="10"/>
        <v>1899.44</v>
      </c>
      <c r="L248" s="19">
        <f t="shared" si="11"/>
        <v>218.38400000000001</v>
      </c>
    </row>
    <row r="249" spans="1:12" ht="15" customHeight="1" x14ac:dyDescent="0.25">
      <c r="A249" s="10">
        <v>248</v>
      </c>
      <c r="B249" s="10">
        <v>84</v>
      </c>
      <c r="C249" s="10">
        <v>34</v>
      </c>
      <c r="D249" s="10">
        <v>6</v>
      </c>
      <c r="E249" s="19">
        <v>339.25</v>
      </c>
      <c r="F249" s="10">
        <v>0</v>
      </c>
      <c r="G249" s="19">
        <f t="shared" si="9"/>
        <v>2035.5</v>
      </c>
      <c r="H249" s="10">
        <f>INDEX(Products!$C$2:$C$101,MATCH(C249,Products!$A$2:$A$101,0))</f>
        <v>4</v>
      </c>
      <c r="I249" s="10" t="str">
        <f>INDEX(Categories!$B$2:$B$11,MATCH(H249,Categories!$A$2:$A$11,0))</f>
        <v>Apparel</v>
      </c>
      <c r="J249" s="19">
        <f>INDEX(Products!$E$2:$E$101,MATCH(C249,Products!$A$2:$A$101,0))</f>
        <v>208.66</v>
      </c>
      <c r="K249" s="19">
        <f t="shared" si="10"/>
        <v>1251.96</v>
      </c>
      <c r="L249" s="19">
        <f t="shared" si="11"/>
        <v>783.54</v>
      </c>
    </row>
    <row r="250" spans="1:12" ht="15" customHeight="1" x14ac:dyDescent="0.25">
      <c r="A250" s="10">
        <v>249</v>
      </c>
      <c r="B250" s="10">
        <v>84</v>
      </c>
      <c r="C250" s="10">
        <v>47</v>
      </c>
      <c r="D250" s="10">
        <v>6</v>
      </c>
      <c r="E250" s="19">
        <v>96.51</v>
      </c>
      <c r="F250" s="10">
        <v>0</v>
      </c>
      <c r="G250" s="19">
        <f t="shared" si="9"/>
        <v>579.06000000000006</v>
      </c>
      <c r="H250" s="10">
        <f>INDEX(Products!$C$2:$C$101,MATCH(C250,Products!$A$2:$A$101,0))</f>
        <v>5</v>
      </c>
      <c r="I250" s="10" t="str">
        <f>INDEX(Categories!$B$2:$B$11,MATCH(H250,Categories!$A$2:$A$11,0))</f>
        <v>Home &amp; Kitchen</v>
      </c>
      <c r="J250" s="19">
        <f>INDEX(Products!$E$2:$E$101,MATCH(C250,Products!$A$2:$A$101,0))</f>
        <v>60.66</v>
      </c>
      <c r="K250" s="19">
        <f t="shared" si="10"/>
        <v>363.96</v>
      </c>
      <c r="L250" s="19">
        <f t="shared" si="11"/>
        <v>215.10000000000008</v>
      </c>
    </row>
    <row r="251" spans="1:12" ht="15" customHeight="1" x14ac:dyDescent="0.25">
      <c r="A251" s="10">
        <v>250</v>
      </c>
      <c r="B251" s="10">
        <v>85</v>
      </c>
      <c r="C251" s="10">
        <v>75</v>
      </c>
      <c r="D251" s="10">
        <v>4</v>
      </c>
      <c r="E251" s="19">
        <v>347.21</v>
      </c>
      <c r="F251" s="10">
        <v>0</v>
      </c>
      <c r="G251" s="19">
        <f t="shared" si="9"/>
        <v>1388.84</v>
      </c>
      <c r="H251" s="10">
        <f>INDEX(Products!$C$2:$C$101,MATCH(C251,Products!$A$2:$A$101,0))</f>
        <v>8</v>
      </c>
      <c r="I251" s="10" t="str">
        <f>INDEX(Categories!$B$2:$B$11,MATCH(H251,Categories!$A$2:$A$11,0))</f>
        <v>Health &amp; Beauty</v>
      </c>
      <c r="J251" s="19">
        <f>INDEX(Products!$E$2:$E$101,MATCH(C251,Products!$A$2:$A$101,0))</f>
        <v>241.31</v>
      </c>
      <c r="K251" s="19">
        <f t="shared" si="10"/>
        <v>965.24</v>
      </c>
      <c r="L251" s="19">
        <f t="shared" si="11"/>
        <v>423.59999999999991</v>
      </c>
    </row>
    <row r="252" spans="1:12" ht="15" customHeight="1" x14ac:dyDescent="0.25">
      <c r="A252" s="10">
        <v>251</v>
      </c>
      <c r="B252" s="10">
        <v>85</v>
      </c>
      <c r="C252" s="10">
        <v>93</v>
      </c>
      <c r="D252" s="10">
        <v>4</v>
      </c>
      <c r="E252" s="19">
        <v>288.39999999999998</v>
      </c>
      <c r="F252" s="10">
        <v>0.05</v>
      </c>
      <c r="G252" s="19">
        <f t="shared" si="9"/>
        <v>1095.9199999999998</v>
      </c>
      <c r="H252" s="10">
        <f>INDEX(Products!$C$2:$C$101,MATCH(C252,Products!$A$2:$A$101,0))</f>
        <v>10</v>
      </c>
      <c r="I252" s="10" t="str">
        <f>INDEX(Categories!$B$2:$B$11,MATCH(H252,Categories!$A$2:$A$11,0))</f>
        <v>Groceries</v>
      </c>
      <c r="J252" s="19">
        <f>INDEX(Products!$E$2:$E$101,MATCH(C252,Products!$A$2:$A$101,0))</f>
        <v>125.69</v>
      </c>
      <c r="K252" s="19">
        <f t="shared" si="10"/>
        <v>502.76</v>
      </c>
      <c r="L252" s="19">
        <f t="shared" si="11"/>
        <v>593.15999999999985</v>
      </c>
    </row>
    <row r="253" spans="1:12" ht="15" customHeight="1" x14ac:dyDescent="0.25">
      <c r="A253" s="10">
        <v>252</v>
      </c>
      <c r="B253" s="10">
        <v>85</v>
      </c>
      <c r="C253" s="10">
        <v>54</v>
      </c>
      <c r="D253" s="10">
        <v>10</v>
      </c>
      <c r="E253" s="19">
        <v>398.16</v>
      </c>
      <c r="F253" s="10">
        <v>0.2</v>
      </c>
      <c r="G253" s="19">
        <f t="shared" si="9"/>
        <v>3185.2800000000007</v>
      </c>
      <c r="H253" s="10">
        <f>INDEX(Products!$C$2:$C$101,MATCH(C253,Products!$A$2:$A$101,0))</f>
        <v>6</v>
      </c>
      <c r="I253" s="10" t="str">
        <f>INDEX(Categories!$B$2:$B$11,MATCH(H253,Categories!$A$2:$A$11,0))</f>
        <v>Sporting Goods</v>
      </c>
      <c r="J253" s="19">
        <f>INDEX(Products!$E$2:$E$101,MATCH(C253,Products!$A$2:$A$101,0))</f>
        <v>205.89</v>
      </c>
      <c r="K253" s="19">
        <f t="shared" si="10"/>
        <v>2058.8999999999996</v>
      </c>
      <c r="L253" s="19">
        <f t="shared" si="11"/>
        <v>1126.380000000001</v>
      </c>
    </row>
    <row r="254" spans="1:12" ht="15" customHeight="1" x14ac:dyDescent="0.25">
      <c r="A254" s="10">
        <v>253</v>
      </c>
      <c r="B254" s="10">
        <v>85</v>
      </c>
      <c r="C254" s="10">
        <v>38</v>
      </c>
      <c r="D254" s="10">
        <v>4</v>
      </c>
      <c r="E254" s="19">
        <v>146.91999999999999</v>
      </c>
      <c r="F254" s="10">
        <v>0.05</v>
      </c>
      <c r="G254" s="19">
        <f t="shared" si="9"/>
        <v>558.29599999999994</v>
      </c>
      <c r="H254" s="10">
        <f>INDEX(Products!$C$2:$C$101,MATCH(C254,Products!$A$2:$A$101,0))</f>
        <v>4</v>
      </c>
      <c r="I254" s="10" t="str">
        <f>INDEX(Categories!$B$2:$B$11,MATCH(H254,Categories!$A$2:$A$11,0))</f>
        <v>Apparel</v>
      </c>
      <c r="J254" s="19">
        <f>INDEX(Products!$E$2:$E$101,MATCH(C254,Products!$A$2:$A$101,0))</f>
        <v>65.36</v>
      </c>
      <c r="K254" s="19">
        <f t="shared" si="10"/>
        <v>261.44</v>
      </c>
      <c r="L254" s="19">
        <f t="shared" si="11"/>
        <v>296.85599999999994</v>
      </c>
    </row>
    <row r="255" spans="1:12" ht="15" customHeight="1" x14ac:dyDescent="0.25">
      <c r="A255" s="10">
        <v>254</v>
      </c>
      <c r="B255" s="10">
        <v>85</v>
      </c>
      <c r="C255" s="10">
        <v>20</v>
      </c>
      <c r="D255" s="10">
        <v>9</v>
      </c>
      <c r="E255" s="19">
        <v>316.14999999999998</v>
      </c>
      <c r="F255" s="10">
        <v>0.15</v>
      </c>
      <c r="G255" s="19">
        <f t="shared" si="9"/>
        <v>2418.5474999999997</v>
      </c>
      <c r="H255" s="10">
        <f>INDEX(Products!$C$2:$C$101,MATCH(C255,Products!$A$2:$A$101,0))</f>
        <v>2</v>
      </c>
      <c r="I255" s="10" t="str">
        <f>INDEX(Categories!$B$2:$B$11,MATCH(H255,Categories!$A$2:$A$11,0))</f>
        <v>Office Supplies</v>
      </c>
      <c r="J255" s="19">
        <f>INDEX(Products!$E$2:$E$101,MATCH(C255,Products!$A$2:$A$101,0))</f>
        <v>177.71</v>
      </c>
      <c r="K255" s="19">
        <f t="shared" si="10"/>
        <v>1599.39</v>
      </c>
      <c r="L255" s="19">
        <f t="shared" si="11"/>
        <v>819.15749999999957</v>
      </c>
    </row>
    <row r="256" spans="1:12" ht="15" customHeight="1" x14ac:dyDescent="0.25">
      <c r="A256" s="10">
        <v>255</v>
      </c>
      <c r="B256" s="10">
        <v>86</v>
      </c>
      <c r="C256" s="10">
        <v>18</v>
      </c>
      <c r="D256" s="10">
        <v>9</v>
      </c>
      <c r="E256" s="19">
        <v>185.81</v>
      </c>
      <c r="F256" s="10">
        <v>0.05</v>
      </c>
      <c r="G256" s="19">
        <f t="shared" si="9"/>
        <v>1588.6754999999998</v>
      </c>
      <c r="H256" s="10">
        <f>INDEX(Products!$C$2:$C$101,MATCH(C256,Products!$A$2:$A$101,0))</f>
        <v>2</v>
      </c>
      <c r="I256" s="10" t="str">
        <f>INDEX(Categories!$B$2:$B$11,MATCH(H256,Categories!$A$2:$A$11,0))</f>
        <v>Office Supplies</v>
      </c>
      <c r="J256" s="19">
        <f>INDEX(Products!$E$2:$E$101,MATCH(C256,Products!$A$2:$A$101,0))</f>
        <v>108.81</v>
      </c>
      <c r="K256" s="19">
        <f t="shared" si="10"/>
        <v>979.29</v>
      </c>
      <c r="L256" s="19">
        <f t="shared" si="11"/>
        <v>609.38549999999987</v>
      </c>
    </row>
    <row r="257" spans="1:12" ht="15" customHeight="1" x14ac:dyDescent="0.25">
      <c r="A257" s="10">
        <v>256</v>
      </c>
      <c r="B257" s="10">
        <v>86</v>
      </c>
      <c r="C257" s="10">
        <v>93</v>
      </c>
      <c r="D257" s="10">
        <v>3</v>
      </c>
      <c r="E257" s="19">
        <v>288.39999999999998</v>
      </c>
      <c r="F257" s="10">
        <v>0.1</v>
      </c>
      <c r="G257" s="19">
        <f t="shared" si="9"/>
        <v>778.68</v>
      </c>
      <c r="H257" s="10">
        <f>INDEX(Products!$C$2:$C$101,MATCH(C257,Products!$A$2:$A$101,0))</f>
        <v>10</v>
      </c>
      <c r="I257" s="10" t="str">
        <f>INDEX(Categories!$B$2:$B$11,MATCH(H257,Categories!$A$2:$A$11,0))</f>
        <v>Groceries</v>
      </c>
      <c r="J257" s="19">
        <f>INDEX(Products!$E$2:$E$101,MATCH(C257,Products!$A$2:$A$101,0))</f>
        <v>125.69</v>
      </c>
      <c r="K257" s="19">
        <f t="shared" si="10"/>
        <v>377.07</v>
      </c>
      <c r="L257" s="19">
        <f t="shared" si="11"/>
        <v>401.60999999999996</v>
      </c>
    </row>
    <row r="258" spans="1:12" ht="15" customHeight="1" x14ac:dyDescent="0.25">
      <c r="A258" s="10">
        <v>257</v>
      </c>
      <c r="B258" s="10">
        <v>87</v>
      </c>
      <c r="C258" s="10">
        <v>2</v>
      </c>
      <c r="D258" s="10">
        <v>9</v>
      </c>
      <c r="E258" s="19">
        <v>286.57</v>
      </c>
      <c r="F258" s="10">
        <v>0.05</v>
      </c>
      <c r="G258" s="19">
        <f t="shared" ref="G258:G321" si="12">D258*E258*(1-F258)</f>
        <v>2450.1734999999999</v>
      </c>
      <c r="H258" s="10">
        <f>INDEX(Products!$C$2:$C$101,MATCH(C258,Products!$A$2:$A$101,0))</f>
        <v>1</v>
      </c>
      <c r="I258" s="10" t="str">
        <f>INDEX(Categories!$B$2:$B$11,MATCH(H258,Categories!$A$2:$A$11,0))</f>
        <v>Electronics</v>
      </c>
      <c r="J258" s="19">
        <f>INDEX(Products!$E$2:$E$101,MATCH(C258,Products!$A$2:$A$101,0))</f>
        <v>135.94</v>
      </c>
      <c r="K258" s="19">
        <f t="shared" ref="K258:K321" si="13">D258*J258</f>
        <v>1223.46</v>
      </c>
      <c r="L258" s="19">
        <f t="shared" ref="L258:L321" si="14">G258-K258</f>
        <v>1226.7134999999998</v>
      </c>
    </row>
    <row r="259" spans="1:12" ht="15" customHeight="1" x14ac:dyDescent="0.25">
      <c r="A259" s="10">
        <v>258</v>
      </c>
      <c r="B259" s="10">
        <v>87</v>
      </c>
      <c r="C259" s="10">
        <v>28</v>
      </c>
      <c r="D259" s="10">
        <v>6</v>
      </c>
      <c r="E259" s="19">
        <v>149.97</v>
      </c>
      <c r="F259" s="10">
        <v>0</v>
      </c>
      <c r="G259" s="19">
        <f t="shared" si="12"/>
        <v>899.81999999999994</v>
      </c>
      <c r="H259" s="10">
        <f>INDEX(Products!$C$2:$C$101,MATCH(C259,Products!$A$2:$A$101,0))</f>
        <v>3</v>
      </c>
      <c r="I259" s="10" t="str">
        <f>INDEX(Categories!$B$2:$B$11,MATCH(H259,Categories!$A$2:$A$11,0))</f>
        <v>Furniture</v>
      </c>
      <c r="J259" s="19">
        <f>INDEX(Products!$E$2:$E$101,MATCH(C259,Products!$A$2:$A$101,0))</f>
        <v>113.7</v>
      </c>
      <c r="K259" s="19">
        <f t="shared" si="13"/>
        <v>682.2</v>
      </c>
      <c r="L259" s="19">
        <f t="shared" si="14"/>
        <v>217.61999999999989</v>
      </c>
    </row>
    <row r="260" spans="1:12" ht="15" customHeight="1" x14ac:dyDescent="0.25">
      <c r="A260" s="10">
        <v>259</v>
      </c>
      <c r="B260" s="10">
        <v>88</v>
      </c>
      <c r="C260" s="10">
        <v>2</v>
      </c>
      <c r="D260" s="10">
        <v>5</v>
      </c>
      <c r="E260" s="19">
        <v>286.57</v>
      </c>
      <c r="F260" s="10">
        <v>0.1</v>
      </c>
      <c r="G260" s="19">
        <f t="shared" si="12"/>
        <v>1289.5650000000001</v>
      </c>
      <c r="H260" s="10">
        <f>INDEX(Products!$C$2:$C$101,MATCH(C260,Products!$A$2:$A$101,0))</f>
        <v>1</v>
      </c>
      <c r="I260" s="10" t="str">
        <f>INDEX(Categories!$B$2:$B$11,MATCH(H260,Categories!$A$2:$A$11,0))</f>
        <v>Electronics</v>
      </c>
      <c r="J260" s="19">
        <f>INDEX(Products!$E$2:$E$101,MATCH(C260,Products!$A$2:$A$101,0))</f>
        <v>135.94</v>
      </c>
      <c r="K260" s="19">
        <f t="shared" si="13"/>
        <v>679.7</v>
      </c>
      <c r="L260" s="19">
        <f t="shared" si="14"/>
        <v>609.86500000000001</v>
      </c>
    </row>
    <row r="261" spans="1:12" ht="15" customHeight="1" x14ac:dyDescent="0.25">
      <c r="A261" s="10">
        <v>260</v>
      </c>
      <c r="B261" s="10">
        <v>88</v>
      </c>
      <c r="C261" s="10">
        <v>3</v>
      </c>
      <c r="D261" s="10">
        <v>5</v>
      </c>
      <c r="E261" s="19">
        <v>101.78</v>
      </c>
      <c r="F261" s="10">
        <v>0</v>
      </c>
      <c r="G261" s="19">
        <f t="shared" si="12"/>
        <v>508.9</v>
      </c>
      <c r="H261" s="10">
        <f>INDEX(Products!$C$2:$C$101,MATCH(C261,Products!$A$2:$A$101,0))</f>
        <v>1</v>
      </c>
      <c r="I261" s="10" t="str">
        <f>INDEX(Categories!$B$2:$B$11,MATCH(H261,Categories!$A$2:$A$11,0))</f>
        <v>Electronics</v>
      </c>
      <c r="J261" s="19">
        <f>INDEX(Products!$E$2:$E$101,MATCH(C261,Products!$A$2:$A$101,0))</f>
        <v>57.2</v>
      </c>
      <c r="K261" s="19">
        <f t="shared" si="13"/>
        <v>286</v>
      </c>
      <c r="L261" s="19">
        <f t="shared" si="14"/>
        <v>222.89999999999998</v>
      </c>
    </row>
    <row r="262" spans="1:12" ht="15" customHeight="1" x14ac:dyDescent="0.25">
      <c r="A262" s="10">
        <v>261</v>
      </c>
      <c r="B262" s="10">
        <v>88</v>
      </c>
      <c r="C262" s="10">
        <v>68</v>
      </c>
      <c r="D262" s="10">
        <v>9</v>
      </c>
      <c r="E262" s="19">
        <v>271.66000000000003</v>
      </c>
      <c r="F262" s="10">
        <v>0.2</v>
      </c>
      <c r="G262" s="19">
        <f t="shared" si="12"/>
        <v>1955.9520000000002</v>
      </c>
      <c r="H262" s="10">
        <f>INDEX(Products!$C$2:$C$101,MATCH(C262,Products!$A$2:$A$101,0))</f>
        <v>7</v>
      </c>
      <c r="I262" s="10" t="str">
        <f>INDEX(Categories!$B$2:$B$11,MATCH(H262,Categories!$A$2:$A$11,0))</f>
        <v>Toys &amp; Games</v>
      </c>
      <c r="J262" s="19">
        <f>INDEX(Products!$E$2:$E$101,MATCH(C262,Products!$A$2:$A$101,0))</f>
        <v>187.33</v>
      </c>
      <c r="K262" s="19">
        <f t="shared" si="13"/>
        <v>1685.97</v>
      </c>
      <c r="L262" s="19">
        <f t="shared" si="14"/>
        <v>269.9820000000002</v>
      </c>
    </row>
    <row r="263" spans="1:12" ht="15" customHeight="1" x14ac:dyDescent="0.25">
      <c r="A263" s="10">
        <v>262</v>
      </c>
      <c r="B263" s="10">
        <v>88</v>
      </c>
      <c r="C263" s="10">
        <v>93</v>
      </c>
      <c r="D263" s="10">
        <v>7</v>
      </c>
      <c r="E263" s="19">
        <v>288.39999999999998</v>
      </c>
      <c r="F263" s="10">
        <v>0.2</v>
      </c>
      <c r="G263" s="19">
        <f t="shared" si="12"/>
        <v>1615.04</v>
      </c>
      <c r="H263" s="10">
        <f>INDEX(Products!$C$2:$C$101,MATCH(C263,Products!$A$2:$A$101,0))</f>
        <v>10</v>
      </c>
      <c r="I263" s="10" t="str">
        <f>INDEX(Categories!$B$2:$B$11,MATCH(H263,Categories!$A$2:$A$11,0))</f>
        <v>Groceries</v>
      </c>
      <c r="J263" s="19">
        <f>INDEX(Products!$E$2:$E$101,MATCH(C263,Products!$A$2:$A$101,0))</f>
        <v>125.69</v>
      </c>
      <c r="K263" s="19">
        <f t="shared" si="13"/>
        <v>879.82999999999993</v>
      </c>
      <c r="L263" s="19">
        <f t="shared" si="14"/>
        <v>735.21</v>
      </c>
    </row>
    <row r="264" spans="1:12" ht="15" customHeight="1" x14ac:dyDescent="0.25">
      <c r="A264" s="10">
        <v>263</v>
      </c>
      <c r="B264" s="10">
        <v>89</v>
      </c>
      <c r="C264" s="10">
        <v>68</v>
      </c>
      <c r="D264" s="10">
        <v>2</v>
      </c>
      <c r="E264" s="19">
        <v>271.66000000000003</v>
      </c>
      <c r="F264" s="10">
        <v>0</v>
      </c>
      <c r="G264" s="19">
        <f t="shared" si="12"/>
        <v>543.32000000000005</v>
      </c>
      <c r="H264" s="10">
        <f>INDEX(Products!$C$2:$C$101,MATCH(C264,Products!$A$2:$A$101,0))</f>
        <v>7</v>
      </c>
      <c r="I264" s="10" t="str">
        <f>INDEX(Categories!$B$2:$B$11,MATCH(H264,Categories!$A$2:$A$11,0))</f>
        <v>Toys &amp; Games</v>
      </c>
      <c r="J264" s="19">
        <f>INDEX(Products!$E$2:$E$101,MATCH(C264,Products!$A$2:$A$101,0))</f>
        <v>187.33</v>
      </c>
      <c r="K264" s="19">
        <f t="shared" si="13"/>
        <v>374.66</v>
      </c>
      <c r="L264" s="19">
        <f t="shared" si="14"/>
        <v>168.66000000000003</v>
      </c>
    </row>
    <row r="265" spans="1:12" ht="15" customHeight="1" x14ac:dyDescent="0.25">
      <c r="A265" s="10">
        <v>264</v>
      </c>
      <c r="B265" s="10">
        <v>89</v>
      </c>
      <c r="C265" s="10">
        <v>33</v>
      </c>
      <c r="D265" s="10">
        <v>7</v>
      </c>
      <c r="E265" s="19">
        <v>432.05</v>
      </c>
      <c r="F265" s="10">
        <v>0.05</v>
      </c>
      <c r="G265" s="19">
        <f t="shared" si="12"/>
        <v>2873.1324999999997</v>
      </c>
      <c r="H265" s="10">
        <f>INDEX(Products!$C$2:$C$101,MATCH(C265,Products!$A$2:$A$101,0))</f>
        <v>4</v>
      </c>
      <c r="I265" s="10" t="str">
        <f>INDEX(Categories!$B$2:$B$11,MATCH(H265,Categories!$A$2:$A$11,0))</f>
        <v>Apparel</v>
      </c>
      <c r="J265" s="19">
        <f>INDEX(Products!$E$2:$E$101,MATCH(C265,Products!$A$2:$A$101,0))</f>
        <v>181.97</v>
      </c>
      <c r="K265" s="19">
        <f t="shared" si="13"/>
        <v>1273.79</v>
      </c>
      <c r="L265" s="19">
        <f t="shared" si="14"/>
        <v>1599.3424999999997</v>
      </c>
    </row>
    <row r="266" spans="1:12" ht="15" customHeight="1" x14ac:dyDescent="0.25">
      <c r="A266" s="10">
        <v>265</v>
      </c>
      <c r="B266" s="10">
        <v>89</v>
      </c>
      <c r="C266" s="10">
        <v>46</v>
      </c>
      <c r="D266" s="10">
        <v>10</v>
      </c>
      <c r="E266" s="19">
        <v>125.01</v>
      </c>
      <c r="F266" s="10">
        <v>0</v>
      </c>
      <c r="G266" s="19">
        <f t="shared" si="12"/>
        <v>1250.1000000000001</v>
      </c>
      <c r="H266" s="10">
        <f>INDEX(Products!$C$2:$C$101,MATCH(C266,Products!$A$2:$A$101,0))</f>
        <v>5</v>
      </c>
      <c r="I266" s="10" t="str">
        <f>INDEX(Categories!$B$2:$B$11,MATCH(H266,Categories!$A$2:$A$11,0))</f>
        <v>Home &amp; Kitchen</v>
      </c>
      <c r="J266" s="19">
        <f>INDEX(Products!$E$2:$E$101,MATCH(C266,Products!$A$2:$A$101,0))</f>
        <v>60.17</v>
      </c>
      <c r="K266" s="19">
        <f t="shared" si="13"/>
        <v>601.70000000000005</v>
      </c>
      <c r="L266" s="19">
        <f t="shared" si="14"/>
        <v>648.40000000000009</v>
      </c>
    </row>
    <row r="267" spans="1:12" ht="15" customHeight="1" x14ac:dyDescent="0.25">
      <c r="A267" s="10">
        <v>266</v>
      </c>
      <c r="B267" s="10">
        <v>89</v>
      </c>
      <c r="C267" s="10">
        <v>35</v>
      </c>
      <c r="D267" s="10">
        <v>4</v>
      </c>
      <c r="E267" s="19">
        <v>216.12</v>
      </c>
      <c r="F267" s="10">
        <v>0</v>
      </c>
      <c r="G267" s="19">
        <f t="shared" si="12"/>
        <v>864.48</v>
      </c>
      <c r="H267" s="10">
        <f>INDEX(Products!$C$2:$C$101,MATCH(C267,Products!$A$2:$A$101,0))</f>
        <v>4</v>
      </c>
      <c r="I267" s="10" t="str">
        <f>INDEX(Categories!$B$2:$B$11,MATCH(H267,Categories!$A$2:$A$11,0))</f>
        <v>Apparel</v>
      </c>
      <c r="J267" s="19">
        <f>INDEX(Products!$E$2:$E$101,MATCH(C267,Products!$A$2:$A$101,0))</f>
        <v>134.93</v>
      </c>
      <c r="K267" s="19">
        <f t="shared" si="13"/>
        <v>539.72</v>
      </c>
      <c r="L267" s="19">
        <f t="shared" si="14"/>
        <v>324.76</v>
      </c>
    </row>
    <row r="268" spans="1:12" ht="15" customHeight="1" x14ac:dyDescent="0.25">
      <c r="A268" s="10">
        <v>267</v>
      </c>
      <c r="B268" s="10">
        <v>89</v>
      </c>
      <c r="C268" s="10">
        <v>51</v>
      </c>
      <c r="D268" s="10">
        <v>2</v>
      </c>
      <c r="E268" s="19">
        <v>436.43</v>
      </c>
      <c r="F268" s="10">
        <v>0.15</v>
      </c>
      <c r="G268" s="19">
        <f t="shared" si="12"/>
        <v>741.93100000000004</v>
      </c>
      <c r="H268" s="10">
        <f>INDEX(Products!$C$2:$C$101,MATCH(C268,Products!$A$2:$A$101,0))</f>
        <v>6</v>
      </c>
      <c r="I268" s="10" t="str">
        <f>INDEX(Categories!$B$2:$B$11,MATCH(H268,Categories!$A$2:$A$11,0))</f>
        <v>Sporting Goods</v>
      </c>
      <c r="J268" s="19">
        <f>INDEX(Products!$E$2:$E$101,MATCH(C268,Products!$A$2:$A$101,0))</f>
        <v>235.84</v>
      </c>
      <c r="K268" s="19">
        <f t="shared" si="13"/>
        <v>471.68</v>
      </c>
      <c r="L268" s="19">
        <f t="shared" si="14"/>
        <v>270.25100000000003</v>
      </c>
    </row>
    <row r="269" spans="1:12" ht="15" customHeight="1" x14ac:dyDescent="0.25">
      <c r="A269" s="10">
        <v>268</v>
      </c>
      <c r="B269" s="10">
        <v>90</v>
      </c>
      <c r="C269" s="10">
        <v>8</v>
      </c>
      <c r="D269" s="10">
        <v>3</v>
      </c>
      <c r="E269" s="19">
        <v>418.1</v>
      </c>
      <c r="F269" s="10">
        <v>0</v>
      </c>
      <c r="G269" s="19">
        <f t="shared" si="12"/>
        <v>1254.3000000000002</v>
      </c>
      <c r="H269" s="10">
        <f>INDEX(Products!$C$2:$C$101,MATCH(C269,Products!$A$2:$A$101,0))</f>
        <v>1</v>
      </c>
      <c r="I269" s="10" t="str">
        <f>INDEX(Categories!$B$2:$B$11,MATCH(H269,Categories!$A$2:$A$11,0))</f>
        <v>Electronics</v>
      </c>
      <c r="J269" s="19">
        <f>INDEX(Products!$E$2:$E$101,MATCH(C269,Products!$A$2:$A$101,0))</f>
        <v>188.75</v>
      </c>
      <c r="K269" s="19">
        <f t="shared" si="13"/>
        <v>566.25</v>
      </c>
      <c r="L269" s="19">
        <f t="shared" si="14"/>
        <v>688.05000000000018</v>
      </c>
    </row>
    <row r="270" spans="1:12" ht="15" customHeight="1" x14ac:dyDescent="0.25">
      <c r="A270" s="10">
        <v>269</v>
      </c>
      <c r="B270" s="10">
        <v>90</v>
      </c>
      <c r="C270" s="10">
        <v>82</v>
      </c>
      <c r="D270" s="10">
        <v>8</v>
      </c>
      <c r="E270" s="19">
        <v>390.74</v>
      </c>
      <c r="F270" s="10">
        <v>0.2</v>
      </c>
      <c r="G270" s="19">
        <f t="shared" si="12"/>
        <v>2500.7360000000003</v>
      </c>
      <c r="H270" s="10">
        <f>INDEX(Products!$C$2:$C$101,MATCH(C270,Products!$A$2:$A$101,0))</f>
        <v>9</v>
      </c>
      <c r="I270" s="10" t="str">
        <f>INDEX(Categories!$B$2:$B$11,MATCH(H270,Categories!$A$2:$A$11,0))</f>
        <v>Automotive Parts</v>
      </c>
      <c r="J270" s="19">
        <f>INDEX(Products!$E$2:$E$101,MATCH(C270,Products!$A$2:$A$101,0))</f>
        <v>218.53</v>
      </c>
      <c r="K270" s="19">
        <f t="shared" si="13"/>
        <v>1748.24</v>
      </c>
      <c r="L270" s="19">
        <f t="shared" si="14"/>
        <v>752.49600000000032</v>
      </c>
    </row>
    <row r="271" spans="1:12" ht="15" customHeight="1" x14ac:dyDescent="0.25">
      <c r="A271" s="10">
        <v>270</v>
      </c>
      <c r="B271" s="10">
        <v>90</v>
      </c>
      <c r="C271" s="10">
        <v>2</v>
      </c>
      <c r="D271" s="10">
        <v>7</v>
      </c>
      <c r="E271" s="19">
        <v>286.57</v>
      </c>
      <c r="F271" s="10">
        <v>0.15</v>
      </c>
      <c r="G271" s="19">
        <f t="shared" si="12"/>
        <v>1705.0915</v>
      </c>
      <c r="H271" s="10">
        <f>INDEX(Products!$C$2:$C$101,MATCH(C271,Products!$A$2:$A$101,0))</f>
        <v>1</v>
      </c>
      <c r="I271" s="10" t="str">
        <f>INDEX(Categories!$B$2:$B$11,MATCH(H271,Categories!$A$2:$A$11,0))</f>
        <v>Electronics</v>
      </c>
      <c r="J271" s="19">
        <f>INDEX(Products!$E$2:$E$101,MATCH(C271,Products!$A$2:$A$101,0))</f>
        <v>135.94</v>
      </c>
      <c r="K271" s="19">
        <f t="shared" si="13"/>
        <v>951.57999999999993</v>
      </c>
      <c r="L271" s="19">
        <f t="shared" si="14"/>
        <v>753.51150000000007</v>
      </c>
    </row>
    <row r="272" spans="1:12" ht="15" customHeight="1" x14ac:dyDescent="0.25">
      <c r="A272" s="10">
        <v>271</v>
      </c>
      <c r="B272" s="10">
        <v>90</v>
      </c>
      <c r="C272" s="10">
        <v>90</v>
      </c>
      <c r="D272" s="10">
        <v>6</v>
      </c>
      <c r="E272" s="19">
        <v>50.45</v>
      </c>
      <c r="F272" s="10">
        <v>0.1</v>
      </c>
      <c r="G272" s="19">
        <f t="shared" si="12"/>
        <v>272.43000000000006</v>
      </c>
      <c r="H272" s="10">
        <f>INDEX(Products!$C$2:$C$101,MATCH(C272,Products!$A$2:$A$101,0))</f>
        <v>9</v>
      </c>
      <c r="I272" s="10" t="str">
        <f>INDEX(Categories!$B$2:$B$11,MATCH(H272,Categories!$A$2:$A$11,0))</f>
        <v>Automotive Parts</v>
      </c>
      <c r="J272" s="19">
        <f>INDEX(Products!$E$2:$E$101,MATCH(C272,Products!$A$2:$A$101,0))</f>
        <v>29.34</v>
      </c>
      <c r="K272" s="19">
        <f t="shared" si="13"/>
        <v>176.04</v>
      </c>
      <c r="L272" s="19">
        <f t="shared" si="14"/>
        <v>96.390000000000072</v>
      </c>
    </row>
    <row r="273" spans="1:12" ht="15" customHeight="1" x14ac:dyDescent="0.25">
      <c r="A273" s="10">
        <v>272</v>
      </c>
      <c r="B273" s="10">
        <v>91</v>
      </c>
      <c r="C273" s="10">
        <v>61</v>
      </c>
      <c r="D273" s="10">
        <v>5</v>
      </c>
      <c r="E273" s="19">
        <v>289.8</v>
      </c>
      <c r="F273" s="10">
        <v>0.1</v>
      </c>
      <c r="G273" s="19">
        <f t="shared" si="12"/>
        <v>1304.1000000000001</v>
      </c>
      <c r="H273" s="10">
        <f>INDEX(Products!$C$2:$C$101,MATCH(C273,Products!$A$2:$A$101,0))</f>
        <v>7</v>
      </c>
      <c r="I273" s="10" t="str">
        <f>INDEX(Categories!$B$2:$B$11,MATCH(H273,Categories!$A$2:$A$11,0))</f>
        <v>Toys &amp; Games</v>
      </c>
      <c r="J273" s="19">
        <f>INDEX(Products!$E$2:$E$101,MATCH(C273,Products!$A$2:$A$101,0))</f>
        <v>156.79</v>
      </c>
      <c r="K273" s="19">
        <f t="shared" si="13"/>
        <v>783.94999999999993</v>
      </c>
      <c r="L273" s="19">
        <f t="shared" si="14"/>
        <v>520.1500000000002</v>
      </c>
    </row>
    <row r="274" spans="1:12" ht="15" customHeight="1" x14ac:dyDescent="0.25">
      <c r="A274" s="10">
        <v>273</v>
      </c>
      <c r="B274" s="10">
        <v>91</v>
      </c>
      <c r="C274" s="10">
        <v>35</v>
      </c>
      <c r="D274" s="10">
        <v>10</v>
      </c>
      <c r="E274" s="19">
        <v>216.12</v>
      </c>
      <c r="F274" s="10">
        <v>0.15</v>
      </c>
      <c r="G274" s="19">
        <f t="shared" si="12"/>
        <v>1837.0199999999998</v>
      </c>
      <c r="H274" s="10">
        <f>INDEX(Products!$C$2:$C$101,MATCH(C274,Products!$A$2:$A$101,0))</f>
        <v>4</v>
      </c>
      <c r="I274" s="10" t="str">
        <f>INDEX(Categories!$B$2:$B$11,MATCH(H274,Categories!$A$2:$A$11,0))</f>
        <v>Apparel</v>
      </c>
      <c r="J274" s="19">
        <f>INDEX(Products!$E$2:$E$101,MATCH(C274,Products!$A$2:$A$101,0))</f>
        <v>134.93</v>
      </c>
      <c r="K274" s="19">
        <f t="shared" si="13"/>
        <v>1349.3000000000002</v>
      </c>
      <c r="L274" s="19">
        <f t="shared" si="14"/>
        <v>487.71999999999957</v>
      </c>
    </row>
    <row r="275" spans="1:12" ht="15" customHeight="1" x14ac:dyDescent="0.25">
      <c r="A275" s="10">
        <v>274</v>
      </c>
      <c r="B275" s="10">
        <v>91</v>
      </c>
      <c r="C275" s="10">
        <v>6</v>
      </c>
      <c r="D275" s="10">
        <v>1</v>
      </c>
      <c r="E275" s="19">
        <v>234.43</v>
      </c>
      <c r="F275" s="10">
        <v>0</v>
      </c>
      <c r="G275" s="19">
        <f t="shared" si="12"/>
        <v>234.43</v>
      </c>
      <c r="H275" s="10">
        <f>INDEX(Products!$C$2:$C$101,MATCH(C275,Products!$A$2:$A$101,0))</f>
        <v>1</v>
      </c>
      <c r="I275" s="10" t="str">
        <f>INDEX(Categories!$B$2:$B$11,MATCH(H275,Categories!$A$2:$A$11,0))</f>
        <v>Electronics</v>
      </c>
      <c r="J275" s="19">
        <f>INDEX(Products!$E$2:$E$101,MATCH(C275,Products!$A$2:$A$101,0))</f>
        <v>161.76</v>
      </c>
      <c r="K275" s="19">
        <f t="shared" si="13"/>
        <v>161.76</v>
      </c>
      <c r="L275" s="19">
        <f t="shared" si="14"/>
        <v>72.670000000000016</v>
      </c>
    </row>
    <row r="276" spans="1:12" ht="15" customHeight="1" x14ac:dyDescent="0.25">
      <c r="A276" s="10">
        <v>275</v>
      </c>
      <c r="B276" s="10">
        <v>91</v>
      </c>
      <c r="C276" s="10">
        <v>10</v>
      </c>
      <c r="D276" s="10">
        <v>6</v>
      </c>
      <c r="E276" s="19">
        <v>395.24</v>
      </c>
      <c r="F276" s="10">
        <v>0</v>
      </c>
      <c r="G276" s="19">
        <f t="shared" si="12"/>
        <v>2371.44</v>
      </c>
      <c r="H276" s="10">
        <f>INDEX(Products!$C$2:$C$101,MATCH(C276,Products!$A$2:$A$101,0))</f>
        <v>1</v>
      </c>
      <c r="I276" s="10" t="str">
        <f>INDEX(Categories!$B$2:$B$11,MATCH(H276,Categories!$A$2:$A$11,0))</f>
        <v>Electronics</v>
      </c>
      <c r="J276" s="19">
        <f>INDEX(Products!$E$2:$E$101,MATCH(C276,Products!$A$2:$A$101,0))</f>
        <v>195.96</v>
      </c>
      <c r="K276" s="19">
        <f t="shared" si="13"/>
        <v>1175.76</v>
      </c>
      <c r="L276" s="19">
        <f t="shared" si="14"/>
        <v>1195.68</v>
      </c>
    </row>
    <row r="277" spans="1:12" ht="15" customHeight="1" x14ac:dyDescent="0.25">
      <c r="A277" s="10">
        <v>276</v>
      </c>
      <c r="B277" s="10">
        <v>91</v>
      </c>
      <c r="C277" s="10">
        <v>88</v>
      </c>
      <c r="D277" s="10">
        <v>4</v>
      </c>
      <c r="E277" s="19">
        <v>188.36</v>
      </c>
      <c r="F277" s="10">
        <v>0.1</v>
      </c>
      <c r="G277" s="19">
        <f t="shared" si="12"/>
        <v>678.09600000000012</v>
      </c>
      <c r="H277" s="10">
        <f>INDEX(Products!$C$2:$C$101,MATCH(C277,Products!$A$2:$A$101,0))</f>
        <v>9</v>
      </c>
      <c r="I277" s="10" t="str">
        <f>INDEX(Categories!$B$2:$B$11,MATCH(H277,Categories!$A$2:$A$11,0))</f>
        <v>Automotive Parts</v>
      </c>
      <c r="J277" s="19">
        <f>INDEX(Products!$E$2:$E$101,MATCH(C277,Products!$A$2:$A$101,0))</f>
        <v>112.11</v>
      </c>
      <c r="K277" s="19">
        <f t="shared" si="13"/>
        <v>448.44</v>
      </c>
      <c r="L277" s="19">
        <f t="shared" si="14"/>
        <v>229.65600000000012</v>
      </c>
    </row>
    <row r="278" spans="1:12" ht="15" customHeight="1" x14ac:dyDescent="0.25">
      <c r="A278" s="10">
        <v>277</v>
      </c>
      <c r="B278" s="10">
        <v>92</v>
      </c>
      <c r="C278" s="10">
        <v>50</v>
      </c>
      <c r="D278" s="10">
        <v>3</v>
      </c>
      <c r="E278" s="19">
        <v>411.05</v>
      </c>
      <c r="F278" s="10">
        <v>0.2</v>
      </c>
      <c r="G278" s="19">
        <f t="shared" si="12"/>
        <v>986.5200000000001</v>
      </c>
      <c r="H278" s="10">
        <f>INDEX(Products!$C$2:$C$101,MATCH(C278,Products!$A$2:$A$101,0))</f>
        <v>5</v>
      </c>
      <c r="I278" s="10" t="str">
        <f>INDEX(Categories!$B$2:$B$11,MATCH(H278,Categories!$A$2:$A$11,0))</f>
        <v>Home &amp; Kitchen</v>
      </c>
      <c r="J278" s="19">
        <f>INDEX(Products!$E$2:$E$101,MATCH(C278,Products!$A$2:$A$101,0))</f>
        <v>230.53</v>
      </c>
      <c r="K278" s="19">
        <f t="shared" si="13"/>
        <v>691.59</v>
      </c>
      <c r="L278" s="19">
        <f t="shared" si="14"/>
        <v>294.93000000000006</v>
      </c>
    </row>
    <row r="279" spans="1:12" ht="15" customHeight="1" x14ac:dyDescent="0.25">
      <c r="A279" s="10">
        <v>278</v>
      </c>
      <c r="B279" s="10">
        <v>92</v>
      </c>
      <c r="C279" s="10">
        <v>87</v>
      </c>
      <c r="D279" s="10">
        <v>2</v>
      </c>
      <c r="E279" s="19">
        <v>407.7</v>
      </c>
      <c r="F279" s="10">
        <v>0.1</v>
      </c>
      <c r="G279" s="19">
        <f t="shared" si="12"/>
        <v>733.86</v>
      </c>
      <c r="H279" s="10">
        <f>INDEX(Products!$C$2:$C$101,MATCH(C279,Products!$A$2:$A$101,0))</f>
        <v>9</v>
      </c>
      <c r="I279" s="10" t="str">
        <f>INDEX(Categories!$B$2:$B$11,MATCH(H279,Categories!$A$2:$A$11,0))</f>
        <v>Automotive Parts</v>
      </c>
      <c r="J279" s="19">
        <f>INDEX(Products!$E$2:$E$101,MATCH(C279,Products!$A$2:$A$101,0))</f>
        <v>225.03</v>
      </c>
      <c r="K279" s="19">
        <f t="shared" si="13"/>
        <v>450.06</v>
      </c>
      <c r="L279" s="19">
        <f t="shared" si="14"/>
        <v>283.8</v>
      </c>
    </row>
    <row r="280" spans="1:12" ht="15" customHeight="1" x14ac:dyDescent="0.25">
      <c r="A280" s="10">
        <v>279</v>
      </c>
      <c r="B280" s="10">
        <v>92</v>
      </c>
      <c r="C280" s="10">
        <v>70</v>
      </c>
      <c r="D280" s="10">
        <v>6</v>
      </c>
      <c r="E280" s="19">
        <v>149.31</v>
      </c>
      <c r="F280" s="10">
        <v>0</v>
      </c>
      <c r="G280" s="19">
        <f t="shared" si="12"/>
        <v>895.86</v>
      </c>
      <c r="H280" s="10">
        <f>INDEX(Products!$C$2:$C$101,MATCH(C280,Products!$A$2:$A$101,0))</f>
        <v>7</v>
      </c>
      <c r="I280" s="10" t="str">
        <f>INDEX(Categories!$B$2:$B$11,MATCH(H280,Categories!$A$2:$A$11,0))</f>
        <v>Toys &amp; Games</v>
      </c>
      <c r="J280" s="19">
        <f>INDEX(Products!$E$2:$E$101,MATCH(C280,Products!$A$2:$A$101,0))</f>
        <v>76.739999999999995</v>
      </c>
      <c r="K280" s="19">
        <f t="shared" si="13"/>
        <v>460.43999999999994</v>
      </c>
      <c r="L280" s="19">
        <f t="shared" si="14"/>
        <v>435.42000000000007</v>
      </c>
    </row>
    <row r="281" spans="1:12" ht="15" customHeight="1" x14ac:dyDescent="0.25">
      <c r="A281" s="10">
        <v>280</v>
      </c>
      <c r="B281" s="10">
        <v>92</v>
      </c>
      <c r="C281" s="10">
        <v>43</v>
      </c>
      <c r="D281" s="10">
        <v>2</v>
      </c>
      <c r="E281" s="19">
        <v>42.13</v>
      </c>
      <c r="F281" s="10">
        <v>0.05</v>
      </c>
      <c r="G281" s="19">
        <f t="shared" si="12"/>
        <v>80.046999999999997</v>
      </c>
      <c r="H281" s="10">
        <f>INDEX(Products!$C$2:$C$101,MATCH(C281,Products!$A$2:$A$101,0))</f>
        <v>5</v>
      </c>
      <c r="I281" s="10" t="str">
        <f>INDEX(Categories!$B$2:$B$11,MATCH(H281,Categories!$A$2:$A$11,0))</f>
        <v>Home &amp; Kitchen</v>
      </c>
      <c r="J281" s="19">
        <f>INDEX(Products!$E$2:$E$101,MATCH(C281,Products!$A$2:$A$101,0))</f>
        <v>17.88</v>
      </c>
      <c r="K281" s="19">
        <f t="shared" si="13"/>
        <v>35.76</v>
      </c>
      <c r="L281" s="19">
        <f t="shared" si="14"/>
        <v>44.286999999999999</v>
      </c>
    </row>
    <row r="282" spans="1:12" ht="15" customHeight="1" x14ac:dyDescent="0.25">
      <c r="A282" s="10">
        <v>281</v>
      </c>
      <c r="B282" s="10">
        <v>92</v>
      </c>
      <c r="C282" s="10">
        <v>97</v>
      </c>
      <c r="D282" s="10">
        <v>4</v>
      </c>
      <c r="E282" s="19">
        <v>81.58</v>
      </c>
      <c r="F282" s="10">
        <v>0.2</v>
      </c>
      <c r="G282" s="19">
        <f t="shared" si="12"/>
        <v>261.05599999999998</v>
      </c>
      <c r="H282" s="10">
        <f>INDEX(Products!$C$2:$C$101,MATCH(C282,Products!$A$2:$A$101,0))</f>
        <v>10</v>
      </c>
      <c r="I282" s="10" t="str">
        <f>INDEX(Categories!$B$2:$B$11,MATCH(H282,Categories!$A$2:$A$11,0))</f>
        <v>Groceries</v>
      </c>
      <c r="J282" s="19">
        <f>INDEX(Products!$E$2:$E$101,MATCH(C282,Products!$A$2:$A$101,0))</f>
        <v>35.46</v>
      </c>
      <c r="K282" s="19">
        <f t="shared" si="13"/>
        <v>141.84</v>
      </c>
      <c r="L282" s="19">
        <f t="shared" si="14"/>
        <v>119.21599999999998</v>
      </c>
    </row>
    <row r="283" spans="1:12" ht="15" customHeight="1" x14ac:dyDescent="0.25">
      <c r="A283" s="10">
        <v>282</v>
      </c>
      <c r="B283" s="10">
        <v>93</v>
      </c>
      <c r="C283" s="10">
        <v>30</v>
      </c>
      <c r="D283" s="10">
        <v>7</v>
      </c>
      <c r="E283" s="19">
        <v>474.78</v>
      </c>
      <c r="F283" s="10">
        <v>0</v>
      </c>
      <c r="G283" s="19">
        <f t="shared" si="12"/>
        <v>3323.46</v>
      </c>
      <c r="H283" s="10">
        <f>INDEX(Products!$C$2:$C$101,MATCH(C283,Products!$A$2:$A$101,0))</f>
        <v>3</v>
      </c>
      <c r="I283" s="10" t="str">
        <f>INDEX(Categories!$B$2:$B$11,MATCH(H283,Categories!$A$2:$A$11,0))</f>
        <v>Furniture</v>
      </c>
      <c r="J283" s="19">
        <f>INDEX(Products!$E$2:$E$101,MATCH(C283,Products!$A$2:$A$101,0))</f>
        <v>249.17</v>
      </c>
      <c r="K283" s="19">
        <f t="shared" si="13"/>
        <v>1744.1899999999998</v>
      </c>
      <c r="L283" s="19">
        <f t="shared" si="14"/>
        <v>1579.2700000000002</v>
      </c>
    </row>
    <row r="284" spans="1:12" ht="15" customHeight="1" x14ac:dyDescent="0.25">
      <c r="A284" s="10">
        <v>283</v>
      </c>
      <c r="B284" s="10">
        <v>93</v>
      </c>
      <c r="C284" s="10">
        <v>46</v>
      </c>
      <c r="D284" s="10">
        <v>10</v>
      </c>
      <c r="E284" s="19">
        <v>125.01</v>
      </c>
      <c r="F284" s="10">
        <v>0.15</v>
      </c>
      <c r="G284" s="19">
        <f t="shared" si="12"/>
        <v>1062.585</v>
      </c>
      <c r="H284" s="10">
        <f>INDEX(Products!$C$2:$C$101,MATCH(C284,Products!$A$2:$A$101,0))</f>
        <v>5</v>
      </c>
      <c r="I284" s="10" t="str">
        <f>INDEX(Categories!$B$2:$B$11,MATCH(H284,Categories!$A$2:$A$11,0))</f>
        <v>Home &amp; Kitchen</v>
      </c>
      <c r="J284" s="19">
        <f>INDEX(Products!$E$2:$E$101,MATCH(C284,Products!$A$2:$A$101,0))</f>
        <v>60.17</v>
      </c>
      <c r="K284" s="19">
        <f t="shared" si="13"/>
        <v>601.70000000000005</v>
      </c>
      <c r="L284" s="19">
        <f t="shared" si="14"/>
        <v>460.88499999999999</v>
      </c>
    </row>
    <row r="285" spans="1:12" ht="15" customHeight="1" x14ac:dyDescent="0.25">
      <c r="A285" s="10">
        <v>284</v>
      </c>
      <c r="B285" s="10">
        <v>93</v>
      </c>
      <c r="C285" s="10">
        <v>71</v>
      </c>
      <c r="D285" s="10">
        <v>7</v>
      </c>
      <c r="E285" s="19">
        <v>228.48</v>
      </c>
      <c r="F285" s="10">
        <v>0</v>
      </c>
      <c r="G285" s="19">
        <f t="shared" si="12"/>
        <v>1599.36</v>
      </c>
      <c r="H285" s="10">
        <f>INDEX(Products!$C$2:$C$101,MATCH(C285,Products!$A$2:$A$101,0))</f>
        <v>8</v>
      </c>
      <c r="I285" s="10" t="str">
        <f>INDEX(Categories!$B$2:$B$11,MATCH(H285,Categories!$A$2:$A$11,0))</f>
        <v>Health &amp; Beauty</v>
      </c>
      <c r="J285" s="19">
        <f>INDEX(Products!$E$2:$E$101,MATCH(C285,Products!$A$2:$A$101,0))</f>
        <v>136.03</v>
      </c>
      <c r="K285" s="19">
        <f t="shared" si="13"/>
        <v>952.21</v>
      </c>
      <c r="L285" s="19">
        <f t="shared" si="14"/>
        <v>647.14999999999986</v>
      </c>
    </row>
    <row r="286" spans="1:12" ht="15" customHeight="1" x14ac:dyDescent="0.25">
      <c r="A286" s="10">
        <v>285</v>
      </c>
      <c r="B286" s="10">
        <v>93</v>
      </c>
      <c r="C286" s="10">
        <v>49</v>
      </c>
      <c r="D286" s="10">
        <v>10</v>
      </c>
      <c r="E286" s="19">
        <v>30.6</v>
      </c>
      <c r="F286" s="10">
        <v>0</v>
      </c>
      <c r="G286" s="19">
        <f t="shared" si="12"/>
        <v>306</v>
      </c>
      <c r="H286" s="10">
        <f>INDEX(Products!$C$2:$C$101,MATCH(C286,Products!$A$2:$A$101,0))</f>
        <v>5</v>
      </c>
      <c r="I286" s="10" t="str">
        <f>INDEX(Categories!$B$2:$B$11,MATCH(H286,Categories!$A$2:$A$11,0))</f>
        <v>Home &amp; Kitchen</v>
      </c>
      <c r="J286" s="19">
        <f>INDEX(Products!$E$2:$E$101,MATCH(C286,Products!$A$2:$A$101,0))</f>
        <v>20.64</v>
      </c>
      <c r="K286" s="19">
        <f t="shared" si="13"/>
        <v>206.4</v>
      </c>
      <c r="L286" s="19">
        <f t="shared" si="14"/>
        <v>99.6</v>
      </c>
    </row>
    <row r="287" spans="1:12" ht="15" customHeight="1" x14ac:dyDescent="0.25">
      <c r="A287" s="10">
        <v>286</v>
      </c>
      <c r="B287" s="10">
        <v>94</v>
      </c>
      <c r="C287" s="10">
        <v>41</v>
      </c>
      <c r="D287" s="10">
        <v>1</v>
      </c>
      <c r="E287" s="19">
        <v>331.46</v>
      </c>
      <c r="F287" s="10">
        <v>0</v>
      </c>
      <c r="G287" s="19">
        <f t="shared" si="12"/>
        <v>331.46</v>
      </c>
      <c r="H287" s="10">
        <f>INDEX(Products!$C$2:$C$101,MATCH(C287,Products!$A$2:$A$101,0))</f>
        <v>5</v>
      </c>
      <c r="I287" s="10" t="str">
        <f>INDEX(Categories!$B$2:$B$11,MATCH(H287,Categories!$A$2:$A$11,0))</f>
        <v>Home &amp; Kitchen</v>
      </c>
      <c r="J287" s="19">
        <f>INDEX(Products!$E$2:$E$101,MATCH(C287,Products!$A$2:$A$101,0))</f>
        <v>152.76</v>
      </c>
      <c r="K287" s="19">
        <f t="shared" si="13"/>
        <v>152.76</v>
      </c>
      <c r="L287" s="19">
        <f t="shared" si="14"/>
        <v>178.7</v>
      </c>
    </row>
    <row r="288" spans="1:12" ht="15" customHeight="1" x14ac:dyDescent="0.25">
      <c r="A288" s="10">
        <v>287</v>
      </c>
      <c r="B288" s="10">
        <v>94</v>
      </c>
      <c r="C288" s="10">
        <v>47</v>
      </c>
      <c r="D288" s="10">
        <v>8</v>
      </c>
      <c r="E288" s="19">
        <v>96.51</v>
      </c>
      <c r="F288" s="10">
        <v>0</v>
      </c>
      <c r="G288" s="19">
        <f t="shared" si="12"/>
        <v>772.08</v>
      </c>
      <c r="H288" s="10">
        <f>INDEX(Products!$C$2:$C$101,MATCH(C288,Products!$A$2:$A$101,0))</f>
        <v>5</v>
      </c>
      <c r="I288" s="10" t="str">
        <f>INDEX(Categories!$B$2:$B$11,MATCH(H288,Categories!$A$2:$A$11,0))</f>
        <v>Home &amp; Kitchen</v>
      </c>
      <c r="J288" s="19">
        <f>INDEX(Products!$E$2:$E$101,MATCH(C288,Products!$A$2:$A$101,0))</f>
        <v>60.66</v>
      </c>
      <c r="K288" s="19">
        <f t="shared" si="13"/>
        <v>485.28</v>
      </c>
      <c r="L288" s="19">
        <f t="shared" si="14"/>
        <v>286.80000000000007</v>
      </c>
    </row>
    <row r="289" spans="1:12" ht="15" customHeight="1" x14ac:dyDescent="0.25">
      <c r="A289" s="10">
        <v>288</v>
      </c>
      <c r="B289" s="10">
        <v>94</v>
      </c>
      <c r="C289" s="10">
        <v>14</v>
      </c>
      <c r="D289" s="10">
        <v>5</v>
      </c>
      <c r="E289" s="19">
        <v>342.37</v>
      </c>
      <c r="F289" s="10">
        <v>0</v>
      </c>
      <c r="G289" s="19">
        <f t="shared" si="12"/>
        <v>1711.85</v>
      </c>
      <c r="H289" s="10">
        <f>INDEX(Products!$C$2:$C$101,MATCH(C289,Products!$A$2:$A$101,0))</f>
        <v>2</v>
      </c>
      <c r="I289" s="10" t="str">
        <f>INDEX(Categories!$B$2:$B$11,MATCH(H289,Categories!$A$2:$A$11,0))</f>
        <v>Office Supplies</v>
      </c>
      <c r="J289" s="19">
        <f>INDEX(Products!$E$2:$E$101,MATCH(C289,Products!$A$2:$A$101,0))</f>
        <v>241.29</v>
      </c>
      <c r="K289" s="19">
        <f t="shared" si="13"/>
        <v>1206.45</v>
      </c>
      <c r="L289" s="19">
        <f t="shared" si="14"/>
        <v>505.39999999999986</v>
      </c>
    </row>
    <row r="290" spans="1:12" ht="15" customHeight="1" x14ac:dyDescent="0.25">
      <c r="A290" s="10">
        <v>289</v>
      </c>
      <c r="B290" s="10">
        <v>94</v>
      </c>
      <c r="C290" s="10">
        <v>12</v>
      </c>
      <c r="D290" s="10">
        <v>3</v>
      </c>
      <c r="E290" s="19">
        <v>219.11</v>
      </c>
      <c r="F290" s="10">
        <v>0</v>
      </c>
      <c r="G290" s="19">
        <f t="shared" si="12"/>
        <v>657.33</v>
      </c>
      <c r="H290" s="10">
        <f>INDEX(Products!$C$2:$C$101,MATCH(C290,Products!$A$2:$A$101,0))</f>
        <v>2</v>
      </c>
      <c r="I290" s="10" t="str">
        <f>INDEX(Categories!$B$2:$B$11,MATCH(H290,Categories!$A$2:$A$11,0))</f>
        <v>Office Supplies</v>
      </c>
      <c r="J290" s="19">
        <f>INDEX(Products!$E$2:$E$101,MATCH(C290,Products!$A$2:$A$101,0))</f>
        <v>142.30000000000001</v>
      </c>
      <c r="K290" s="19">
        <f t="shared" si="13"/>
        <v>426.90000000000003</v>
      </c>
      <c r="L290" s="19">
        <f t="shared" si="14"/>
        <v>230.43</v>
      </c>
    </row>
    <row r="291" spans="1:12" ht="15" customHeight="1" x14ac:dyDescent="0.25">
      <c r="A291" s="10">
        <v>290</v>
      </c>
      <c r="B291" s="10">
        <v>95</v>
      </c>
      <c r="C291" s="10">
        <v>12</v>
      </c>
      <c r="D291" s="10">
        <v>6</v>
      </c>
      <c r="E291" s="19">
        <v>219.11</v>
      </c>
      <c r="F291" s="10">
        <v>0.1</v>
      </c>
      <c r="G291" s="19">
        <f t="shared" si="12"/>
        <v>1183.1940000000002</v>
      </c>
      <c r="H291" s="10">
        <f>INDEX(Products!$C$2:$C$101,MATCH(C291,Products!$A$2:$A$101,0))</f>
        <v>2</v>
      </c>
      <c r="I291" s="10" t="str">
        <f>INDEX(Categories!$B$2:$B$11,MATCH(H291,Categories!$A$2:$A$11,0))</f>
        <v>Office Supplies</v>
      </c>
      <c r="J291" s="19">
        <f>INDEX(Products!$E$2:$E$101,MATCH(C291,Products!$A$2:$A$101,0))</f>
        <v>142.30000000000001</v>
      </c>
      <c r="K291" s="19">
        <f t="shared" si="13"/>
        <v>853.80000000000007</v>
      </c>
      <c r="L291" s="19">
        <f t="shared" si="14"/>
        <v>329.39400000000012</v>
      </c>
    </row>
    <row r="292" spans="1:12" ht="15" customHeight="1" x14ac:dyDescent="0.25">
      <c r="A292" s="10">
        <v>291</v>
      </c>
      <c r="B292" s="10">
        <v>96</v>
      </c>
      <c r="C292" s="10">
        <v>100</v>
      </c>
      <c r="D292" s="10">
        <v>4</v>
      </c>
      <c r="E292" s="19">
        <v>313.44</v>
      </c>
      <c r="F292" s="10">
        <v>0.1</v>
      </c>
      <c r="G292" s="19">
        <f t="shared" si="12"/>
        <v>1128.384</v>
      </c>
      <c r="H292" s="10">
        <f>INDEX(Products!$C$2:$C$101,MATCH(C292,Products!$A$2:$A$101,0))</f>
        <v>10</v>
      </c>
      <c r="I292" s="10" t="str">
        <f>INDEX(Categories!$B$2:$B$11,MATCH(H292,Categories!$A$2:$A$11,0))</f>
        <v>Groceries</v>
      </c>
      <c r="J292" s="19">
        <f>INDEX(Products!$E$2:$E$101,MATCH(C292,Products!$A$2:$A$101,0))</f>
        <v>187.4</v>
      </c>
      <c r="K292" s="19">
        <f t="shared" si="13"/>
        <v>749.6</v>
      </c>
      <c r="L292" s="19">
        <f t="shared" si="14"/>
        <v>378.78399999999999</v>
      </c>
    </row>
    <row r="293" spans="1:12" ht="15" customHeight="1" x14ac:dyDescent="0.25">
      <c r="A293" s="10">
        <v>292</v>
      </c>
      <c r="B293" s="10">
        <v>96</v>
      </c>
      <c r="C293" s="10">
        <v>11</v>
      </c>
      <c r="D293" s="10">
        <v>9</v>
      </c>
      <c r="E293" s="19">
        <v>417.1</v>
      </c>
      <c r="F293" s="10">
        <v>0</v>
      </c>
      <c r="G293" s="19">
        <f t="shared" si="12"/>
        <v>3753.9</v>
      </c>
      <c r="H293" s="10">
        <f>INDEX(Products!$C$2:$C$101,MATCH(C293,Products!$A$2:$A$101,0))</f>
        <v>2</v>
      </c>
      <c r="I293" s="10" t="str">
        <f>INDEX(Categories!$B$2:$B$11,MATCH(H293,Categories!$A$2:$A$11,0))</f>
        <v>Office Supplies</v>
      </c>
      <c r="J293" s="19">
        <f>INDEX(Products!$E$2:$E$101,MATCH(C293,Products!$A$2:$A$101,0))</f>
        <v>210.29</v>
      </c>
      <c r="K293" s="19">
        <f t="shared" si="13"/>
        <v>1892.61</v>
      </c>
      <c r="L293" s="19">
        <f t="shared" si="14"/>
        <v>1861.2900000000002</v>
      </c>
    </row>
    <row r="294" spans="1:12" ht="15" customHeight="1" x14ac:dyDescent="0.25">
      <c r="A294" s="10">
        <v>293</v>
      </c>
      <c r="B294" s="10">
        <v>96</v>
      </c>
      <c r="C294" s="10">
        <v>93</v>
      </c>
      <c r="D294" s="10">
        <v>7</v>
      </c>
      <c r="E294" s="19">
        <v>288.39999999999998</v>
      </c>
      <c r="F294" s="10">
        <v>0</v>
      </c>
      <c r="G294" s="19">
        <f t="shared" si="12"/>
        <v>2018.7999999999997</v>
      </c>
      <c r="H294" s="10">
        <f>INDEX(Products!$C$2:$C$101,MATCH(C294,Products!$A$2:$A$101,0))</f>
        <v>10</v>
      </c>
      <c r="I294" s="10" t="str">
        <f>INDEX(Categories!$B$2:$B$11,MATCH(H294,Categories!$A$2:$A$11,0))</f>
        <v>Groceries</v>
      </c>
      <c r="J294" s="19">
        <f>INDEX(Products!$E$2:$E$101,MATCH(C294,Products!$A$2:$A$101,0))</f>
        <v>125.69</v>
      </c>
      <c r="K294" s="19">
        <f t="shared" si="13"/>
        <v>879.82999999999993</v>
      </c>
      <c r="L294" s="19">
        <f t="shared" si="14"/>
        <v>1138.9699999999998</v>
      </c>
    </row>
    <row r="295" spans="1:12" ht="15" customHeight="1" x14ac:dyDescent="0.25">
      <c r="A295" s="10">
        <v>294</v>
      </c>
      <c r="B295" s="10">
        <v>96</v>
      </c>
      <c r="C295" s="10">
        <v>72</v>
      </c>
      <c r="D295" s="10">
        <v>3</v>
      </c>
      <c r="E295" s="19">
        <v>526.70000000000005</v>
      </c>
      <c r="F295" s="10">
        <v>0</v>
      </c>
      <c r="G295" s="19">
        <f t="shared" si="12"/>
        <v>1580.1000000000001</v>
      </c>
      <c r="H295" s="10">
        <f>INDEX(Products!$C$2:$C$101,MATCH(C295,Products!$A$2:$A$101,0))</f>
        <v>8</v>
      </c>
      <c r="I295" s="10" t="str">
        <f>INDEX(Categories!$B$2:$B$11,MATCH(H295,Categories!$A$2:$A$11,0))</f>
        <v>Health &amp; Beauty</v>
      </c>
      <c r="J295" s="19">
        <f>INDEX(Products!$E$2:$E$101,MATCH(C295,Products!$A$2:$A$101,0))</f>
        <v>233.41</v>
      </c>
      <c r="K295" s="19">
        <f t="shared" si="13"/>
        <v>700.23</v>
      </c>
      <c r="L295" s="19">
        <f t="shared" si="14"/>
        <v>879.87000000000012</v>
      </c>
    </row>
    <row r="296" spans="1:12" ht="15" customHeight="1" x14ac:dyDescent="0.25">
      <c r="A296" s="10">
        <v>295</v>
      </c>
      <c r="B296" s="10">
        <v>97</v>
      </c>
      <c r="C296" s="10">
        <v>39</v>
      </c>
      <c r="D296" s="10">
        <v>5</v>
      </c>
      <c r="E296" s="19">
        <v>42.44</v>
      </c>
      <c r="F296" s="10">
        <v>0</v>
      </c>
      <c r="G296" s="19">
        <f t="shared" si="12"/>
        <v>212.2</v>
      </c>
      <c r="H296" s="10">
        <f>INDEX(Products!$C$2:$C$101,MATCH(C296,Products!$A$2:$A$101,0))</f>
        <v>4</v>
      </c>
      <c r="I296" s="10" t="str">
        <f>INDEX(Categories!$B$2:$B$11,MATCH(H296,Categories!$A$2:$A$11,0))</f>
        <v>Apparel</v>
      </c>
      <c r="J296" s="19">
        <f>INDEX(Products!$E$2:$E$101,MATCH(C296,Products!$A$2:$A$101,0))</f>
        <v>21.3</v>
      </c>
      <c r="K296" s="19">
        <f t="shared" si="13"/>
        <v>106.5</v>
      </c>
      <c r="L296" s="19">
        <f t="shared" si="14"/>
        <v>105.69999999999999</v>
      </c>
    </row>
    <row r="297" spans="1:12" ht="15" customHeight="1" x14ac:dyDescent="0.25">
      <c r="A297" s="10">
        <v>296</v>
      </c>
      <c r="B297" s="10">
        <v>97</v>
      </c>
      <c r="C297" s="10">
        <v>62</v>
      </c>
      <c r="D297" s="10">
        <v>8</v>
      </c>
      <c r="E297" s="19">
        <v>321.75</v>
      </c>
      <c r="F297" s="10">
        <v>0.1</v>
      </c>
      <c r="G297" s="19">
        <f t="shared" si="12"/>
        <v>2316.6</v>
      </c>
      <c r="H297" s="10">
        <f>INDEX(Products!$C$2:$C$101,MATCH(C297,Products!$A$2:$A$101,0))</f>
        <v>7</v>
      </c>
      <c r="I297" s="10" t="str">
        <f>INDEX(Categories!$B$2:$B$11,MATCH(H297,Categories!$A$2:$A$11,0))</f>
        <v>Toys &amp; Games</v>
      </c>
      <c r="J297" s="19">
        <f>INDEX(Products!$E$2:$E$101,MATCH(C297,Products!$A$2:$A$101,0))</f>
        <v>138.66</v>
      </c>
      <c r="K297" s="19">
        <f t="shared" si="13"/>
        <v>1109.28</v>
      </c>
      <c r="L297" s="19">
        <f t="shared" si="14"/>
        <v>1207.32</v>
      </c>
    </row>
    <row r="298" spans="1:12" ht="15" customHeight="1" x14ac:dyDescent="0.25">
      <c r="A298" s="10">
        <v>297</v>
      </c>
      <c r="B298" s="10">
        <v>97</v>
      </c>
      <c r="C298" s="10">
        <v>10</v>
      </c>
      <c r="D298" s="10">
        <v>10</v>
      </c>
      <c r="E298" s="19">
        <v>395.24</v>
      </c>
      <c r="F298" s="10">
        <v>0</v>
      </c>
      <c r="G298" s="19">
        <f t="shared" si="12"/>
        <v>3952.4</v>
      </c>
      <c r="H298" s="10">
        <f>INDEX(Products!$C$2:$C$101,MATCH(C298,Products!$A$2:$A$101,0))</f>
        <v>1</v>
      </c>
      <c r="I298" s="10" t="str">
        <f>INDEX(Categories!$B$2:$B$11,MATCH(H298,Categories!$A$2:$A$11,0))</f>
        <v>Electronics</v>
      </c>
      <c r="J298" s="19">
        <f>INDEX(Products!$E$2:$E$101,MATCH(C298,Products!$A$2:$A$101,0))</f>
        <v>195.96</v>
      </c>
      <c r="K298" s="19">
        <f t="shared" si="13"/>
        <v>1959.6000000000001</v>
      </c>
      <c r="L298" s="19">
        <f t="shared" si="14"/>
        <v>1992.8</v>
      </c>
    </row>
    <row r="299" spans="1:12" ht="15" customHeight="1" x14ac:dyDescent="0.25">
      <c r="A299" s="10">
        <v>298</v>
      </c>
      <c r="B299" s="10">
        <v>97</v>
      </c>
      <c r="C299" s="10">
        <v>47</v>
      </c>
      <c r="D299" s="10">
        <v>8</v>
      </c>
      <c r="E299" s="19">
        <v>96.51</v>
      </c>
      <c r="F299" s="10">
        <v>0</v>
      </c>
      <c r="G299" s="19">
        <f t="shared" si="12"/>
        <v>772.08</v>
      </c>
      <c r="H299" s="10">
        <f>INDEX(Products!$C$2:$C$101,MATCH(C299,Products!$A$2:$A$101,0))</f>
        <v>5</v>
      </c>
      <c r="I299" s="10" t="str">
        <f>INDEX(Categories!$B$2:$B$11,MATCH(H299,Categories!$A$2:$A$11,0))</f>
        <v>Home &amp; Kitchen</v>
      </c>
      <c r="J299" s="19">
        <f>INDEX(Products!$E$2:$E$101,MATCH(C299,Products!$A$2:$A$101,0))</f>
        <v>60.66</v>
      </c>
      <c r="K299" s="19">
        <f t="shared" si="13"/>
        <v>485.28</v>
      </c>
      <c r="L299" s="19">
        <f t="shared" si="14"/>
        <v>286.80000000000007</v>
      </c>
    </row>
    <row r="300" spans="1:12" ht="15" customHeight="1" x14ac:dyDescent="0.25">
      <c r="A300" s="10">
        <v>299</v>
      </c>
      <c r="B300" s="10">
        <v>98</v>
      </c>
      <c r="C300" s="10">
        <v>43</v>
      </c>
      <c r="D300" s="10">
        <v>3</v>
      </c>
      <c r="E300" s="19">
        <v>42.13</v>
      </c>
      <c r="F300" s="10">
        <v>0</v>
      </c>
      <c r="G300" s="19">
        <f t="shared" si="12"/>
        <v>126.39000000000001</v>
      </c>
      <c r="H300" s="10">
        <f>INDEX(Products!$C$2:$C$101,MATCH(C300,Products!$A$2:$A$101,0))</f>
        <v>5</v>
      </c>
      <c r="I300" s="10" t="str">
        <f>INDEX(Categories!$B$2:$B$11,MATCH(H300,Categories!$A$2:$A$11,0))</f>
        <v>Home &amp; Kitchen</v>
      </c>
      <c r="J300" s="19">
        <f>INDEX(Products!$E$2:$E$101,MATCH(C300,Products!$A$2:$A$101,0))</f>
        <v>17.88</v>
      </c>
      <c r="K300" s="19">
        <f t="shared" si="13"/>
        <v>53.64</v>
      </c>
      <c r="L300" s="19">
        <f t="shared" si="14"/>
        <v>72.750000000000014</v>
      </c>
    </row>
    <row r="301" spans="1:12" ht="15" customHeight="1" x14ac:dyDescent="0.25">
      <c r="A301" s="10">
        <v>300</v>
      </c>
      <c r="B301" s="10">
        <v>98</v>
      </c>
      <c r="C301" s="10">
        <v>56</v>
      </c>
      <c r="D301" s="10">
        <v>6</v>
      </c>
      <c r="E301" s="19">
        <v>440.37</v>
      </c>
      <c r="F301" s="10">
        <v>0.1</v>
      </c>
      <c r="G301" s="19">
        <f t="shared" si="12"/>
        <v>2377.9980000000005</v>
      </c>
      <c r="H301" s="10">
        <f>INDEX(Products!$C$2:$C$101,MATCH(C301,Products!$A$2:$A$101,0))</f>
        <v>6</v>
      </c>
      <c r="I301" s="10" t="str">
        <f>INDEX(Categories!$B$2:$B$11,MATCH(H301,Categories!$A$2:$A$11,0))</f>
        <v>Sporting Goods</v>
      </c>
      <c r="J301" s="19">
        <f>INDEX(Products!$E$2:$E$101,MATCH(C301,Products!$A$2:$A$101,0))</f>
        <v>242.36</v>
      </c>
      <c r="K301" s="19">
        <f t="shared" si="13"/>
        <v>1454.16</v>
      </c>
      <c r="L301" s="19">
        <f t="shared" si="14"/>
        <v>923.83800000000042</v>
      </c>
    </row>
    <row r="302" spans="1:12" ht="15" customHeight="1" x14ac:dyDescent="0.25">
      <c r="A302" s="10">
        <v>301</v>
      </c>
      <c r="B302" s="10">
        <v>98</v>
      </c>
      <c r="C302" s="10">
        <v>84</v>
      </c>
      <c r="D302" s="10">
        <v>4</v>
      </c>
      <c r="E302" s="19">
        <v>258</v>
      </c>
      <c r="F302" s="10">
        <v>0.05</v>
      </c>
      <c r="G302" s="19">
        <f t="shared" si="12"/>
        <v>980.4</v>
      </c>
      <c r="H302" s="10">
        <f>INDEX(Products!$C$2:$C$101,MATCH(C302,Products!$A$2:$A$101,0))</f>
        <v>9</v>
      </c>
      <c r="I302" s="10" t="str">
        <f>INDEX(Categories!$B$2:$B$11,MATCH(H302,Categories!$A$2:$A$11,0))</f>
        <v>Automotive Parts</v>
      </c>
      <c r="J302" s="19">
        <f>INDEX(Products!$E$2:$E$101,MATCH(C302,Products!$A$2:$A$101,0))</f>
        <v>134.19999999999999</v>
      </c>
      <c r="K302" s="19">
        <f t="shared" si="13"/>
        <v>536.79999999999995</v>
      </c>
      <c r="L302" s="19">
        <f t="shared" si="14"/>
        <v>443.6</v>
      </c>
    </row>
    <row r="303" spans="1:12" ht="15" customHeight="1" x14ac:dyDescent="0.25">
      <c r="A303" s="10">
        <v>302</v>
      </c>
      <c r="B303" s="10">
        <v>98</v>
      </c>
      <c r="C303" s="10">
        <v>77</v>
      </c>
      <c r="D303" s="10">
        <v>6</v>
      </c>
      <c r="E303" s="19">
        <v>87.18</v>
      </c>
      <c r="F303" s="10">
        <v>0</v>
      </c>
      <c r="G303" s="19">
        <f t="shared" si="12"/>
        <v>523.08000000000004</v>
      </c>
      <c r="H303" s="10">
        <f>INDEX(Products!$C$2:$C$101,MATCH(C303,Products!$A$2:$A$101,0))</f>
        <v>8</v>
      </c>
      <c r="I303" s="10" t="str">
        <f>INDEX(Categories!$B$2:$B$11,MATCH(H303,Categories!$A$2:$A$11,0))</f>
        <v>Health &amp; Beauty</v>
      </c>
      <c r="J303" s="19">
        <f>INDEX(Products!$E$2:$E$101,MATCH(C303,Products!$A$2:$A$101,0))</f>
        <v>38.61</v>
      </c>
      <c r="K303" s="19">
        <f t="shared" si="13"/>
        <v>231.66</v>
      </c>
      <c r="L303" s="19">
        <f t="shared" si="14"/>
        <v>291.42000000000007</v>
      </c>
    </row>
    <row r="304" spans="1:12" ht="15" customHeight="1" x14ac:dyDescent="0.25">
      <c r="A304" s="10">
        <v>303</v>
      </c>
      <c r="B304" s="10">
        <v>99</v>
      </c>
      <c r="C304" s="10">
        <v>49</v>
      </c>
      <c r="D304" s="10">
        <v>6</v>
      </c>
      <c r="E304" s="19">
        <v>30.6</v>
      </c>
      <c r="F304" s="10">
        <v>0</v>
      </c>
      <c r="G304" s="19">
        <f t="shared" si="12"/>
        <v>183.60000000000002</v>
      </c>
      <c r="H304" s="10">
        <f>INDEX(Products!$C$2:$C$101,MATCH(C304,Products!$A$2:$A$101,0))</f>
        <v>5</v>
      </c>
      <c r="I304" s="10" t="str">
        <f>INDEX(Categories!$B$2:$B$11,MATCH(H304,Categories!$A$2:$A$11,0))</f>
        <v>Home &amp; Kitchen</v>
      </c>
      <c r="J304" s="19">
        <f>INDEX(Products!$E$2:$E$101,MATCH(C304,Products!$A$2:$A$101,0))</f>
        <v>20.64</v>
      </c>
      <c r="K304" s="19">
        <f t="shared" si="13"/>
        <v>123.84</v>
      </c>
      <c r="L304" s="19">
        <f t="shared" si="14"/>
        <v>59.760000000000019</v>
      </c>
    </row>
    <row r="305" spans="1:12" ht="15" customHeight="1" x14ac:dyDescent="0.25">
      <c r="A305" s="10">
        <v>304</v>
      </c>
      <c r="B305" s="10">
        <v>99</v>
      </c>
      <c r="C305" s="10">
        <v>36</v>
      </c>
      <c r="D305" s="10">
        <v>10</v>
      </c>
      <c r="E305" s="19">
        <v>472.77</v>
      </c>
      <c r="F305" s="10">
        <v>0</v>
      </c>
      <c r="G305" s="19">
        <f t="shared" si="12"/>
        <v>4727.7</v>
      </c>
      <c r="H305" s="10">
        <f>INDEX(Products!$C$2:$C$101,MATCH(C305,Products!$A$2:$A$101,0))</f>
        <v>4</v>
      </c>
      <c r="I305" s="10" t="str">
        <f>INDEX(Categories!$B$2:$B$11,MATCH(H305,Categories!$A$2:$A$11,0))</f>
        <v>Apparel</v>
      </c>
      <c r="J305" s="19">
        <f>INDEX(Products!$E$2:$E$101,MATCH(C305,Products!$A$2:$A$101,0))</f>
        <v>236.19</v>
      </c>
      <c r="K305" s="19">
        <f t="shared" si="13"/>
        <v>2361.9</v>
      </c>
      <c r="L305" s="19">
        <f t="shared" si="14"/>
        <v>2365.7999999999997</v>
      </c>
    </row>
    <row r="306" spans="1:12" ht="15" customHeight="1" x14ac:dyDescent="0.25">
      <c r="A306" s="10">
        <v>305</v>
      </c>
      <c r="B306" s="10">
        <v>99</v>
      </c>
      <c r="C306" s="10">
        <v>51</v>
      </c>
      <c r="D306" s="10">
        <v>10</v>
      </c>
      <c r="E306" s="19">
        <v>436.43</v>
      </c>
      <c r="F306" s="10">
        <v>0.1</v>
      </c>
      <c r="G306" s="19">
        <f t="shared" si="12"/>
        <v>3927.8700000000003</v>
      </c>
      <c r="H306" s="10">
        <f>INDEX(Products!$C$2:$C$101,MATCH(C306,Products!$A$2:$A$101,0))</f>
        <v>6</v>
      </c>
      <c r="I306" s="10" t="str">
        <f>INDEX(Categories!$B$2:$B$11,MATCH(H306,Categories!$A$2:$A$11,0))</f>
        <v>Sporting Goods</v>
      </c>
      <c r="J306" s="19">
        <f>INDEX(Products!$E$2:$E$101,MATCH(C306,Products!$A$2:$A$101,0))</f>
        <v>235.84</v>
      </c>
      <c r="K306" s="19">
        <f t="shared" si="13"/>
        <v>2358.4</v>
      </c>
      <c r="L306" s="19">
        <f t="shared" si="14"/>
        <v>1569.4700000000003</v>
      </c>
    </row>
    <row r="307" spans="1:12" ht="15" customHeight="1" x14ac:dyDescent="0.25">
      <c r="A307" s="10">
        <v>306</v>
      </c>
      <c r="B307" s="10">
        <v>100</v>
      </c>
      <c r="C307" s="10">
        <v>18</v>
      </c>
      <c r="D307" s="10">
        <v>5</v>
      </c>
      <c r="E307" s="19">
        <v>185.81</v>
      </c>
      <c r="F307" s="10">
        <v>0.15</v>
      </c>
      <c r="G307" s="19">
        <f t="shared" si="12"/>
        <v>789.6925</v>
      </c>
      <c r="H307" s="10">
        <f>INDEX(Products!$C$2:$C$101,MATCH(C307,Products!$A$2:$A$101,0))</f>
        <v>2</v>
      </c>
      <c r="I307" s="10" t="str">
        <f>INDEX(Categories!$B$2:$B$11,MATCH(H307,Categories!$A$2:$A$11,0))</f>
        <v>Office Supplies</v>
      </c>
      <c r="J307" s="19">
        <f>INDEX(Products!$E$2:$E$101,MATCH(C307,Products!$A$2:$A$101,0))</f>
        <v>108.81</v>
      </c>
      <c r="K307" s="19">
        <f t="shared" si="13"/>
        <v>544.04999999999995</v>
      </c>
      <c r="L307" s="19">
        <f t="shared" si="14"/>
        <v>245.64250000000004</v>
      </c>
    </row>
    <row r="308" spans="1:12" ht="15" customHeight="1" x14ac:dyDescent="0.25">
      <c r="A308" s="10">
        <v>307</v>
      </c>
      <c r="B308" s="10">
        <v>100</v>
      </c>
      <c r="C308" s="10">
        <v>82</v>
      </c>
      <c r="D308" s="10">
        <v>3</v>
      </c>
      <c r="E308" s="19">
        <v>390.74</v>
      </c>
      <c r="F308" s="10">
        <v>0.15</v>
      </c>
      <c r="G308" s="19">
        <f t="shared" si="12"/>
        <v>996.38699999999994</v>
      </c>
      <c r="H308" s="10">
        <f>INDEX(Products!$C$2:$C$101,MATCH(C308,Products!$A$2:$A$101,0))</f>
        <v>9</v>
      </c>
      <c r="I308" s="10" t="str">
        <f>INDEX(Categories!$B$2:$B$11,MATCH(H308,Categories!$A$2:$A$11,0))</f>
        <v>Automotive Parts</v>
      </c>
      <c r="J308" s="19">
        <f>INDEX(Products!$E$2:$E$101,MATCH(C308,Products!$A$2:$A$101,0))</f>
        <v>218.53</v>
      </c>
      <c r="K308" s="19">
        <f t="shared" si="13"/>
        <v>655.59</v>
      </c>
      <c r="L308" s="19">
        <f t="shared" si="14"/>
        <v>340.79699999999991</v>
      </c>
    </row>
    <row r="309" spans="1:12" ht="15" customHeight="1" x14ac:dyDescent="0.25">
      <c r="A309" s="10">
        <v>308</v>
      </c>
      <c r="B309" s="10">
        <v>100</v>
      </c>
      <c r="C309" s="10">
        <v>39</v>
      </c>
      <c r="D309" s="10">
        <v>7</v>
      </c>
      <c r="E309" s="19">
        <v>42.44</v>
      </c>
      <c r="F309" s="10">
        <v>0.2</v>
      </c>
      <c r="G309" s="19">
        <f t="shared" si="12"/>
        <v>237.66399999999999</v>
      </c>
      <c r="H309" s="10">
        <f>INDEX(Products!$C$2:$C$101,MATCH(C309,Products!$A$2:$A$101,0))</f>
        <v>4</v>
      </c>
      <c r="I309" s="10" t="str">
        <f>INDEX(Categories!$B$2:$B$11,MATCH(H309,Categories!$A$2:$A$11,0))</f>
        <v>Apparel</v>
      </c>
      <c r="J309" s="19">
        <f>INDEX(Products!$E$2:$E$101,MATCH(C309,Products!$A$2:$A$101,0))</f>
        <v>21.3</v>
      </c>
      <c r="K309" s="19">
        <f t="shared" si="13"/>
        <v>149.1</v>
      </c>
      <c r="L309" s="19">
        <f t="shared" si="14"/>
        <v>88.563999999999993</v>
      </c>
    </row>
    <row r="310" spans="1:12" ht="15" customHeight="1" x14ac:dyDescent="0.25">
      <c r="A310" s="10">
        <v>309</v>
      </c>
      <c r="B310" s="10">
        <v>100</v>
      </c>
      <c r="C310" s="10">
        <v>31</v>
      </c>
      <c r="D310" s="10">
        <v>7</v>
      </c>
      <c r="E310" s="19">
        <v>93.27</v>
      </c>
      <c r="F310" s="10">
        <v>0</v>
      </c>
      <c r="G310" s="19">
        <f t="shared" si="12"/>
        <v>652.89</v>
      </c>
      <c r="H310" s="10">
        <f>INDEX(Products!$C$2:$C$101,MATCH(C310,Products!$A$2:$A$101,0))</f>
        <v>4</v>
      </c>
      <c r="I310" s="10" t="str">
        <f>INDEX(Categories!$B$2:$B$11,MATCH(H310,Categories!$A$2:$A$11,0))</f>
        <v>Apparel</v>
      </c>
      <c r="J310" s="19">
        <f>INDEX(Products!$E$2:$E$101,MATCH(C310,Products!$A$2:$A$101,0))</f>
        <v>65.099999999999994</v>
      </c>
      <c r="K310" s="19">
        <f t="shared" si="13"/>
        <v>455.69999999999993</v>
      </c>
      <c r="L310" s="19">
        <f t="shared" si="14"/>
        <v>197.19000000000005</v>
      </c>
    </row>
    <row r="311" spans="1:12" ht="15" customHeight="1" x14ac:dyDescent="0.25">
      <c r="A311" s="10">
        <v>310</v>
      </c>
      <c r="B311" s="10">
        <v>101</v>
      </c>
      <c r="C311" s="10">
        <v>47</v>
      </c>
      <c r="D311" s="10">
        <v>9</v>
      </c>
      <c r="E311" s="19">
        <v>96.51</v>
      </c>
      <c r="F311" s="10">
        <v>0.1</v>
      </c>
      <c r="G311" s="19">
        <f t="shared" si="12"/>
        <v>781.73099999999999</v>
      </c>
      <c r="H311" s="10">
        <f>INDEX(Products!$C$2:$C$101,MATCH(C311,Products!$A$2:$A$101,0))</f>
        <v>5</v>
      </c>
      <c r="I311" s="10" t="str">
        <f>INDEX(Categories!$B$2:$B$11,MATCH(H311,Categories!$A$2:$A$11,0))</f>
        <v>Home &amp; Kitchen</v>
      </c>
      <c r="J311" s="19">
        <f>INDEX(Products!$E$2:$E$101,MATCH(C311,Products!$A$2:$A$101,0))</f>
        <v>60.66</v>
      </c>
      <c r="K311" s="19">
        <f t="shared" si="13"/>
        <v>545.93999999999994</v>
      </c>
      <c r="L311" s="19">
        <f t="shared" si="14"/>
        <v>235.79100000000005</v>
      </c>
    </row>
    <row r="312" spans="1:12" ht="15" customHeight="1" x14ac:dyDescent="0.25">
      <c r="A312" s="10">
        <v>311</v>
      </c>
      <c r="B312" s="10">
        <v>102</v>
      </c>
      <c r="C312" s="10">
        <v>6</v>
      </c>
      <c r="D312" s="10">
        <v>6</v>
      </c>
      <c r="E312" s="19">
        <v>234.43</v>
      </c>
      <c r="F312" s="10">
        <v>0.2</v>
      </c>
      <c r="G312" s="19">
        <f t="shared" si="12"/>
        <v>1125.2639999999999</v>
      </c>
      <c r="H312" s="10">
        <f>INDEX(Products!$C$2:$C$101,MATCH(C312,Products!$A$2:$A$101,0))</f>
        <v>1</v>
      </c>
      <c r="I312" s="10" t="str">
        <f>INDEX(Categories!$B$2:$B$11,MATCH(H312,Categories!$A$2:$A$11,0))</f>
        <v>Electronics</v>
      </c>
      <c r="J312" s="19">
        <f>INDEX(Products!$E$2:$E$101,MATCH(C312,Products!$A$2:$A$101,0))</f>
        <v>161.76</v>
      </c>
      <c r="K312" s="19">
        <f t="shared" si="13"/>
        <v>970.56</v>
      </c>
      <c r="L312" s="19">
        <f t="shared" si="14"/>
        <v>154.70399999999995</v>
      </c>
    </row>
    <row r="313" spans="1:12" ht="15" customHeight="1" x14ac:dyDescent="0.25">
      <c r="A313" s="10">
        <v>312</v>
      </c>
      <c r="B313" s="10">
        <v>102</v>
      </c>
      <c r="C313" s="10">
        <v>73</v>
      </c>
      <c r="D313" s="10">
        <v>7</v>
      </c>
      <c r="E313" s="19">
        <v>375.67</v>
      </c>
      <c r="F313" s="10">
        <v>0</v>
      </c>
      <c r="G313" s="19">
        <f t="shared" si="12"/>
        <v>2629.69</v>
      </c>
      <c r="H313" s="10">
        <f>INDEX(Products!$C$2:$C$101,MATCH(C313,Products!$A$2:$A$101,0))</f>
        <v>8</v>
      </c>
      <c r="I313" s="10" t="str">
        <f>INDEX(Categories!$B$2:$B$11,MATCH(H313,Categories!$A$2:$A$11,0))</f>
        <v>Health &amp; Beauty</v>
      </c>
      <c r="J313" s="19">
        <f>INDEX(Products!$E$2:$E$101,MATCH(C313,Products!$A$2:$A$101,0))</f>
        <v>214.44</v>
      </c>
      <c r="K313" s="19">
        <f t="shared" si="13"/>
        <v>1501.08</v>
      </c>
      <c r="L313" s="19">
        <f t="shared" si="14"/>
        <v>1128.6100000000001</v>
      </c>
    </row>
    <row r="314" spans="1:12" ht="15" customHeight="1" x14ac:dyDescent="0.25">
      <c r="A314" s="10">
        <v>313</v>
      </c>
      <c r="B314" s="10">
        <v>102</v>
      </c>
      <c r="C314" s="10">
        <v>83</v>
      </c>
      <c r="D314" s="10">
        <v>1</v>
      </c>
      <c r="E314" s="19">
        <v>113.19</v>
      </c>
      <c r="F314" s="10">
        <v>0</v>
      </c>
      <c r="G314" s="19">
        <f t="shared" si="12"/>
        <v>113.19</v>
      </c>
      <c r="H314" s="10">
        <f>INDEX(Products!$C$2:$C$101,MATCH(C314,Products!$A$2:$A$101,0))</f>
        <v>9</v>
      </c>
      <c r="I314" s="10" t="str">
        <f>INDEX(Categories!$B$2:$B$11,MATCH(H314,Categories!$A$2:$A$11,0))</f>
        <v>Automotive Parts</v>
      </c>
      <c r="J314" s="19">
        <f>INDEX(Products!$E$2:$E$101,MATCH(C314,Products!$A$2:$A$101,0))</f>
        <v>83.12</v>
      </c>
      <c r="K314" s="19">
        <f t="shared" si="13"/>
        <v>83.12</v>
      </c>
      <c r="L314" s="19">
        <f t="shared" si="14"/>
        <v>30.069999999999993</v>
      </c>
    </row>
    <row r="315" spans="1:12" ht="15" customHeight="1" x14ac:dyDescent="0.25">
      <c r="A315" s="10">
        <v>314</v>
      </c>
      <c r="B315" s="10">
        <v>102</v>
      </c>
      <c r="C315" s="10">
        <v>87</v>
      </c>
      <c r="D315" s="10">
        <v>5</v>
      </c>
      <c r="E315" s="19">
        <v>407.7</v>
      </c>
      <c r="F315" s="10">
        <v>0</v>
      </c>
      <c r="G315" s="19">
        <f t="shared" si="12"/>
        <v>2038.5</v>
      </c>
      <c r="H315" s="10">
        <f>INDEX(Products!$C$2:$C$101,MATCH(C315,Products!$A$2:$A$101,0))</f>
        <v>9</v>
      </c>
      <c r="I315" s="10" t="str">
        <f>INDEX(Categories!$B$2:$B$11,MATCH(H315,Categories!$A$2:$A$11,0))</f>
        <v>Automotive Parts</v>
      </c>
      <c r="J315" s="19">
        <f>INDEX(Products!$E$2:$E$101,MATCH(C315,Products!$A$2:$A$101,0))</f>
        <v>225.03</v>
      </c>
      <c r="K315" s="19">
        <f t="shared" si="13"/>
        <v>1125.1500000000001</v>
      </c>
      <c r="L315" s="19">
        <f t="shared" si="14"/>
        <v>913.34999999999991</v>
      </c>
    </row>
    <row r="316" spans="1:12" ht="15" customHeight="1" x14ac:dyDescent="0.25">
      <c r="A316" s="10">
        <v>315</v>
      </c>
      <c r="B316" s="10">
        <v>102</v>
      </c>
      <c r="C316" s="10">
        <v>52</v>
      </c>
      <c r="D316" s="10">
        <v>9</v>
      </c>
      <c r="E316" s="19">
        <v>469.43</v>
      </c>
      <c r="F316" s="10">
        <v>0.15</v>
      </c>
      <c r="G316" s="19">
        <f t="shared" si="12"/>
        <v>3591.1394999999998</v>
      </c>
      <c r="H316" s="10">
        <f>INDEX(Products!$C$2:$C$101,MATCH(C316,Products!$A$2:$A$101,0))</f>
        <v>6</v>
      </c>
      <c r="I316" s="10" t="str">
        <f>INDEX(Categories!$B$2:$B$11,MATCH(H316,Categories!$A$2:$A$11,0))</f>
        <v>Sporting Goods</v>
      </c>
      <c r="J316" s="19">
        <f>INDEX(Products!$E$2:$E$101,MATCH(C316,Products!$A$2:$A$101,0))</f>
        <v>222.69</v>
      </c>
      <c r="K316" s="19">
        <f t="shared" si="13"/>
        <v>2004.21</v>
      </c>
      <c r="L316" s="19">
        <f t="shared" si="14"/>
        <v>1586.9294999999997</v>
      </c>
    </row>
    <row r="317" spans="1:12" ht="15" customHeight="1" x14ac:dyDescent="0.25">
      <c r="A317" s="10">
        <v>316</v>
      </c>
      <c r="B317" s="10">
        <v>103</v>
      </c>
      <c r="C317" s="10">
        <v>45</v>
      </c>
      <c r="D317" s="10">
        <v>8</v>
      </c>
      <c r="E317" s="19">
        <v>72.88</v>
      </c>
      <c r="F317" s="10">
        <v>0</v>
      </c>
      <c r="G317" s="19">
        <f t="shared" si="12"/>
        <v>583.04</v>
      </c>
      <c r="H317" s="10">
        <f>INDEX(Products!$C$2:$C$101,MATCH(C317,Products!$A$2:$A$101,0))</f>
        <v>5</v>
      </c>
      <c r="I317" s="10" t="str">
        <f>INDEX(Categories!$B$2:$B$11,MATCH(H317,Categories!$A$2:$A$11,0))</f>
        <v>Home &amp; Kitchen</v>
      </c>
      <c r="J317" s="19">
        <f>INDEX(Products!$E$2:$E$101,MATCH(C317,Products!$A$2:$A$101,0))</f>
        <v>41.66</v>
      </c>
      <c r="K317" s="19">
        <f t="shared" si="13"/>
        <v>333.28</v>
      </c>
      <c r="L317" s="19">
        <f t="shared" si="14"/>
        <v>249.76</v>
      </c>
    </row>
    <row r="318" spans="1:12" ht="15" customHeight="1" x14ac:dyDescent="0.25">
      <c r="A318" s="10">
        <v>317</v>
      </c>
      <c r="B318" s="10">
        <v>103</v>
      </c>
      <c r="C318" s="10">
        <v>4</v>
      </c>
      <c r="D318" s="10">
        <v>5</v>
      </c>
      <c r="E318" s="19">
        <v>419.61</v>
      </c>
      <c r="F318" s="10">
        <v>0.05</v>
      </c>
      <c r="G318" s="19">
        <f t="shared" si="12"/>
        <v>1993.1475</v>
      </c>
      <c r="H318" s="10">
        <f>INDEX(Products!$C$2:$C$101,MATCH(C318,Products!$A$2:$A$101,0))</f>
        <v>1</v>
      </c>
      <c r="I318" s="10" t="str">
        <f>INDEX(Categories!$B$2:$B$11,MATCH(H318,Categories!$A$2:$A$11,0))</f>
        <v>Electronics</v>
      </c>
      <c r="J318" s="19">
        <f>INDEX(Products!$E$2:$E$101,MATCH(C318,Products!$A$2:$A$101,0))</f>
        <v>200.14</v>
      </c>
      <c r="K318" s="19">
        <f t="shared" si="13"/>
        <v>1000.6999999999999</v>
      </c>
      <c r="L318" s="19">
        <f t="shared" si="14"/>
        <v>992.4475000000001</v>
      </c>
    </row>
    <row r="319" spans="1:12" ht="15" customHeight="1" x14ac:dyDescent="0.25">
      <c r="A319" s="10">
        <v>318</v>
      </c>
      <c r="B319" s="10">
        <v>104</v>
      </c>
      <c r="C319" s="10">
        <v>45</v>
      </c>
      <c r="D319" s="10">
        <v>8</v>
      </c>
      <c r="E319" s="19">
        <v>72.88</v>
      </c>
      <c r="F319" s="10">
        <v>0</v>
      </c>
      <c r="G319" s="19">
        <f t="shared" si="12"/>
        <v>583.04</v>
      </c>
      <c r="H319" s="10">
        <f>INDEX(Products!$C$2:$C$101,MATCH(C319,Products!$A$2:$A$101,0))</f>
        <v>5</v>
      </c>
      <c r="I319" s="10" t="str">
        <f>INDEX(Categories!$B$2:$B$11,MATCH(H319,Categories!$A$2:$A$11,0))</f>
        <v>Home &amp; Kitchen</v>
      </c>
      <c r="J319" s="19">
        <f>INDEX(Products!$E$2:$E$101,MATCH(C319,Products!$A$2:$A$101,0))</f>
        <v>41.66</v>
      </c>
      <c r="K319" s="19">
        <f t="shared" si="13"/>
        <v>333.28</v>
      </c>
      <c r="L319" s="19">
        <f t="shared" si="14"/>
        <v>249.76</v>
      </c>
    </row>
    <row r="320" spans="1:12" ht="15" customHeight="1" x14ac:dyDescent="0.25">
      <c r="A320" s="10">
        <v>319</v>
      </c>
      <c r="B320" s="10">
        <v>104</v>
      </c>
      <c r="C320" s="10">
        <v>61</v>
      </c>
      <c r="D320" s="10">
        <v>2</v>
      </c>
      <c r="E320" s="19">
        <v>289.8</v>
      </c>
      <c r="F320" s="10">
        <v>0</v>
      </c>
      <c r="G320" s="19">
        <f t="shared" si="12"/>
        <v>579.6</v>
      </c>
      <c r="H320" s="10">
        <f>INDEX(Products!$C$2:$C$101,MATCH(C320,Products!$A$2:$A$101,0))</f>
        <v>7</v>
      </c>
      <c r="I320" s="10" t="str">
        <f>INDEX(Categories!$B$2:$B$11,MATCH(H320,Categories!$A$2:$A$11,0))</f>
        <v>Toys &amp; Games</v>
      </c>
      <c r="J320" s="19">
        <f>INDEX(Products!$E$2:$E$101,MATCH(C320,Products!$A$2:$A$101,0))</f>
        <v>156.79</v>
      </c>
      <c r="K320" s="19">
        <f t="shared" si="13"/>
        <v>313.58</v>
      </c>
      <c r="L320" s="19">
        <f t="shared" si="14"/>
        <v>266.02000000000004</v>
      </c>
    </row>
    <row r="321" spans="1:12" ht="15" customHeight="1" x14ac:dyDescent="0.25">
      <c r="A321" s="10">
        <v>320</v>
      </c>
      <c r="B321" s="10">
        <v>104</v>
      </c>
      <c r="C321" s="10">
        <v>13</v>
      </c>
      <c r="D321" s="10">
        <v>1</v>
      </c>
      <c r="E321" s="19">
        <v>360.29</v>
      </c>
      <c r="F321" s="10">
        <v>0.2</v>
      </c>
      <c r="G321" s="19">
        <f t="shared" si="12"/>
        <v>288.23200000000003</v>
      </c>
      <c r="H321" s="10">
        <f>INDEX(Products!$C$2:$C$101,MATCH(C321,Products!$A$2:$A$101,0))</f>
        <v>2</v>
      </c>
      <c r="I321" s="10" t="str">
        <f>INDEX(Categories!$B$2:$B$11,MATCH(H321,Categories!$A$2:$A$11,0))</f>
        <v>Office Supplies</v>
      </c>
      <c r="J321" s="19">
        <f>INDEX(Products!$E$2:$E$101,MATCH(C321,Products!$A$2:$A$101,0))</f>
        <v>152.66</v>
      </c>
      <c r="K321" s="19">
        <f t="shared" si="13"/>
        <v>152.66</v>
      </c>
      <c r="L321" s="19">
        <f t="shared" si="14"/>
        <v>135.57200000000003</v>
      </c>
    </row>
    <row r="322" spans="1:12" ht="15" customHeight="1" x14ac:dyDescent="0.25">
      <c r="A322" s="10">
        <v>321</v>
      </c>
      <c r="B322" s="10">
        <v>104</v>
      </c>
      <c r="C322" s="10">
        <v>57</v>
      </c>
      <c r="D322" s="10">
        <v>2</v>
      </c>
      <c r="E322" s="19">
        <v>357.27</v>
      </c>
      <c r="F322" s="10">
        <v>0</v>
      </c>
      <c r="G322" s="19">
        <f t="shared" ref="G322:G385" si="15">D322*E322*(1-F322)</f>
        <v>714.54</v>
      </c>
      <c r="H322" s="10">
        <f>INDEX(Products!$C$2:$C$101,MATCH(C322,Products!$A$2:$A$101,0))</f>
        <v>6</v>
      </c>
      <c r="I322" s="10" t="str">
        <f>INDEX(Categories!$B$2:$B$11,MATCH(H322,Categories!$A$2:$A$11,0))</f>
        <v>Sporting Goods</v>
      </c>
      <c r="J322" s="19">
        <f>INDEX(Products!$E$2:$E$101,MATCH(C322,Products!$A$2:$A$101,0))</f>
        <v>214.86</v>
      </c>
      <c r="K322" s="19">
        <f t="shared" ref="K322:K385" si="16">D322*J322</f>
        <v>429.72</v>
      </c>
      <c r="L322" s="19">
        <f t="shared" ref="L322:L385" si="17">G322-K322</f>
        <v>284.81999999999994</v>
      </c>
    </row>
    <row r="323" spans="1:12" ht="15" customHeight="1" x14ac:dyDescent="0.25">
      <c r="A323" s="10">
        <v>322</v>
      </c>
      <c r="B323" s="10">
        <v>105</v>
      </c>
      <c r="C323" s="10">
        <v>72</v>
      </c>
      <c r="D323" s="10">
        <v>4</v>
      </c>
      <c r="E323" s="19">
        <v>526.70000000000005</v>
      </c>
      <c r="F323" s="10">
        <v>0.2</v>
      </c>
      <c r="G323" s="19">
        <f t="shared" si="15"/>
        <v>1685.4400000000003</v>
      </c>
      <c r="H323" s="10">
        <f>INDEX(Products!$C$2:$C$101,MATCH(C323,Products!$A$2:$A$101,0))</f>
        <v>8</v>
      </c>
      <c r="I323" s="10" t="str">
        <f>INDEX(Categories!$B$2:$B$11,MATCH(H323,Categories!$A$2:$A$11,0))</f>
        <v>Health &amp; Beauty</v>
      </c>
      <c r="J323" s="19">
        <f>INDEX(Products!$E$2:$E$101,MATCH(C323,Products!$A$2:$A$101,0))</f>
        <v>233.41</v>
      </c>
      <c r="K323" s="19">
        <f t="shared" si="16"/>
        <v>933.64</v>
      </c>
      <c r="L323" s="19">
        <f t="shared" si="17"/>
        <v>751.8000000000003</v>
      </c>
    </row>
    <row r="324" spans="1:12" ht="15" customHeight="1" x14ac:dyDescent="0.25">
      <c r="A324" s="10">
        <v>323</v>
      </c>
      <c r="B324" s="10">
        <v>105</v>
      </c>
      <c r="C324" s="10">
        <v>55</v>
      </c>
      <c r="D324" s="10">
        <v>7</v>
      </c>
      <c r="E324" s="19">
        <v>378.27</v>
      </c>
      <c r="F324" s="10">
        <v>0.15</v>
      </c>
      <c r="G324" s="19">
        <f t="shared" si="15"/>
        <v>2250.7064999999998</v>
      </c>
      <c r="H324" s="10">
        <f>INDEX(Products!$C$2:$C$101,MATCH(C324,Products!$A$2:$A$101,0))</f>
        <v>6</v>
      </c>
      <c r="I324" s="10" t="str">
        <f>INDEX(Categories!$B$2:$B$11,MATCH(H324,Categories!$A$2:$A$11,0))</f>
        <v>Sporting Goods</v>
      </c>
      <c r="J324" s="19">
        <f>INDEX(Products!$E$2:$E$101,MATCH(C324,Products!$A$2:$A$101,0))</f>
        <v>163.92</v>
      </c>
      <c r="K324" s="19">
        <f t="shared" si="16"/>
        <v>1147.4399999999998</v>
      </c>
      <c r="L324" s="19">
        <f t="shared" si="17"/>
        <v>1103.2665</v>
      </c>
    </row>
    <row r="325" spans="1:12" ht="15" customHeight="1" x14ac:dyDescent="0.25">
      <c r="A325" s="10">
        <v>324</v>
      </c>
      <c r="B325" s="10">
        <v>105</v>
      </c>
      <c r="C325" s="10">
        <v>60</v>
      </c>
      <c r="D325" s="10">
        <v>3</v>
      </c>
      <c r="E325" s="19">
        <v>313.82</v>
      </c>
      <c r="F325" s="10">
        <v>0</v>
      </c>
      <c r="G325" s="19">
        <f t="shared" si="15"/>
        <v>941.46</v>
      </c>
      <c r="H325" s="10">
        <f>INDEX(Products!$C$2:$C$101,MATCH(C325,Products!$A$2:$A$101,0))</f>
        <v>6</v>
      </c>
      <c r="I325" s="10" t="str">
        <f>INDEX(Categories!$B$2:$B$11,MATCH(H325,Categories!$A$2:$A$11,0))</f>
        <v>Sporting Goods</v>
      </c>
      <c r="J325" s="19">
        <f>INDEX(Products!$E$2:$E$101,MATCH(C325,Products!$A$2:$A$101,0))</f>
        <v>165.44</v>
      </c>
      <c r="K325" s="19">
        <f t="shared" si="16"/>
        <v>496.32</v>
      </c>
      <c r="L325" s="19">
        <f t="shared" si="17"/>
        <v>445.14000000000004</v>
      </c>
    </row>
    <row r="326" spans="1:12" ht="15" customHeight="1" x14ac:dyDescent="0.25">
      <c r="A326" s="10">
        <v>325</v>
      </c>
      <c r="B326" s="10">
        <v>106</v>
      </c>
      <c r="C326" s="10">
        <v>1</v>
      </c>
      <c r="D326" s="10">
        <v>5</v>
      </c>
      <c r="E326" s="19">
        <v>384.09</v>
      </c>
      <c r="F326" s="10">
        <v>0.2</v>
      </c>
      <c r="G326" s="19">
        <f t="shared" si="15"/>
        <v>1536.36</v>
      </c>
      <c r="H326" s="10">
        <f>INDEX(Products!$C$2:$C$101,MATCH(C326,Products!$A$2:$A$101,0))</f>
        <v>1</v>
      </c>
      <c r="I326" s="10" t="str">
        <f>INDEX(Categories!$B$2:$B$11,MATCH(H326,Categories!$A$2:$A$11,0))</f>
        <v>Electronics</v>
      </c>
      <c r="J326" s="19">
        <f>INDEX(Products!$E$2:$E$101,MATCH(C326,Products!$A$2:$A$101,0))</f>
        <v>235.86</v>
      </c>
      <c r="K326" s="19">
        <f t="shared" si="16"/>
        <v>1179.3000000000002</v>
      </c>
      <c r="L326" s="19">
        <f t="shared" si="17"/>
        <v>357.05999999999972</v>
      </c>
    </row>
    <row r="327" spans="1:12" ht="15" customHeight="1" x14ac:dyDescent="0.25">
      <c r="A327" s="10">
        <v>326</v>
      </c>
      <c r="B327" s="10">
        <v>106</v>
      </c>
      <c r="C327" s="10">
        <v>91</v>
      </c>
      <c r="D327" s="10">
        <v>2</v>
      </c>
      <c r="E327" s="19">
        <v>180.37</v>
      </c>
      <c r="F327" s="10">
        <v>0.1</v>
      </c>
      <c r="G327" s="19">
        <f t="shared" si="15"/>
        <v>324.666</v>
      </c>
      <c r="H327" s="10">
        <f>INDEX(Products!$C$2:$C$101,MATCH(C327,Products!$A$2:$A$101,0))</f>
        <v>10</v>
      </c>
      <c r="I327" s="10" t="str">
        <f>INDEX(Categories!$B$2:$B$11,MATCH(H327,Categories!$A$2:$A$11,0))</f>
        <v>Groceries</v>
      </c>
      <c r="J327" s="19">
        <f>INDEX(Products!$E$2:$E$101,MATCH(C327,Products!$A$2:$A$101,0))</f>
        <v>75.92</v>
      </c>
      <c r="K327" s="19">
        <f t="shared" si="16"/>
        <v>151.84</v>
      </c>
      <c r="L327" s="19">
        <f t="shared" si="17"/>
        <v>172.82599999999999</v>
      </c>
    </row>
    <row r="328" spans="1:12" ht="15" customHeight="1" x14ac:dyDescent="0.25">
      <c r="A328" s="10">
        <v>327</v>
      </c>
      <c r="B328" s="10">
        <v>106</v>
      </c>
      <c r="C328" s="10">
        <v>28</v>
      </c>
      <c r="D328" s="10">
        <v>2</v>
      </c>
      <c r="E328" s="19">
        <v>149.97</v>
      </c>
      <c r="F328" s="10">
        <v>0.2</v>
      </c>
      <c r="G328" s="19">
        <f t="shared" si="15"/>
        <v>239.952</v>
      </c>
      <c r="H328" s="10">
        <f>INDEX(Products!$C$2:$C$101,MATCH(C328,Products!$A$2:$A$101,0))</f>
        <v>3</v>
      </c>
      <c r="I328" s="10" t="str">
        <f>INDEX(Categories!$B$2:$B$11,MATCH(H328,Categories!$A$2:$A$11,0))</f>
        <v>Furniture</v>
      </c>
      <c r="J328" s="19">
        <f>INDEX(Products!$E$2:$E$101,MATCH(C328,Products!$A$2:$A$101,0))</f>
        <v>113.7</v>
      </c>
      <c r="K328" s="19">
        <f t="shared" si="16"/>
        <v>227.4</v>
      </c>
      <c r="L328" s="19">
        <f t="shared" si="17"/>
        <v>12.551999999999992</v>
      </c>
    </row>
    <row r="329" spans="1:12" ht="15" customHeight="1" x14ac:dyDescent="0.25">
      <c r="A329" s="10">
        <v>328</v>
      </c>
      <c r="B329" s="10">
        <v>106</v>
      </c>
      <c r="C329" s="10">
        <v>27</v>
      </c>
      <c r="D329" s="10">
        <v>9</v>
      </c>
      <c r="E329" s="19">
        <v>263.93</v>
      </c>
      <c r="F329" s="10">
        <v>0</v>
      </c>
      <c r="G329" s="19">
        <f t="shared" si="15"/>
        <v>2375.37</v>
      </c>
      <c r="H329" s="10">
        <f>INDEX(Products!$C$2:$C$101,MATCH(C329,Products!$A$2:$A$101,0))</f>
        <v>3</v>
      </c>
      <c r="I329" s="10" t="str">
        <f>INDEX(Categories!$B$2:$B$11,MATCH(H329,Categories!$A$2:$A$11,0))</f>
        <v>Furniture</v>
      </c>
      <c r="J329" s="19">
        <f>INDEX(Products!$E$2:$E$101,MATCH(C329,Products!$A$2:$A$101,0))</f>
        <v>123.68</v>
      </c>
      <c r="K329" s="19">
        <f t="shared" si="16"/>
        <v>1113.1200000000001</v>
      </c>
      <c r="L329" s="19">
        <f t="shared" si="17"/>
        <v>1262.2499999999998</v>
      </c>
    </row>
    <row r="330" spans="1:12" ht="15" customHeight="1" x14ac:dyDescent="0.25">
      <c r="A330" s="10">
        <v>329</v>
      </c>
      <c r="B330" s="10">
        <v>107</v>
      </c>
      <c r="C330" s="10">
        <v>79</v>
      </c>
      <c r="D330" s="10">
        <v>6</v>
      </c>
      <c r="E330" s="19">
        <v>369.82</v>
      </c>
      <c r="F330" s="10">
        <v>0</v>
      </c>
      <c r="G330" s="19">
        <f t="shared" si="15"/>
        <v>2218.92</v>
      </c>
      <c r="H330" s="10">
        <f>INDEX(Products!$C$2:$C$101,MATCH(C330,Products!$A$2:$A$101,0))</f>
        <v>8</v>
      </c>
      <c r="I330" s="10" t="str">
        <f>INDEX(Categories!$B$2:$B$11,MATCH(H330,Categories!$A$2:$A$11,0))</f>
        <v>Health &amp; Beauty</v>
      </c>
      <c r="J330" s="19">
        <f>INDEX(Products!$E$2:$E$101,MATCH(C330,Products!$A$2:$A$101,0))</f>
        <v>215.26</v>
      </c>
      <c r="K330" s="19">
        <f t="shared" si="16"/>
        <v>1291.56</v>
      </c>
      <c r="L330" s="19">
        <f t="shared" si="17"/>
        <v>927.36000000000013</v>
      </c>
    </row>
    <row r="331" spans="1:12" ht="15" customHeight="1" x14ac:dyDescent="0.25">
      <c r="A331" s="10">
        <v>330</v>
      </c>
      <c r="B331" s="10">
        <v>107</v>
      </c>
      <c r="C331" s="10">
        <v>51</v>
      </c>
      <c r="D331" s="10">
        <v>8</v>
      </c>
      <c r="E331" s="19">
        <v>436.43</v>
      </c>
      <c r="F331" s="10">
        <v>0.1</v>
      </c>
      <c r="G331" s="19">
        <f t="shared" si="15"/>
        <v>3142.2960000000003</v>
      </c>
      <c r="H331" s="10">
        <f>INDEX(Products!$C$2:$C$101,MATCH(C331,Products!$A$2:$A$101,0))</f>
        <v>6</v>
      </c>
      <c r="I331" s="10" t="str">
        <f>INDEX(Categories!$B$2:$B$11,MATCH(H331,Categories!$A$2:$A$11,0))</f>
        <v>Sporting Goods</v>
      </c>
      <c r="J331" s="19">
        <f>INDEX(Products!$E$2:$E$101,MATCH(C331,Products!$A$2:$A$101,0))</f>
        <v>235.84</v>
      </c>
      <c r="K331" s="19">
        <f t="shared" si="16"/>
        <v>1886.72</v>
      </c>
      <c r="L331" s="19">
        <f t="shared" si="17"/>
        <v>1255.5760000000002</v>
      </c>
    </row>
    <row r="332" spans="1:12" ht="15" customHeight="1" x14ac:dyDescent="0.25">
      <c r="A332" s="10">
        <v>331</v>
      </c>
      <c r="B332" s="10">
        <v>107</v>
      </c>
      <c r="C332" s="10">
        <v>76</v>
      </c>
      <c r="D332" s="10">
        <v>3</v>
      </c>
      <c r="E332" s="19">
        <v>390.64</v>
      </c>
      <c r="F332" s="10">
        <v>0.2</v>
      </c>
      <c r="G332" s="19">
        <f t="shared" si="15"/>
        <v>937.53600000000006</v>
      </c>
      <c r="H332" s="10">
        <f>INDEX(Products!$C$2:$C$101,MATCH(C332,Products!$A$2:$A$101,0))</f>
        <v>8</v>
      </c>
      <c r="I332" s="10" t="str">
        <f>INDEX(Categories!$B$2:$B$11,MATCH(H332,Categories!$A$2:$A$11,0))</f>
        <v>Health &amp; Beauty</v>
      </c>
      <c r="J332" s="19">
        <f>INDEX(Products!$E$2:$E$101,MATCH(C332,Products!$A$2:$A$101,0))</f>
        <v>218.93</v>
      </c>
      <c r="K332" s="19">
        <f t="shared" si="16"/>
        <v>656.79</v>
      </c>
      <c r="L332" s="19">
        <f t="shared" si="17"/>
        <v>280.74600000000009</v>
      </c>
    </row>
    <row r="333" spans="1:12" ht="15" customHeight="1" x14ac:dyDescent="0.25">
      <c r="A333" s="10">
        <v>332</v>
      </c>
      <c r="B333" s="10">
        <v>107</v>
      </c>
      <c r="C333" s="10">
        <v>15</v>
      </c>
      <c r="D333" s="10">
        <v>5</v>
      </c>
      <c r="E333" s="19">
        <v>389.29</v>
      </c>
      <c r="F333" s="10">
        <v>0.1</v>
      </c>
      <c r="G333" s="19">
        <f t="shared" si="15"/>
        <v>1751.8050000000001</v>
      </c>
      <c r="H333" s="10">
        <f>INDEX(Products!$C$2:$C$101,MATCH(C333,Products!$A$2:$A$101,0))</f>
        <v>2</v>
      </c>
      <c r="I333" s="10" t="str">
        <f>INDEX(Categories!$B$2:$B$11,MATCH(H333,Categories!$A$2:$A$11,0))</f>
        <v>Office Supplies</v>
      </c>
      <c r="J333" s="19">
        <f>INDEX(Products!$E$2:$E$101,MATCH(C333,Products!$A$2:$A$101,0))</f>
        <v>227.28</v>
      </c>
      <c r="K333" s="19">
        <f t="shared" si="16"/>
        <v>1136.4000000000001</v>
      </c>
      <c r="L333" s="19">
        <f t="shared" si="17"/>
        <v>615.40499999999997</v>
      </c>
    </row>
    <row r="334" spans="1:12" ht="15" customHeight="1" x14ac:dyDescent="0.25">
      <c r="A334" s="10">
        <v>333</v>
      </c>
      <c r="B334" s="10">
        <v>108</v>
      </c>
      <c r="C334" s="10">
        <v>89</v>
      </c>
      <c r="D334" s="10">
        <v>7</v>
      </c>
      <c r="E334" s="19">
        <v>312.76</v>
      </c>
      <c r="F334" s="10">
        <v>0.05</v>
      </c>
      <c r="G334" s="19">
        <f t="shared" si="15"/>
        <v>2079.8539999999998</v>
      </c>
      <c r="H334" s="10">
        <f>INDEX(Products!$C$2:$C$101,MATCH(C334,Products!$A$2:$A$101,0))</f>
        <v>9</v>
      </c>
      <c r="I334" s="10" t="str">
        <f>INDEX(Categories!$B$2:$B$11,MATCH(H334,Categories!$A$2:$A$11,0))</f>
        <v>Automotive Parts</v>
      </c>
      <c r="J334" s="19">
        <f>INDEX(Products!$E$2:$E$101,MATCH(C334,Products!$A$2:$A$101,0))</f>
        <v>173.51</v>
      </c>
      <c r="K334" s="19">
        <f t="shared" si="16"/>
        <v>1214.57</v>
      </c>
      <c r="L334" s="19">
        <f t="shared" si="17"/>
        <v>865.28399999999988</v>
      </c>
    </row>
    <row r="335" spans="1:12" ht="15" customHeight="1" x14ac:dyDescent="0.25">
      <c r="A335" s="10">
        <v>334</v>
      </c>
      <c r="B335" s="10">
        <v>108</v>
      </c>
      <c r="C335" s="10">
        <v>19</v>
      </c>
      <c r="D335" s="10">
        <v>10</v>
      </c>
      <c r="E335" s="19">
        <v>291.89</v>
      </c>
      <c r="F335" s="10">
        <v>0</v>
      </c>
      <c r="G335" s="19">
        <f t="shared" si="15"/>
        <v>2918.8999999999996</v>
      </c>
      <c r="H335" s="10">
        <f>INDEX(Products!$C$2:$C$101,MATCH(C335,Products!$A$2:$A$101,0))</f>
        <v>2</v>
      </c>
      <c r="I335" s="10" t="str">
        <f>INDEX(Categories!$B$2:$B$11,MATCH(H335,Categories!$A$2:$A$11,0))</f>
        <v>Office Supplies</v>
      </c>
      <c r="J335" s="19">
        <f>INDEX(Products!$E$2:$E$101,MATCH(C335,Products!$A$2:$A$101,0))</f>
        <v>206.12</v>
      </c>
      <c r="K335" s="19">
        <f t="shared" si="16"/>
        <v>2061.1999999999998</v>
      </c>
      <c r="L335" s="19">
        <f t="shared" si="17"/>
        <v>857.69999999999982</v>
      </c>
    </row>
    <row r="336" spans="1:12" ht="15" customHeight="1" x14ac:dyDescent="0.25">
      <c r="A336" s="10">
        <v>335</v>
      </c>
      <c r="B336" s="10">
        <v>108</v>
      </c>
      <c r="C336" s="10">
        <v>66</v>
      </c>
      <c r="D336" s="10">
        <v>10</v>
      </c>
      <c r="E336" s="19">
        <v>155.88</v>
      </c>
      <c r="F336" s="10">
        <v>0.05</v>
      </c>
      <c r="G336" s="19">
        <f t="shared" si="15"/>
        <v>1480.86</v>
      </c>
      <c r="H336" s="10">
        <f>INDEX(Products!$C$2:$C$101,MATCH(C336,Products!$A$2:$A$101,0))</f>
        <v>7</v>
      </c>
      <c r="I336" s="10" t="str">
        <f>INDEX(Categories!$B$2:$B$11,MATCH(H336,Categories!$A$2:$A$11,0))</f>
        <v>Toys &amp; Games</v>
      </c>
      <c r="J336" s="19">
        <f>INDEX(Products!$E$2:$E$101,MATCH(C336,Products!$A$2:$A$101,0))</f>
        <v>75.09</v>
      </c>
      <c r="K336" s="19">
        <f t="shared" si="16"/>
        <v>750.90000000000009</v>
      </c>
      <c r="L336" s="19">
        <f t="shared" si="17"/>
        <v>729.95999999999981</v>
      </c>
    </row>
    <row r="337" spans="1:12" ht="15" customHeight="1" x14ac:dyDescent="0.25">
      <c r="A337" s="10">
        <v>336</v>
      </c>
      <c r="B337" s="10">
        <v>109</v>
      </c>
      <c r="C337" s="10">
        <v>41</v>
      </c>
      <c r="D337" s="10">
        <v>10</v>
      </c>
      <c r="E337" s="19">
        <v>331.46</v>
      </c>
      <c r="F337" s="10">
        <v>0</v>
      </c>
      <c r="G337" s="19">
        <f t="shared" si="15"/>
        <v>3314.6</v>
      </c>
      <c r="H337" s="10">
        <f>INDEX(Products!$C$2:$C$101,MATCH(C337,Products!$A$2:$A$101,0))</f>
        <v>5</v>
      </c>
      <c r="I337" s="10" t="str">
        <f>INDEX(Categories!$B$2:$B$11,MATCH(H337,Categories!$A$2:$A$11,0))</f>
        <v>Home &amp; Kitchen</v>
      </c>
      <c r="J337" s="19">
        <f>INDEX(Products!$E$2:$E$101,MATCH(C337,Products!$A$2:$A$101,0))</f>
        <v>152.76</v>
      </c>
      <c r="K337" s="19">
        <f t="shared" si="16"/>
        <v>1527.6</v>
      </c>
      <c r="L337" s="19">
        <f t="shared" si="17"/>
        <v>1787</v>
      </c>
    </row>
    <row r="338" spans="1:12" ht="15" customHeight="1" x14ac:dyDescent="0.25">
      <c r="A338" s="10">
        <v>337</v>
      </c>
      <c r="B338" s="10">
        <v>109</v>
      </c>
      <c r="C338" s="10">
        <v>58</v>
      </c>
      <c r="D338" s="10">
        <v>6</v>
      </c>
      <c r="E338" s="19">
        <v>388.55</v>
      </c>
      <c r="F338" s="10">
        <v>0</v>
      </c>
      <c r="G338" s="19">
        <f t="shared" si="15"/>
        <v>2331.3000000000002</v>
      </c>
      <c r="H338" s="10">
        <f>INDEX(Products!$C$2:$C$101,MATCH(C338,Products!$A$2:$A$101,0))</f>
        <v>6</v>
      </c>
      <c r="I338" s="10" t="str">
        <f>INDEX(Categories!$B$2:$B$11,MATCH(H338,Categories!$A$2:$A$11,0))</f>
        <v>Sporting Goods</v>
      </c>
      <c r="J338" s="19">
        <f>INDEX(Products!$E$2:$E$101,MATCH(C338,Products!$A$2:$A$101,0))</f>
        <v>203.95</v>
      </c>
      <c r="K338" s="19">
        <f t="shared" si="16"/>
        <v>1223.6999999999998</v>
      </c>
      <c r="L338" s="19">
        <f t="shared" si="17"/>
        <v>1107.6000000000004</v>
      </c>
    </row>
    <row r="339" spans="1:12" ht="15" customHeight="1" x14ac:dyDescent="0.25">
      <c r="A339" s="10">
        <v>338</v>
      </c>
      <c r="B339" s="10">
        <v>110</v>
      </c>
      <c r="C339" s="10">
        <v>22</v>
      </c>
      <c r="D339" s="10">
        <v>4</v>
      </c>
      <c r="E339" s="19">
        <v>247.09</v>
      </c>
      <c r="F339" s="10">
        <v>0</v>
      </c>
      <c r="G339" s="19">
        <f t="shared" si="15"/>
        <v>988.36</v>
      </c>
      <c r="H339" s="10">
        <f>INDEX(Products!$C$2:$C$101,MATCH(C339,Products!$A$2:$A$101,0))</f>
        <v>3</v>
      </c>
      <c r="I339" s="10" t="str">
        <f>INDEX(Categories!$B$2:$B$11,MATCH(H339,Categories!$A$2:$A$11,0))</f>
        <v>Furniture</v>
      </c>
      <c r="J339" s="19">
        <f>INDEX(Products!$E$2:$E$101,MATCH(C339,Products!$A$2:$A$101,0))</f>
        <v>149.34</v>
      </c>
      <c r="K339" s="19">
        <f t="shared" si="16"/>
        <v>597.36</v>
      </c>
      <c r="L339" s="19">
        <f t="shared" si="17"/>
        <v>391</v>
      </c>
    </row>
    <row r="340" spans="1:12" ht="15" customHeight="1" x14ac:dyDescent="0.25">
      <c r="A340" s="10">
        <v>339</v>
      </c>
      <c r="B340" s="10">
        <v>110</v>
      </c>
      <c r="C340" s="10">
        <v>11</v>
      </c>
      <c r="D340" s="10">
        <v>1</v>
      </c>
      <c r="E340" s="19">
        <v>417.1</v>
      </c>
      <c r="F340" s="10">
        <v>0</v>
      </c>
      <c r="G340" s="19">
        <f t="shared" si="15"/>
        <v>417.1</v>
      </c>
      <c r="H340" s="10">
        <f>INDEX(Products!$C$2:$C$101,MATCH(C340,Products!$A$2:$A$101,0))</f>
        <v>2</v>
      </c>
      <c r="I340" s="10" t="str">
        <f>INDEX(Categories!$B$2:$B$11,MATCH(H340,Categories!$A$2:$A$11,0))</f>
        <v>Office Supplies</v>
      </c>
      <c r="J340" s="19">
        <f>INDEX(Products!$E$2:$E$101,MATCH(C340,Products!$A$2:$A$101,0))</f>
        <v>210.29</v>
      </c>
      <c r="K340" s="19">
        <f t="shared" si="16"/>
        <v>210.29</v>
      </c>
      <c r="L340" s="19">
        <f t="shared" si="17"/>
        <v>206.81000000000003</v>
      </c>
    </row>
    <row r="341" spans="1:12" ht="15" customHeight="1" x14ac:dyDescent="0.25">
      <c r="A341" s="10">
        <v>340</v>
      </c>
      <c r="B341" s="10">
        <v>110</v>
      </c>
      <c r="C341" s="10">
        <v>73</v>
      </c>
      <c r="D341" s="10">
        <v>4</v>
      </c>
      <c r="E341" s="19">
        <v>375.67</v>
      </c>
      <c r="F341" s="10">
        <v>0.1</v>
      </c>
      <c r="G341" s="19">
        <f t="shared" si="15"/>
        <v>1352.412</v>
      </c>
      <c r="H341" s="10">
        <f>INDEX(Products!$C$2:$C$101,MATCH(C341,Products!$A$2:$A$101,0))</f>
        <v>8</v>
      </c>
      <c r="I341" s="10" t="str">
        <f>INDEX(Categories!$B$2:$B$11,MATCH(H341,Categories!$A$2:$A$11,0))</f>
        <v>Health &amp; Beauty</v>
      </c>
      <c r="J341" s="19">
        <f>INDEX(Products!$E$2:$E$101,MATCH(C341,Products!$A$2:$A$101,0))</f>
        <v>214.44</v>
      </c>
      <c r="K341" s="19">
        <f t="shared" si="16"/>
        <v>857.76</v>
      </c>
      <c r="L341" s="19">
        <f t="shared" si="17"/>
        <v>494.65200000000004</v>
      </c>
    </row>
    <row r="342" spans="1:12" ht="15" customHeight="1" x14ac:dyDescent="0.25">
      <c r="A342" s="10">
        <v>341</v>
      </c>
      <c r="B342" s="10">
        <v>110</v>
      </c>
      <c r="C342" s="10">
        <v>4</v>
      </c>
      <c r="D342" s="10">
        <v>5</v>
      </c>
      <c r="E342" s="19">
        <v>419.61</v>
      </c>
      <c r="F342" s="10">
        <v>0</v>
      </c>
      <c r="G342" s="19">
        <f t="shared" si="15"/>
        <v>2098.0500000000002</v>
      </c>
      <c r="H342" s="10">
        <f>INDEX(Products!$C$2:$C$101,MATCH(C342,Products!$A$2:$A$101,0))</f>
        <v>1</v>
      </c>
      <c r="I342" s="10" t="str">
        <f>INDEX(Categories!$B$2:$B$11,MATCH(H342,Categories!$A$2:$A$11,0))</f>
        <v>Electronics</v>
      </c>
      <c r="J342" s="19">
        <f>INDEX(Products!$E$2:$E$101,MATCH(C342,Products!$A$2:$A$101,0))</f>
        <v>200.14</v>
      </c>
      <c r="K342" s="19">
        <f t="shared" si="16"/>
        <v>1000.6999999999999</v>
      </c>
      <c r="L342" s="19">
        <f t="shared" si="17"/>
        <v>1097.3500000000004</v>
      </c>
    </row>
    <row r="343" spans="1:12" ht="15" customHeight="1" x14ac:dyDescent="0.25">
      <c r="A343" s="10">
        <v>342</v>
      </c>
      <c r="B343" s="10">
        <v>111</v>
      </c>
      <c r="C343" s="10">
        <v>98</v>
      </c>
      <c r="D343" s="10">
        <v>8</v>
      </c>
      <c r="E343" s="19">
        <v>67.48</v>
      </c>
      <c r="F343" s="10">
        <v>0.1</v>
      </c>
      <c r="G343" s="19">
        <f t="shared" si="15"/>
        <v>485.85600000000005</v>
      </c>
      <c r="H343" s="10">
        <f>INDEX(Products!$C$2:$C$101,MATCH(C343,Products!$A$2:$A$101,0))</f>
        <v>10</v>
      </c>
      <c r="I343" s="10" t="str">
        <f>INDEX(Categories!$B$2:$B$11,MATCH(H343,Categories!$A$2:$A$11,0))</f>
        <v>Groceries</v>
      </c>
      <c r="J343" s="19">
        <f>INDEX(Products!$E$2:$E$101,MATCH(C343,Products!$A$2:$A$101,0))</f>
        <v>35.64</v>
      </c>
      <c r="K343" s="19">
        <f t="shared" si="16"/>
        <v>285.12</v>
      </c>
      <c r="L343" s="19">
        <f t="shared" si="17"/>
        <v>200.73600000000005</v>
      </c>
    </row>
    <row r="344" spans="1:12" ht="15" customHeight="1" x14ac:dyDescent="0.25">
      <c r="A344" s="10">
        <v>343</v>
      </c>
      <c r="B344" s="10">
        <v>112</v>
      </c>
      <c r="C344" s="10">
        <v>12</v>
      </c>
      <c r="D344" s="10">
        <v>4</v>
      </c>
      <c r="E344" s="19">
        <v>219.11</v>
      </c>
      <c r="F344" s="10">
        <v>0</v>
      </c>
      <c r="G344" s="19">
        <f t="shared" si="15"/>
        <v>876.44</v>
      </c>
      <c r="H344" s="10">
        <f>INDEX(Products!$C$2:$C$101,MATCH(C344,Products!$A$2:$A$101,0))</f>
        <v>2</v>
      </c>
      <c r="I344" s="10" t="str">
        <f>INDEX(Categories!$B$2:$B$11,MATCH(H344,Categories!$A$2:$A$11,0))</f>
        <v>Office Supplies</v>
      </c>
      <c r="J344" s="19">
        <f>INDEX(Products!$E$2:$E$101,MATCH(C344,Products!$A$2:$A$101,0))</f>
        <v>142.30000000000001</v>
      </c>
      <c r="K344" s="19">
        <f t="shared" si="16"/>
        <v>569.20000000000005</v>
      </c>
      <c r="L344" s="19">
        <f t="shared" si="17"/>
        <v>307.24</v>
      </c>
    </row>
    <row r="345" spans="1:12" ht="15" customHeight="1" x14ac:dyDescent="0.25">
      <c r="A345" s="10">
        <v>344</v>
      </c>
      <c r="B345" s="10">
        <v>112</v>
      </c>
      <c r="C345" s="10">
        <v>57</v>
      </c>
      <c r="D345" s="10">
        <v>10</v>
      </c>
      <c r="E345" s="19">
        <v>357.27</v>
      </c>
      <c r="F345" s="10">
        <v>0.15</v>
      </c>
      <c r="G345" s="19">
        <f t="shared" si="15"/>
        <v>3036.7949999999996</v>
      </c>
      <c r="H345" s="10">
        <f>INDEX(Products!$C$2:$C$101,MATCH(C345,Products!$A$2:$A$101,0))</f>
        <v>6</v>
      </c>
      <c r="I345" s="10" t="str">
        <f>INDEX(Categories!$B$2:$B$11,MATCH(H345,Categories!$A$2:$A$11,0))</f>
        <v>Sporting Goods</v>
      </c>
      <c r="J345" s="19">
        <f>INDEX(Products!$E$2:$E$101,MATCH(C345,Products!$A$2:$A$101,0))</f>
        <v>214.86</v>
      </c>
      <c r="K345" s="19">
        <f t="shared" si="16"/>
        <v>2148.6000000000004</v>
      </c>
      <c r="L345" s="19">
        <f t="shared" si="17"/>
        <v>888.19499999999925</v>
      </c>
    </row>
    <row r="346" spans="1:12" ht="15" customHeight="1" x14ac:dyDescent="0.25">
      <c r="A346" s="10">
        <v>345</v>
      </c>
      <c r="B346" s="10">
        <v>112</v>
      </c>
      <c r="C346" s="10">
        <v>16</v>
      </c>
      <c r="D346" s="10">
        <v>6</v>
      </c>
      <c r="E346" s="19">
        <v>345.42</v>
      </c>
      <c r="F346" s="10">
        <v>0.2</v>
      </c>
      <c r="G346" s="19">
        <f t="shared" si="15"/>
        <v>1658.0160000000001</v>
      </c>
      <c r="H346" s="10">
        <f>INDEX(Products!$C$2:$C$101,MATCH(C346,Products!$A$2:$A$101,0))</f>
        <v>2</v>
      </c>
      <c r="I346" s="10" t="str">
        <f>INDEX(Categories!$B$2:$B$11,MATCH(H346,Categories!$A$2:$A$11,0))</f>
        <v>Office Supplies</v>
      </c>
      <c r="J346" s="19">
        <f>INDEX(Products!$E$2:$E$101,MATCH(C346,Products!$A$2:$A$101,0))</f>
        <v>173.58</v>
      </c>
      <c r="K346" s="19">
        <f t="shared" si="16"/>
        <v>1041.48</v>
      </c>
      <c r="L346" s="19">
        <f t="shared" si="17"/>
        <v>616.53600000000006</v>
      </c>
    </row>
    <row r="347" spans="1:12" ht="15" customHeight="1" x14ac:dyDescent="0.25">
      <c r="A347" s="10">
        <v>346</v>
      </c>
      <c r="B347" s="10">
        <v>113</v>
      </c>
      <c r="C347" s="10">
        <v>69</v>
      </c>
      <c r="D347" s="10">
        <v>9</v>
      </c>
      <c r="E347" s="19">
        <v>188.38</v>
      </c>
      <c r="F347" s="10">
        <v>0</v>
      </c>
      <c r="G347" s="19">
        <f t="shared" si="15"/>
        <v>1695.42</v>
      </c>
      <c r="H347" s="10">
        <f>INDEX(Products!$C$2:$C$101,MATCH(C347,Products!$A$2:$A$101,0))</f>
        <v>7</v>
      </c>
      <c r="I347" s="10" t="str">
        <f>INDEX(Categories!$B$2:$B$11,MATCH(H347,Categories!$A$2:$A$11,0))</f>
        <v>Toys &amp; Games</v>
      </c>
      <c r="J347" s="19">
        <f>INDEX(Products!$E$2:$E$101,MATCH(C347,Products!$A$2:$A$101,0))</f>
        <v>86.95</v>
      </c>
      <c r="K347" s="19">
        <f t="shared" si="16"/>
        <v>782.55000000000007</v>
      </c>
      <c r="L347" s="19">
        <f t="shared" si="17"/>
        <v>912.87</v>
      </c>
    </row>
    <row r="348" spans="1:12" ht="15" customHeight="1" x14ac:dyDescent="0.25">
      <c r="A348" s="10">
        <v>347</v>
      </c>
      <c r="B348" s="10">
        <v>113</v>
      </c>
      <c r="C348" s="10">
        <v>36</v>
      </c>
      <c r="D348" s="10">
        <v>6</v>
      </c>
      <c r="E348" s="19">
        <v>472.77</v>
      </c>
      <c r="F348" s="10">
        <v>0.15</v>
      </c>
      <c r="G348" s="19">
        <f t="shared" si="15"/>
        <v>2411.127</v>
      </c>
      <c r="H348" s="10">
        <f>INDEX(Products!$C$2:$C$101,MATCH(C348,Products!$A$2:$A$101,0))</f>
        <v>4</v>
      </c>
      <c r="I348" s="10" t="str">
        <f>INDEX(Categories!$B$2:$B$11,MATCH(H348,Categories!$A$2:$A$11,0))</f>
        <v>Apparel</v>
      </c>
      <c r="J348" s="19">
        <f>INDEX(Products!$E$2:$E$101,MATCH(C348,Products!$A$2:$A$101,0))</f>
        <v>236.19</v>
      </c>
      <c r="K348" s="19">
        <f t="shared" si="16"/>
        <v>1417.1399999999999</v>
      </c>
      <c r="L348" s="19">
        <f t="shared" si="17"/>
        <v>993.98700000000008</v>
      </c>
    </row>
    <row r="349" spans="1:12" ht="15" customHeight="1" x14ac:dyDescent="0.25">
      <c r="A349" s="10">
        <v>348</v>
      </c>
      <c r="B349" s="10">
        <v>113</v>
      </c>
      <c r="C349" s="10">
        <v>77</v>
      </c>
      <c r="D349" s="10">
        <v>5</v>
      </c>
      <c r="E349" s="19">
        <v>87.18</v>
      </c>
      <c r="F349" s="10">
        <v>0</v>
      </c>
      <c r="G349" s="19">
        <f t="shared" si="15"/>
        <v>435.90000000000003</v>
      </c>
      <c r="H349" s="10">
        <f>INDEX(Products!$C$2:$C$101,MATCH(C349,Products!$A$2:$A$101,0))</f>
        <v>8</v>
      </c>
      <c r="I349" s="10" t="str">
        <f>INDEX(Categories!$B$2:$B$11,MATCH(H349,Categories!$A$2:$A$11,0))</f>
        <v>Health &amp; Beauty</v>
      </c>
      <c r="J349" s="19">
        <f>INDEX(Products!$E$2:$E$101,MATCH(C349,Products!$A$2:$A$101,0))</f>
        <v>38.61</v>
      </c>
      <c r="K349" s="19">
        <f t="shared" si="16"/>
        <v>193.05</v>
      </c>
      <c r="L349" s="19">
        <f t="shared" si="17"/>
        <v>242.85000000000002</v>
      </c>
    </row>
    <row r="350" spans="1:12" ht="15" customHeight="1" x14ac:dyDescent="0.25">
      <c r="A350" s="10">
        <v>349</v>
      </c>
      <c r="B350" s="10">
        <v>114</v>
      </c>
      <c r="C350" s="10">
        <v>84</v>
      </c>
      <c r="D350" s="10">
        <v>3</v>
      </c>
      <c r="E350" s="19">
        <v>258</v>
      </c>
      <c r="F350" s="10">
        <v>0</v>
      </c>
      <c r="G350" s="19">
        <f t="shared" si="15"/>
        <v>774</v>
      </c>
      <c r="H350" s="10">
        <f>INDEX(Products!$C$2:$C$101,MATCH(C350,Products!$A$2:$A$101,0))</f>
        <v>9</v>
      </c>
      <c r="I350" s="10" t="str">
        <f>INDEX(Categories!$B$2:$B$11,MATCH(H350,Categories!$A$2:$A$11,0))</f>
        <v>Automotive Parts</v>
      </c>
      <c r="J350" s="19">
        <f>INDEX(Products!$E$2:$E$101,MATCH(C350,Products!$A$2:$A$101,0))</f>
        <v>134.19999999999999</v>
      </c>
      <c r="K350" s="19">
        <f t="shared" si="16"/>
        <v>402.59999999999997</v>
      </c>
      <c r="L350" s="19">
        <f t="shared" si="17"/>
        <v>371.40000000000003</v>
      </c>
    </row>
    <row r="351" spans="1:12" ht="15" customHeight="1" x14ac:dyDescent="0.25">
      <c r="A351" s="10">
        <v>350</v>
      </c>
      <c r="B351" s="10">
        <v>114</v>
      </c>
      <c r="C351" s="10">
        <v>17</v>
      </c>
      <c r="D351" s="10">
        <v>3</v>
      </c>
      <c r="E351" s="19">
        <v>216.84</v>
      </c>
      <c r="F351" s="10">
        <v>0.15</v>
      </c>
      <c r="G351" s="19">
        <f t="shared" si="15"/>
        <v>552.94200000000001</v>
      </c>
      <c r="H351" s="10">
        <f>INDEX(Products!$C$2:$C$101,MATCH(C351,Products!$A$2:$A$101,0))</f>
        <v>2</v>
      </c>
      <c r="I351" s="10" t="str">
        <f>INDEX(Categories!$B$2:$B$11,MATCH(H351,Categories!$A$2:$A$11,0))</f>
        <v>Office Supplies</v>
      </c>
      <c r="J351" s="19">
        <f>INDEX(Products!$E$2:$E$101,MATCH(C351,Products!$A$2:$A$101,0))</f>
        <v>151.30000000000001</v>
      </c>
      <c r="K351" s="19">
        <f t="shared" si="16"/>
        <v>453.90000000000003</v>
      </c>
      <c r="L351" s="19">
        <f t="shared" si="17"/>
        <v>99.041999999999973</v>
      </c>
    </row>
    <row r="352" spans="1:12" ht="15" customHeight="1" x14ac:dyDescent="0.25">
      <c r="A352" s="10">
        <v>351</v>
      </c>
      <c r="B352" s="10">
        <v>114</v>
      </c>
      <c r="C352" s="10">
        <v>90</v>
      </c>
      <c r="D352" s="10">
        <v>6</v>
      </c>
      <c r="E352" s="19">
        <v>50.45</v>
      </c>
      <c r="F352" s="10">
        <v>0.2</v>
      </c>
      <c r="G352" s="19">
        <f t="shared" si="15"/>
        <v>242.16000000000005</v>
      </c>
      <c r="H352" s="10">
        <f>INDEX(Products!$C$2:$C$101,MATCH(C352,Products!$A$2:$A$101,0))</f>
        <v>9</v>
      </c>
      <c r="I352" s="10" t="str">
        <f>INDEX(Categories!$B$2:$B$11,MATCH(H352,Categories!$A$2:$A$11,0))</f>
        <v>Automotive Parts</v>
      </c>
      <c r="J352" s="19">
        <f>INDEX(Products!$E$2:$E$101,MATCH(C352,Products!$A$2:$A$101,0))</f>
        <v>29.34</v>
      </c>
      <c r="K352" s="19">
        <f t="shared" si="16"/>
        <v>176.04</v>
      </c>
      <c r="L352" s="19">
        <f t="shared" si="17"/>
        <v>66.120000000000061</v>
      </c>
    </row>
    <row r="353" spans="1:12" ht="15" customHeight="1" x14ac:dyDescent="0.25">
      <c r="A353" s="10">
        <v>352</v>
      </c>
      <c r="B353" s="10">
        <v>115</v>
      </c>
      <c r="C353" s="10">
        <v>49</v>
      </c>
      <c r="D353" s="10">
        <v>2</v>
      </c>
      <c r="E353" s="19">
        <v>30.6</v>
      </c>
      <c r="F353" s="10">
        <v>0.05</v>
      </c>
      <c r="G353" s="19">
        <f t="shared" si="15"/>
        <v>58.14</v>
      </c>
      <c r="H353" s="10">
        <f>INDEX(Products!$C$2:$C$101,MATCH(C353,Products!$A$2:$A$101,0))</f>
        <v>5</v>
      </c>
      <c r="I353" s="10" t="str">
        <f>INDEX(Categories!$B$2:$B$11,MATCH(H353,Categories!$A$2:$A$11,0))</f>
        <v>Home &amp; Kitchen</v>
      </c>
      <c r="J353" s="19">
        <f>INDEX(Products!$E$2:$E$101,MATCH(C353,Products!$A$2:$A$101,0))</f>
        <v>20.64</v>
      </c>
      <c r="K353" s="19">
        <f t="shared" si="16"/>
        <v>41.28</v>
      </c>
      <c r="L353" s="19">
        <f t="shared" si="17"/>
        <v>16.86</v>
      </c>
    </row>
    <row r="354" spans="1:12" ht="15" customHeight="1" x14ac:dyDescent="0.25">
      <c r="A354" s="10">
        <v>353</v>
      </c>
      <c r="B354" s="10">
        <v>115</v>
      </c>
      <c r="C354" s="10">
        <v>58</v>
      </c>
      <c r="D354" s="10">
        <v>9</v>
      </c>
      <c r="E354" s="19">
        <v>388.55</v>
      </c>
      <c r="F354" s="10">
        <v>0.15</v>
      </c>
      <c r="G354" s="19">
        <f t="shared" si="15"/>
        <v>2972.4075000000003</v>
      </c>
      <c r="H354" s="10">
        <f>INDEX(Products!$C$2:$C$101,MATCH(C354,Products!$A$2:$A$101,0))</f>
        <v>6</v>
      </c>
      <c r="I354" s="10" t="str">
        <f>INDEX(Categories!$B$2:$B$11,MATCH(H354,Categories!$A$2:$A$11,0))</f>
        <v>Sporting Goods</v>
      </c>
      <c r="J354" s="19">
        <f>INDEX(Products!$E$2:$E$101,MATCH(C354,Products!$A$2:$A$101,0))</f>
        <v>203.95</v>
      </c>
      <c r="K354" s="19">
        <f t="shared" si="16"/>
        <v>1835.55</v>
      </c>
      <c r="L354" s="19">
        <f t="shared" si="17"/>
        <v>1136.8575000000003</v>
      </c>
    </row>
    <row r="355" spans="1:12" ht="15" customHeight="1" x14ac:dyDescent="0.25">
      <c r="A355" s="10">
        <v>354</v>
      </c>
      <c r="B355" s="10">
        <v>115</v>
      </c>
      <c r="C355" s="10">
        <v>10</v>
      </c>
      <c r="D355" s="10">
        <v>5</v>
      </c>
      <c r="E355" s="19">
        <v>395.24</v>
      </c>
      <c r="F355" s="10">
        <v>0.15</v>
      </c>
      <c r="G355" s="19">
        <f t="shared" si="15"/>
        <v>1679.77</v>
      </c>
      <c r="H355" s="10">
        <f>INDEX(Products!$C$2:$C$101,MATCH(C355,Products!$A$2:$A$101,0))</f>
        <v>1</v>
      </c>
      <c r="I355" s="10" t="str">
        <f>INDEX(Categories!$B$2:$B$11,MATCH(H355,Categories!$A$2:$A$11,0))</f>
        <v>Electronics</v>
      </c>
      <c r="J355" s="19">
        <f>INDEX(Products!$E$2:$E$101,MATCH(C355,Products!$A$2:$A$101,0))</f>
        <v>195.96</v>
      </c>
      <c r="K355" s="19">
        <f t="shared" si="16"/>
        <v>979.80000000000007</v>
      </c>
      <c r="L355" s="19">
        <f t="shared" si="17"/>
        <v>699.96999999999991</v>
      </c>
    </row>
    <row r="356" spans="1:12" ht="15" customHeight="1" x14ac:dyDescent="0.25">
      <c r="A356" s="10">
        <v>355</v>
      </c>
      <c r="B356" s="10">
        <v>115</v>
      </c>
      <c r="C356" s="10">
        <v>82</v>
      </c>
      <c r="D356" s="10">
        <v>6</v>
      </c>
      <c r="E356" s="19">
        <v>390.74</v>
      </c>
      <c r="F356" s="10">
        <v>0.05</v>
      </c>
      <c r="G356" s="19">
        <f t="shared" si="15"/>
        <v>2227.2179999999998</v>
      </c>
      <c r="H356" s="10">
        <f>INDEX(Products!$C$2:$C$101,MATCH(C356,Products!$A$2:$A$101,0))</f>
        <v>9</v>
      </c>
      <c r="I356" s="10" t="str">
        <f>INDEX(Categories!$B$2:$B$11,MATCH(H356,Categories!$A$2:$A$11,0))</f>
        <v>Automotive Parts</v>
      </c>
      <c r="J356" s="19">
        <f>INDEX(Products!$E$2:$E$101,MATCH(C356,Products!$A$2:$A$101,0))</f>
        <v>218.53</v>
      </c>
      <c r="K356" s="19">
        <f t="shared" si="16"/>
        <v>1311.18</v>
      </c>
      <c r="L356" s="19">
        <f t="shared" si="17"/>
        <v>916.03799999999978</v>
      </c>
    </row>
    <row r="357" spans="1:12" ht="15" customHeight="1" x14ac:dyDescent="0.25">
      <c r="A357" s="10">
        <v>356</v>
      </c>
      <c r="B357" s="10">
        <v>116</v>
      </c>
      <c r="C357" s="10">
        <v>51</v>
      </c>
      <c r="D357" s="10">
        <v>6</v>
      </c>
      <c r="E357" s="19">
        <v>436.43</v>
      </c>
      <c r="F357" s="10">
        <v>0.2</v>
      </c>
      <c r="G357" s="19">
        <f t="shared" si="15"/>
        <v>2094.864</v>
      </c>
      <c r="H357" s="10">
        <f>INDEX(Products!$C$2:$C$101,MATCH(C357,Products!$A$2:$A$101,0))</f>
        <v>6</v>
      </c>
      <c r="I357" s="10" t="str">
        <f>INDEX(Categories!$B$2:$B$11,MATCH(H357,Categories!$A$2:$A$11,0))</f>
        <v>Sporting Goods</v>
      </c>
      <c r="J357" s="19">
        <f>INDEX(Products!$E$2:$E$101,MATCH(C357,Products!$A$2:$A$101,0))</f>
        <v>235.84</v>
      </c>
      <c r="K357" s="19">
        <f t="shared" si="16"/>
        <v>1415.04</v>
      </c>
      <c r="L357" s="19">
        <f t="shared" si="17"/>
        <v>679.82400000000007</v>
      </c>
    </row>
    <row r="358" spans="1:12" ht="15" customHeight="1" x14ac:dyDescent="0.25">
      <c r="A358" s="10">
        <v>357</v>
      </c>
      <c r="B358" s="10">
        <v>116</v>
      </c>
      <c r="C358" s="10">
        <v>28</v>
      </c>
      <c r="D358" s="10">
        <v>5</v>
      </c>
      <c r="E358" s="19">
        <v>149.97</v>
      </c>
      <c r="F358" s="10">
        <v>0</v>
      </c>
      <c r="G358" s="19">
        <f t="shared" si="15"/>
        <v>749.85</v>
      </c>
      <c r="H358" s="10">
        <f>INDEX(Products!$C$2:$C$101,MATCH(C358,Products!$A$2:$A$101,0))</f>
        <v>3</v>
      </c>
      <c r="I358" s="10" t="str">
        <f>INDEX(Categories!$B$2:$B$11,MATCH(H358,Categories!$A$2:$A$11,0))</f>
        <v>Furniture</v>
      </c>
      <c r="J358" s="19">
        <f>INDEX(Products!$E$2:$E$101,MATCH(C358,Products!$A$2:$A$101,0))</f>
        <v>113.7</v>
      </c>
      <c r="K358" s="19">
        <f t="shared" si="16"/>
        <v>568.5</v>
      </c>
      <c r="L358" s="19">
        <f t="shared" si="17"/>
        <v>181.35000000000002</v>
      </c>
    </row>
    <row r="359" spans="1:12" ht="15" customHeight="1" x14ac:dyDescent="0.25">
      <c r="A359" s="10">
        <v>358</v>
      </c>
      <c r="B359" s="10">
        <v>116</v>
      </c>
      <c r="C359" s="10">
        <v>55</v>
      </c>
      <c r="D359" s="10">
        <v>9</v>
      </c>
      <c r="E359" s="19">
        <v>378.27</v>
      </c>
      <c r="F359" s="10">
        <v>0.1</v>
      </c>
      <c r="G359" s="19">
        <f t="shared" si="15"/>
        <v>3063.9870000000001</v>
      </c>
      <c r="H359" s="10">
        <f>INDEX(Products!$C$2:$C$101,MATCH(C359,Products!$A$2:$A$101,0))</f>
        <v>6</v>
      </c>
      <c r="I359" s="10" t="str">
        <f>INDEX(Categories!$B$2:$B$11,MATCH(H359,Categories!$A$2:$A$11,0))</f>
        <v>Sporting Goods</v>
      </c>
      <c r="J359" s="19">
        <f>INDEX(Products!$E$2:$E$101,MATCH(C359,Products!$A$2:$A$101,0))</f>
        <v>163.92</v>
      </c>
      <c r="K359" s="19">
        <f t="shared" si="16"/>
        <v>1475.28</v>
      </c>
      <c r="L359" s="19">
        <f t="shared" si="17"/>
        <v>1588.7070000000001</v>
      </c>
    </row>
    <row r="360" spans="1:12" ht="15" customHeight="1" x14ac:dyDescent="0.25">
      <c r="A360" s="10">
        <v>359</v>
      </c>
      <c r="B360" s="10">
        <v>116</v>
      </c>
      <c r="C360" s="10">
        <v>64</v>
      </c>
      <c r="D360" s="10">
        <v>3</v>
      </c>
      <c r="E360" s="19">
        <v>265.25</v>
      </c>
      <c r="F360" s="10">
        <v>0.1</v>
      </c>
      <c r="G360" s="19">
        <f t="shared" si="15"/>
        <v>716.17500000000007</v>
      </c>
      <c r="H360" s="10">
        <f>INDEX(Products!$C$2:$C$101,MATCH(C360,Products!$A$2:$A$101,0))</f>
        <v>7</v>
      </c>
      <c r="I360" s="10" t="str">
        <f>INDEX(Categories!$B$2:$B$11,MATCH(H360,Categories!$A$2:$A$11,0))</f>
        <v>Toys &amp; Games</v>
      </c>
      <c r="J360" s="19">
        <f>INDEX(Products!$E$2:$E$101,MATCH(C360,Products!$A$2:$A$101,0))</f>
        <v>139.06</v>
      </c>
      <c r="K360" s="19">
        <f t="shared" si="16"/>
        <v>417.18</v>
      </c>
      <c r="L360" s="19">
        <f t="shared" si="17"/>
        <v>298.99500000000006</v>
      </c>
    </row>
    <row r="361" spans="1:12" ht="15" customHeight="1" x14ac:dyDescent="0.25">
      <c r="A361" s="10">
        <v>360</v>
      </c>
      <c r="B361" s="10">
        <v>116</v>
      </c>
      <c r="C361" s="10">
        <v>35</v>
      </c>
      <c r="D361" s="10">
        <v>8</v>
      </c>
      <c r="E361" s="19">
        <v>216.12</v>
      </c>
      <c r="F361" s="10">
        <v>0.2</v>
      </c>
      <c r="G361" s="19">
        <f t="shared" si="15"/>
        <v>1383.1680000000001</v>
      </c>
      <c r="H361" s="10">
        <f>INDEX(Products!$C$2:$C$101,MATCH(C361,Products!$A$2:$A$101,0))</f>
        <v>4</v>
      </c>
      <c r="I361" s="10" t="str">
        <f>INDEX(Categories!$B$2:$B$11,MATCH(H361,Categories!$A$2:$A$11,0))</f>
        <v>Apparel</v>
      </c>
      <c r="J361" s="19">
        <f>INDEX(Products!$E$2:$E$101,MATCH(C361,Products!$A$2:$A$101,0))</f>
        <v>134.93</v>
      </c>
      <c r="K361" s="19">
        <f t="shared" si="16"/>
        <v>1079.44</v>
      </c>
      <c r="L361" s="19">
        <f t="shared" si="17"/>
        <v>303.72800000000007</v>
      </c>
    </row>
    <row r="362" spans="1:12" ht="15" customHeight="1" x14ac:dyDescent="0.25">
      <c r="A362" s="10">
        <v>361</v>
      </c>
      <c r="B362" s="10">
        <v>117</v>
      </c>
      <c r="C362" s="10">
        <v>1</v>
      </c>
      <c r="D362" s="10">
        <v>3</v>
      </c>
      <c r="E362" s="19">
        <v>384.09</v>
      </c>
      <c r="F362" s="10">
        <v>0.15</v>
      </c>
      <c r="G362" s="19">
        <f t="shared" si="15"/>
        <v>979.42949999999996</v>
      </c>
      <c r="H362" s="10">
        <f>INDEX(Products!$C$2:$C$101,MATCH(C362,Products!$A$2:$A$101,0))</f>
        <v>1</v>
      </c>
      <c r="I362" s="10" t="str">
        <f>INDEX(Categories!$B$2:$B$11,MATCH(H362,Categories!$A$2:$A$11,0))</f>
        <v>Electronics</v>
      </c>
      <c r="J362" s="19">
        <f>INDEX(Products!$E$2:$E$101,MATCH(C362,Products!$A$2:$A$101,0))</f>
        <v>235.86</v>
      </c>
      <c r="K362" s="19">
        <f t="shared" si="16"/>
        <v>707.58</v>
      </c>
      <c r="L362" s="19">
        <f t="shared" si="17"/>
        <v>271.84949999999992</v>
      </c>
    </row>
    <row r="363" spans="1:12" ht="15" customHeight="1" x14ac:dyDescent="0.25">
      <c r="A363" s="10">
        <v>362</v>
      </c>
      <c r="B363" s="10">
        <v>117</v>
      </c>
      <c r="C363" s="10">
        <v>55</v>
      </c>
      <c r="D363" s="10">
        <v>5</v>
      </c>
      <c r="E363" s="19">
        <v>378.27</v>
      </c>
      <c r="F363" s="10">
        <v>0</v>
      </c>
      <c r="G363" s="19">
        <f t="shared" si="15"/>
        <v>1891.35</v>
      </c>
      <c r="H363" s="10">
        <f>INDEX(Products!$C$2:$C$101,MATCH(C363,Products!$A$2:$A$101,0))</f>
        <v>6</v>
      </c>
      <c r="I363" s="10" t="str">
        <f>INDEX(Categories!$B$2:$B$11,MATCH(H363,Categories!$A$2:$A$11,0))</f>
        <v>Sporting Goods</v>
      </c>
      <c r="J363" s="19">
        <f>INDEX(Products!$E$2:$E$101,MATCH(C363,Products!$A$2:$A$101,0))</f>
        <v>163.92</v>
      </c>
      <c r="K363" s="19">
        <f t="shared" si="16"/>
        <v>819.59999999999991</v>
      </c>
      <c r="L363" s="19">
        <f t="shared" si="17"/>
        <v>1071.75</v>
      </c>
    </row>
    <row r="364" spans="1:12" ht="15" customHeight="1" x14ac:dyDescent="0.25">
      <c r="A364" s="10">
        <v>363</v>
      </c>
      <c r="B364" s="10">
        <v>117</v>
      </c>
      <c r="C364" s="10">
        <v>26</v>
      </c>
      <c r="D364" s="10">
        <v>5</v>
      </c>
      <c r="E364" s="19">
        <v>262.08</v>
      </c>
      <c r="F364" s="10">
        <v>0</v>
      </c>
      <c r="G364" s="19">
        <f t="shared" si="15"/>
        <v>1310.3999999999999</v>
      </c>
      <c r="H364" s="10">
        <f>INDEX(Products!$C$2:$C$101,MATCH(C364,Products!$A$2:$A$101,0))</f>
        <v>3</v>
      </c>
      <c r="I364" s="10" t="str">
        <f>INDEX(Categories!$B$2:$B$11,MATCH(H364,Categories!$A$2:$A$11,0))</f>
        <v>Furniture</v>
      </c>
      <c r="J364" s="19">
        <f>INDEX(Products!$E$2:$E$101,MATCH(C364,Products!$A$2:$A$101,0))</f>
        <v>140.28</v>
      </c>
      <c r="K364" s="19">
        <f t="shared" si="16"/>
        <v>701.4</v>
      </c>
      <c r="L364" s="19">
        <f t="shared" si="17"/>
        <v>608.99999999999989</v>
      </c>
    </row>
    <row r="365" spans="1:12" ht="15" customHeight="1" x14ac:dyDescent="0.25">
      <c r="A365" s="10">
        <v>364</v>
      </c>
      <c r="B365" s="10">
        <v>117</v>
      </c>
      <c r="C365" s="10">
        <v>89</v>
      </c>
      <c r="D365" s="10">
        <v>6</v>
      </c>
      <c r="E365" s="19">
        <v>312.76</v>
      </c>
      <c r="F365" s="10">
        <v>0</v>
      </c>
      <c r="G365" s="19">
        <f t="shared" si="15"/>
        <v>1876.56</v>
      </c>
      <c r="H365" s="10">
        <f>INDEX(Products!$C$2:$C$101,MATCH(C365,Products!$A$2:$A$101,0))</f>
        <v>9</v>
      </c>
      <c r="I365" s="10" t="str">
        <f>INDEX(Categories!$B$2:$B$11,MATCH(H365,Categories!$A$2:$A$11,0))</f>
        <v>Automotive Parts</v>
      </c>
      <c r="J365" s="19">
        <f>INDEX(Products!$E$2:$E$101,MATCH(C365,Products!$A$2:$A$101,0))</f>
        <v>173.51</v>
      </c>
      <c r="K365" s="19">
        <f t="shared" si="16"/>
        <v>1041.06</v>
      </c>
      <c r="L365" s="19">
        <f t="shared" si="17"/>
        <v>835.5</v>
      </c>
    </row>
    <row r="366" spans="1:12" ht="15" customHeight="1" x14ac:dyDescent="0.25">
      <c r="A366" s="10">
        <v>365</v>
      </c>
      <c r="B366" s="10">
        <v>118</v>
      </c>
      <c r="C366" s="10">
        <v>55</v>
      </c>
      <c r="D366" s="10">
        <v>2</v>
      </c>
      <c r="E366" s="19">
        <v>378.27</v>
      </c>
      <c r="F366" s="10">
        <v>0.15</v>
      </c>
      <c r="G366" s="19">
        <f t="shared" si="15"/>
        <v>643.05899999999997</v>
      </c>
      <c r="H366" s="10">
        <f>INDEX(Products!$C$2:$C$101,MATCH(C366,Products!$A$2:$A$101,0))</f>
        <v>6</v>
      </c>
      <c r="I366" s="10" t="str">
        <f>INDEX(Categories!$B$2:$B$11,MATCH(H366,Categories!$A$2:$A$11,0))</f>
        <v>Sporting Goods</v>
      </c>
      <c r="J366" s="19">
        <f>INDEX(Products!$E$2:$E$101,MATCH(C366,Products!$A$2:$A$101,0))</f>
        <v>163.92</v>
      </c>
      <c r="K366" s="19">
        <f t="shared" si="16"/>
        <v>327.84</v>
      </c>
      <c r="L366" s="19">
        <f t="shared" si="17"/>
        <v>315.21899999999999</v>
      </c>
    </row>
    <row r="367" spans="1:12" ht="15" customHeight="1" x14ac:dyDescent="0.25">
      <c r="A367" s="10">
        <v>366</v>
      </c>
      <c r="B367" s="10">
        <v>118</v>
      </c>
      <c r="C367" s="10">
        <v>84</v>
      </c>
      <c r="D367" s="10">
        <v>2</v>
      </c>
      <c r="E367" s="19">
        <v>258</v>
      </c>
      <c r="F367" s="10">
        <v>0</v>
      </c>
      <c r="G367" s="19">
        <f t="shared" si="15"/>
        <v>516</v>
      </c>
      <c r="H367" s="10">
        <f>INDEX(Products!$C$2:$C$101,MATCH(C367,Products!$A$2:$A$101,0))</f>
        <v>9</v>
      </c>
      <c r="I367" s="10" t="str">
        <f>INDEX(Categories!$B$2:$B$11,MATCH(H367,Categories!$A$2:$A$11,0))</f>
        <v>Automotive Parts</v>
      </c>
      <c r="J367" s="19">
        <f>INDEX(Products!$E$2:$E$101,MATCH(C367,Products!$A$2:$A$101,0))</f>
        <v>134.19999999999999</v>
      </c>
      <c r="K367" s="19">
        <f t="shared" si="16"/>
        <v>268.39999999999998</v>
      </c>
      <c r="L367" s="19">
        <f t="shared" si="17"/>
        <v>247.60000000000002</v>
      </c>
    </row>
    <row r="368" spans="1:12" ht="15" customHeight="1" x14ac:dyDescent="0.25">
      <c r="A368" s="10">
        <v>367</v>
      </c>
      <c r="B368" s="10">
        <v>119</v>
      </c>
      <c r="C368" s="10">
        <v>88</v>
      </c>
      <c r="D368" s="10">
        <v>2</v>
      </c>
      <c r="E368" s="19">
        <v>188.36</v>
      </c>
      <c r="F368" s="10">
        <v>0.2</v>
      </c>
      <c r="G368" s="19">
        <f t="shared" si="15"/>
        <v>301.37600000000003</v>
      </c>
      <c r="H368" s="10">
        <f>INDEX(Products!$C$2:$C$101,MATCH(C368,Products!$A$2:$A$101,0))</f>
        <v>9</v>
      </c>
      <c r="I368" s="10" t="str">
        <f>INDEX(Categories!$B$2:$B$11,MATCH(H368,Categories!$A$2:$A$11,0))</f>
        <v>Automotive Parts</v>
      </c>
      <c r="J368" s="19">
        <f>INDEX(Products!$E$2:$E$101,MATCH(C368,Products!$A$2:$A$101,0))</f>
        <v>112.11</v>
      </c>
      <c r="K368" s="19">
        <f t="shared" si="16"/>
        <v>224.22</v>
      </c>
      <c r="L368" s="19">
        <f t="shared" si="17"/>
        <v>77.156000000000034</v>
      </c>
    </row>
    <row r="369" spans="1:12" ht="15" customHeight="1" x14ac:dyDescent="0.25">
      <c r="A369" s="10">
        <v>368</v>
      </c>
      <c r="B369" s="10">
        <v>119</v>
      </c>
      <c r="C369" s="10">
        <v>57</v>
      </c>
      <c r="D369" s="10">
        <v>7</v>
      </c>
      <c r="E369" s="19">
        <v>357.27</v>
      </c>
      <c r="F369" s="10">
        <v>0.15</v>
      </c>
      <c r="G369" s="19">
        <f t="shared" si="15"/>
        <v>2125.7565</v>
      </c>
      <c r="H369" s="10">
        <f>INDEX(Products!$C$2:$C$101,MATCH(C369,Products!$A$2:$A$101,0))</f>
        <v>6</v>
      </c>
      <c r="I369" s="10" t="str">
        <f>INDEX(Categories!$B$2:$B$11,MATCH(H369,Categories!$A$2:$A$11,0))</f>
        <v>Sporting Goods</v>
      </c>
      <c r="J369" s="19">
        <f>INDEX(Products!$E$2:$E$101,MATCH(C369,Products!$A$2:$A$101,0))</f>
        <v>214.86</v>
      </c>
      <c r="K369" s="19">
        <f t="shared" si="16"/>
        <v>1504.02</v>
      </c>
      <c r="L369" s="19">
        <f t="shared" si="17"/>
        <v>621.73649999999998</v>
      </c>
    </row>
    <row r="370" spans="1:12" ht="15" customHeight="1" x14ac:dyDescent="0.25">
      <c r="A370" s="10">
        <v>369</v>
      </c>
      <c r="B370" s="10">
        <v>119</v>
      </c>
      <c r="C370" s="10">
        <v>2</v>
      </c>
      <c r="D370" s="10">
        <v>3</v>
      </c>
      <c r="E370" s="19">
        <v>286.57</v>
      </c>
      <c r="F370" s="10">
        <v>0.05</v>
      </c>
      <c r="G370" s="19">
        <f t="shared" si="15"/>
        <v>816.72450000000003</v>
      </c>
      <c r="H370" s="10">
        <f>INDEX(Products!$C$2:$C$101,MATCH(C370,Products!$A$2:$A$101,0))</f>
        <v>1</v>
      </c>
      <c r="I370" s="10" t="str">
        <f>INDEX(Categories!$B$2:$B$11,MATCH(H370,Categories!$A$2:$A$11,0))</f>
        <v>Electronics</v>
      </c>
      <c r="J370" s="19">
        <f>INDEX(Products!$E$2:$E$101,MATCH(C370,Products!$A$2:$A$101,0))</f>
        <v>135.94</v>
      </c>
      <c r="K370" s="19">
        <f t="shared" si="16"/>
        <v>407.82</v>
      </c>
      <c r="L370" s="19">
        <f t="shared" si="17"/>
        <v>408.90450000000004</v>
      </c>
    </row>
    <row r="371" spans="1:12" ht="15" customHeight="1" x14ac:dyDescent="0.25">
      <c r="A371" s="10">
        <v>370</v>
      </c>
      <c r="B371" s="10">
        <v>119</v>
      </c>
      <c r="C371" s="10">
        <v>90</v>
      </c>
      <c r="D371" s="10">
        <v>2</v>
      </c>
      <c r="E371" s="19">
        <v>50.45</v>
      </c>
      <c r="F371" s="10">
        <v>0</v>
      </c>
      <c r="G371" s="19">
        <f t="shared" si="15"/>
        <v>100.9</v>
      </c>
      <c r="H371" s="10">
        <f>INDEX(Products!$C$2:$C$101,MATCH(C371,Products!$A$2:$A$101,0))</f>
        <v>9</v>
      </c>
      <c r="I371" s="10" t="str">
        <f>INDEX(Categories!$B$2:$B$11,MATCH(H371,Categories!$A$2:$A$11,0))</f>
        <v>Automotive Parts</v>
      </c>
      <c r="J371" s="19">
        <f>INDEX(Products!$E$2:$E$101,MATCH(C371,Products!$A$2:$A$101,0))</f>
        <v>29.34</v>
      </c>
      <c r="K371" s="19">
        <f t="shared" si="16"/>
        <v>58.68</v>
      </c>
      <c r="L371" s="19">
        <f t="shared" si="17"/>
        <v>42.220000000000006</v>
      </c>
    </row>
    <row r="372" spans="1:12" ht="15" customHeight="1" x14ac:dyDescent="0.25">
      <c r="A372" s="10">
        <v>371</v>
      </c>
      <c r="B372" s="10">
        <v>119</v>
      </c>
      <c r="C372" s="10">
        <v>44</v>
      </c>
      <c r="D372" s="10">
        <v>7</v>
      </c>
      <c r="E372" s="19">
        <v>111.7</v>
      </c>
      <c r="F372" s="10">
        <v>0</v>
      </c>
      <c r="G372" s="19">
        <f t="shared" si="15"/>
        <v>781.9</v>
      </c>
      <c r="H372" s="10">
        <f>INDEX(Products!$C$2:$C$101,MATCH(C372,Products!$A$2:$A$101,0))</f>
        <v>5</v>
      </c>
      <c r="I372" s="10" t="str">
        <f>INDEX(Categories!$B$2:$B$11,MATCH(H372,Categories!$A$2:$A$11,0))</f>
        <v>Home &amp; Kitchen</v>
      </c>
      <c r="J372" s="19">
        <f>INDEX(Products!$E$2:$E$101,MATCH(C372,Products!$A$2:$A$101,0))</f>
        <v>55.12</v>
      </c>
      <c r="K372" s="19">
        <f t="shared" si="16"/>
        <v>385.84</v>
      </c>
      <c r="L372" s="19">
        <f t="shared" si="17"/>
        <v>396.06</v>
      </c>
    </row>
    <row r="373" spans="1:12" ht="15" customHeight="1" x14ac:dyDescent="0.25">
      <c r="A373" s="10">
        <v>372</v>
      </c>
      <c r="B373" s="10">
        <v>120</v>
      </c>
      <c r="C373" s="10">
        <v>83</v>
      </c>
      <c r="D373" s="10">
        <v>3</v>
      </c>
      <c r="E373" s="19">
        <v>113.19</v>
      </c>
      <c r="F373" s="10">
        <v>0</v>
      </c>
      <c r="G373" s="19">
        <f t="shared" si="15"/>
        <v>339.57</v>
      </c>
      <c r="H373" s="10">
        <f>INDEX(Products!$C$2:$C$101,MATCH(C373,Products!$A$2:$A$101,0))</f>
        <v>9</v>
      </c>
      <c r="I373" s="10" t="str">
        <f>INDEX(Categories!$B$2:$B$11,MATCH(H373,Categories!$A$2:$A$11,0))</f>
        <v>Automotive Parts</v>
      </c>
      <c r="J373" s="19">
        <f>INDEX(Products!$E$2:$E$101,MATCH(C373,Products!$A$2:$A$101,0))</f>
        <v>83.12</v>
      </c>
      <c r="K373" s="19">
        <f t="shared" si="16"/>
        <v>249.36</v>
      </c>
      <c r="L373" s="19">
        <f t="shared" si="17"/>
        <v>90.20999999999998</v>
      </c>
    </row>
    <row r="374" spans="1:12" ht="15" customHeight="1" x14ac:dyDescent="0.25">
      <c r="A374" s="10">
        <v>373</v>
      </c>
      <c r="B374" s="10">
        <v>120</v>
      </c>
      <c r="C374" s="10">
        <v>87</v>
      </c>
      <c r="D374" s="10">
        <v>9</v>
      </c>
      <c r="E374" s="19">
        <v>407.7</v>
      </c>
      <c r="F374" s="10">
        <v>0.1</v>
      </c>
      <c r="G374" s="19">
        <f t="shared" si="15"/>
        <v>3302.37</v>
      </c>
      <c r="H374" s="10">
        <f>INDEX(Products!$C$2:$C$101,MATCH(C374,Products!$A$2:$A$101,0))</f>
        <v>9</v>
      </c>
      <c r="I374" s="10" t="str">
        <f>INDEX(Categories!$B$2:$B$11,MATCH(H374,Categories!$A$2:$A$11,0))</f>
        <v>Automotive Parts</v>
      </c>
      <c r="J374" s="19">
        <f>INDEX(Products!$E$2:$E$101,MATCH(C374,Products!$A$2:$A$101,0))</f>
        <v>225.03</v>
      </c>
      <c r="K374" s="19">
        <f t="shared" si="16"/>
        <v>2025.27</v>
      </c>
      <c r="L374" s="19">
        <f t="shared" si="17"/>
        <v>1277.0999999999999</v>
      </c>
    </row>
    <row r="375" spans="1:12" ht="15" customHeight="1" x14ac:dyDescent="0.25">
      <c r="A375" s="10">
        <v>374</v>
      </c>
      <c r="B375" s="10">
        <v>121</v>
      </c>
      <c r="C375" s="10">
        <v>28</v>
      </c>
      <c r="D375" s="10">
        <v>2</v>
      </c>
      <c r="E375" s="19">
        <v>149.97</v>
      </c>
      <c r="F375" s="10">
        <v>0.1</v>
      </c>
      <c r="G375" s="19">
        <f t="shared" si="15"/>
        <v>269.94600000000003</v>
      </c>
      <c r="H375" s="10">
        <f>INDEX(Products!$C$2:$C$101,MATCH(C375,Products!$A$2:$A$101,0))</f>
        <v>3</v>
      </c>
      <c r="I375" s="10" t="str">
        <f>INDEX(Categories!$B$2:$B$11,MATCH(H375,Categories!$A$2:$A$11,0))</f>
        <v>Furniture</v>
      </c>
      <c r="J375" s="19">
        <f>INDEX(Products!$E$2:$E$101,MATCH(C375,Products!$A$2:$A$101,0))</f>
        <v>113.7</v>
      </c>
      <c r="K375" s="19">
        <f t="shared" si="16"/>
        <v>227.4</v>
      </c>
      <c r="L375" s="19">
        <f t="shared" si="17"/>
        <v>42.546000000000021</v>
      </c>
    </row>
    <row r="376" spans="1:12" ht="15" customHeight="1" x14ac:dyDescent="0.25">
      <c r="A376" s="10">
        <v>375</v>
      </c>
      <c r="B376" s="10">
        <v>121</v>
      </c>
      <c r="C376" s="10">
        <v>12</v>
      </c>
      <c r="D376" s="10">
        <v>7</v>
      </c>
      <c r="E376" s="19">
        <v>219.11</v>
      </c>
      <c r="F376" s="10">
        <v>0</v>
      </c>
      <c r="G376" s="19">
        <f t="shared" si="15"/>
        <v>1533.77</v>
      </c>
      <c r="H376" s="10">
        <f>INDEX(Products!$C$2:$C$101,MATCH(C376,Products!$A$2:$A$101,0))</f>
        <v>2</v>
      </c>
      <c r="I376" s="10" t="str">
        <f>INDEX(Categories!$B$2:$B$11,MATCH(H376,Categories!$A$2:$A$11,0))</f>
        <v>Office Supplies</v>
      </c>
      <c r="J376" s="19">
        <f>INDEX(Products!$E$2:$E$101,MATCH(C376,Products!$A$2:$A$101,0))</f>
        <v>142.30000000000001</v>
      </c>
      <c r="K376" s="19">
        <f t="shared" si="16"/>
        <v>996.10000000000014</v>
      </c>
      <c r="L376" s="19">
        <f t="shared" si="17"/>
        <v>537.66999999999985</v>
      </c>
    </row>
    <row r="377" spans="1:12" ht="15" customHeight="1" x14ac:dyDescent="0.25">
      <c r="A377" s="10">
        <v>376</v>
      </c>
      <c r="B377" s="10">
        <v>121</v>
      </c>
      <c r="C377" s="10">
        <v>13</v>
      </c>
      <c r="D377" s="10">
        <v>7</v>
      </c>
      <c r="E377" s="19">
        <v>360.29</v>
      </c>
      <c r="F377" s="10">
        <v>0</v>
      </c>
      <c r="G377" s="19">
        <f t="shared" si="15"/>
        <v>2522.0300000000002</v>
      </c>
      <c r="H377" s="10">
        <f>INDEX(Products!$C$2:$C$101,MATCH(C377,Products!$A$2:$A$101,0))</f>
        <v>2</v>
      </c>
      <c r="I377" s="10" t="str">
        <f>INDEX(Categories!$B$2:$B$11,MATCH(H377,Categories!$A$2:$A$11,0))</f>
        <v>Office Supplies</v>
      </c>
      <c r="J377" s="19">
        <f>INDEX(Products!$E$2:$E$101,MATCH(C377,Products!$A$2:$A$101,0))</f>
        <v>152.66</v>
      </c>
      <c r="K377" s="19">
        <f t="shared" si="16"/>
        <v>1068.6199999999999</v>
      </c>
      <c r="L377" s="19">
        <f t="shared" si="17"/>
        <v>1453.4100000000003</v>
      </c>
    </row>
    <row r="378" spans="1:12" ht="15" customHeight="1" x14ac:dyDescent="0.25">
      <c r="A378" s="10">
        <v>377</v>
      </c>
      <c r="B378" s="10">
        <v>121</v>
      </c>
      <c r="C378" s="10">
        <v>18</v>
      </c>
      <c r="D378" s="10">
        <v>3</v>
      </c>
      <c r="E378" s="19">
        <v>185.81</v>
      </c>
      <c r="F378" s="10">
        <v>0</v>
      </c>
      <c r="G378" s="19">
        <f t="shared" si="15"/>
        <v>557.43000000000006</v>
      </c>
      <c r="H378" s="10">
        <f>INDEX(Products!$C$2:$C$101,MATCH(C378,Products!$A$2:$A$101,0))</f>
        <v>2</v>
      </c>
      <c r="I378" s="10" t="str">
        <f>INDEX(Categories!$B$2:$B$11,MATCH(H378,Categories!$A$2:$A$11,0))</f>
        <v>Office Supplies</v>
      </c>
      <c r="J378" s="19">
        <f>INDEX(Products!$E$2:$E$101,MATCH(C378,Products!$A$2:$A$101,0))</f>
        <v>108.81</v>
      </c>
      <c r="K378" s="19">
        <f t="shared" si="16"/>
        <v>326.43</v>
      </c>
      <c r="L378" s="19">
        <f t="shared" si="17"/>
        <v>231.00000000000006</v>
      </c>
    </row>
    <row r="379" spans="1:12" ht="15" customHeight="1" x14ac:dyDescent="0.25">
      <c r="A379" s="10">
        <v>378</v>
      </c>
      <c r="B379" s="10">
        <v>122</v>
      </c>
      <c r="C379" s="10">
        <v>66</v>
      </c>
      <c r="D379" s="10">
        <v>1</v>
      </c>
      <c r="E379" s="19">
        <v>155.88</v>
      </c>
      <c r="F379" s="10">
        <v>0.2</v>
      </c>
      <c r="G379" s="19">
        <f t="shared" si="15"/>
        <v>124.70400000000001</v>
      </c>
      <c r="H379" s="10">
        <f>INDEX(Products!$C$2:$C$101,MATCH(C379,Products!$A$2:$A$101,0))</f>
        <v>7</v>
      </c>
      <c r="I379" s="10" t="str">
        <f>INDEX(Categories!$B$2:$B$11,MATCH(H379,Categories!$A$2:$A$11,0))</f>
        <v>Toys &amp; Games</v>
      </c>
      <c r="J379" s="19">
        <f>INDEX(Products!$E$2:$E$101,MATCH(C379,Products!$A$2:$A$101,0))</f>
        <v>75.09</v>
      </c>
      <c r="K379" s="19">
        <f t="shared" si="16"/>
        <v>75.09</v>
      </c>
      <c r="L379" s="19">
        <f t="shared" si="17"/>
        <v>49.614000000000004</v>
      </c>
    </row>
    <row r="380" spans="1:12" ht="15" customHeight="1" x14ac:dyDescent="0.25">
      <c r="A380" s="10">
        <v>379</v>
      </c>
      <c r="B380" s="10">
        <v>122</v>
      </c>
      <c r="C380" s="10">
        <v>25</v>
      </c>
      <c r="D380" s="10">
        <v>4</v>
      </c>
      <c r="E380" s="19">
        <v>334.98</v>
      </c>
      <c r="F380" s="10">
        <v>0.05</v>
      </c>
      <c r="G380" s="19">
        <f t="shared" si="15"/>
        <v>1272.924</v>
      </c>
      <c r="H380" s="10">
        <f>INDEX(Products!$C$2:$C$101,MATCH(C380,Products!$A$2:$A$101,0))</f>
        <v>3</v>
      </c>
      <c r="I380" s="10" t="str">
        <f>INDEX(Categories!$B$2:$B$11,MATCH(H380,Categories!$A$2:$A$11,0))</f>
        <v>Furniture</v>
      </c>
      <c r="J380" s="19">
        <f>INDEX(Products!$E$2:$E$101,MATCH(C380,Products!$A$2:$A$101,0))</f>
        <v>200.06</v>
      </c>
      <c r="K380" s="19">
        <f t="shared" si="16"/>
        <v>800.24</v>
      </c>
      <c r="L380" s="19">
        <f t="shared" si="17"/>
        <v>472.68399999999997</v>
      </c>
    </row>
    <row r="381" spans="1:12" ht="15" customHeight="1" x14ac:dyDescent="0.25">
      <c r="A381" s="10">
        <v>380</v>
      </c>
      <c r="B381" s="10">
        <v>122</v>
      </c>
      <c r="C381" s="10">
        <v>96</v>
      </c>
      <c r="D381" s="10">
        <v>7</v>
      </c>
      <c r="E381" s="19">
        <v>266.72000000000003</v>
      </c>
      <c r="F381" s="10">
        <v>0</v>
      </c>
      <c r="G381" s="19">
        <f t="shared" si="15"/>
        <v>1867.0400000000002</v>
      </c>
      <c r="H381" s="10">
        <f>INDEX(Products!$C$2:$C$101,MATCH(C381,Products!$A$2:$A$101,0))</f>
        <v>10</v>
      </c>
      <c r="I381" s="10" t="str">
        <f>INDEX(Categories!$B$2:$B$11,MATCH(H381,Categories!$A$2:$A$11,0))</f>
        <v>Groceries</v>
      </c>
      <c r="J381" s="19">
        <f>INDEX(Products!$E$2:$E$101,MATCH(C381,Products!$A$2:$A$101,0))</f>
        <v>162.65</v>
      </c>
      <c r="K381" s="19">
        <f t="shared" si="16"/>
        <v>1138.55</v>
      </c>
      <c r="L381" s="19">
        <f t="shared" si="17"/>
        <v>728.49000000000024</v>
      </c>
    </row>
    <row r="382" spans="1:12" ht="15" customHeight="1" x14ac:dyDescent="0.25">
      <c r="A382" s="10">
        <v>381</v>
      </c>
      <c r="B382" s="10">
        <v>122</v>
      </c>
      <c r="C382" s="10">
        <v>51</v>
      </c>
      <c r="D382" s="10">
        <v>4</v>
      </c>
      <c r="E382" s="19">
        <v>436.43</v>
      </c>
      <c r="F382" s="10">
        <v>0.05</v>
      </c>
      <c r="G382" s="19">
        <f t="shared" si="15"/>
        <v>1658.434</v>
      </c>
      <c r="H382" s="10">
        <f>INDEX(Products!$C$2:$C$101,MATCH(C382,Products!$A$2:$A$101,0))</f>
        <v>6</v>
      </c>
      <c r="I382" s="10" t="str">
        <f>INDEX(Categories!$B$2:$B$11,MATCH(H382,Categories!$A$2:$A$11,0))</f>
        <v>Sporting Goods</v>
      </c>
      <c r="J382" s="19">
        <f>INDEX(Products!$E$2:$E$101,MATCH(C382,Products!$A$2:$A$101,0))</f>
        <v>235.84</v>
      </c>
      <c r="K382" s="19">
        <f t="shared" si="16"/>
        <v>943.36</v>
      </c>
      <c r="L382" s="19">
        <f t="shared" si="17"/>
        <v>715.07399999999996</v>
      </c>
    </row>
    <row r="383" spans="1:12" ht="15" customHeight="1" x14ac:dyDescent="0.25">
      <c r="A383" s="10">
        <v>382</v>
      </c>
      <c r="B383" s="10">
        <v>122</v>
      </c>
      <c r="C383" s="10">
        <v>38</v>
      </c>
      <c r="D383" s="10">
        <v>10</v>
      </c>
      <c r="E383" s="19">
        <v>146.91999999999999</v>
      </c>
      <c r="F383" s="10">
        <v>0</v>
      </c>
      <c r="G383" s="19">
        <f t="shared" si="15"/>
        <v>1469.1999999999998</v>
      </c>
      <c r="H383" s="10">
        <f>INDEX(Products!$C$2:$C$101,MATCH(C383,Products!$A$2:$A$101,0))</f>
        <v>4</v>
      </c>
      <c r="I383" s="10" t="str">
        <f>INDEX(Categories!$B$2:$B$11,MATCH(H383,Categories!$A$2:$A$11,0))</f>
        <v>Apparel</v>
      </c>
      <c r="J383" s="19">
        <f>INDEX(Products!$E$2:$E$101,MATCH(C383,Products!$A$2:$A$101,0))</f>
        <v>65.36</v>
      </c>
      <c r="K383" s="19">
        <f t="shared" si="16"/>
        <v>653.6</v>
      </c>
      <c r="L383" s="19">
        <f t="shared" si="17"/>
        <v>815.5999999999998</v>
      </c>
    </row>
    <row r="384" spans="1:12" ht="15" customHeight="1" x14ac:dyDescent="0.25">
      <c r="A384" s="10">
        <v>383</v>
      </c>
      <c r="B384" s="10">
        <v>123</v>
      </c>
      <c r="C384" s="10">
        <v>47</v>
      </c>
      <c r="D384" s="10">
        <v>8</v>
      </c>
      <c r="E384" s="19">
        <v>96.51</v>
      </c>
      <c r="F384" s="10">
        <v>0.2</v>
      </c>
      <c r="G384" s="19">
        <f t="shared" si="15"/>
        <v>617.6640000000001</v>
      </c>
      <c r="H384" s="10">
        <f>INDEX(Products!$C$2:$C$101,MATCH(C384,Products!$A$2:$A$101,0))</f>
        <v>5</v>
      </c>
      <c r="I384" s="10" t="str">
        <f>INDEX(Categories!$B$2:$B$11,MATCH(H384,Categories!$A$2:$A$11,0))</f>
        <v>Home &amp; Kitchen</v>
      </c>
      <c r="J384" s="19">
        <f>INDEX(Products!$E$2:$E$101,MATCH(C384,Products!$A$2:$A$101,0))</f>
        <v>60.66</v>
      </c>
      <c r="K384" s="19">
        <f t="shared" si="16"/>
        <v>485.28</v>
      </c>
      <c r="L384" s="19">
        <f t="shared" si="17"/>
        <v>132.38400000000013</v>
      </c>
    </row>
    <row r="385" spans="1:12" ht="15" customHeight="1" x14ac:dyDescent="0.25">
      <c r="A385" s="10">
        <v>384</v>
      </c>
      <c r="B385" s="10">
        <v>123</v>
      </c>
      <c r="C385" s="10">
        <v>70</v>
      </c>
      <c r="D385" s="10">
        <v>2</v>
      </c>
      <c r="E385" s="19">
        <v>149.31</v>
      </c>
      <c r="F385" s="10">
        <v>0</v>
      </c>
      <c r="G385" s="19">
        <f t="shared" si="15"/>
        <v>298.62</v>
      </c>
      <c r="H385" s="10">
        <f>INDEX(Products!$C$2:$C$101,MATCH(C385,Products!$A$2:$A$101,0))</f>
        <v>7</v>
      </c>
      <c r="I385" s="10" t="str">
        <f>INDEX(Categories!$B$2:$B$11,MATCH(H385,Categories!$A$2:$A$11,0))</f>
        <v>Toys &amp; Games</v>
      </c>
      <c r="J385" s="19">
        <f>INDEX(Products!$E$2:$E$101,MATCH(C385,Products!$A$2:$A$101,0))</f>
        <v>76.739999999999995</v>
      </c>
      <c r="K385" s="19">
        <f t="shared" si="16"/>
        <v>153.47999999999999</v>
      </c>
      <c r="L385" s="19">
        <f t="shared" si="17"/>
        <v>145.14000000000001</v>
      </c>
    </row>
    <row r="386" spans="1:12" ht="15" customHeight="1" x14ac:dyDescent="0.25">
      <c r="A386" s="10">
        <v>385</v>
      </c>
      <c r="B386" s="10">
        <v>123</v>
      </c>
      <c r="C386" s="10">
        <v>88</v>
      </c>
      <c r="D386" s="10">
        <v>10</v>
      </c>
      <c r="E386" s="19">
        <v>188.36</v>
      </c>
      <c r="F386" s="10">
        <v>0</v>
      </c>
      <c r="G386" s="19">
        <f t="shared" ref="G386:G449" si="18">D386*E386*(1-F386)</f>
        <v>1883.6000000000001</v>
      </c>
      <c r="H386" s="10">
        <f>INDEX(Products!$C$2:$C$101,MATCH(C386,Products!$A$2:$A$101,0))</f>
        <v>9</v>
      </c>
      <c r="I386" s="10" t="str">
        <f>INDEX(Categories!$B$2:$B$11,MATCH(H386,Categories!$A$2:$A$11,0))</f>
        <v>Automotive Parts</v>
      </c>
      <c r="J386" s="19">
        <f>INDEX(Products!$E$2:$E$101,MATCH(C386,Products!$A$2:$A$101,0))</f>
        <v>112.11</v>
      </c>
      <c r="K386" s="19">
        <f t="shared" ref="K386:K449" si="19">D386*J386</f>
        <v>1121.0999999999999</v>
      </c>
      <c r="L386" s="19">
        <f t="shared" ref="L386:L449" si="20">G386-K386</f>
        <v>762.50000000000023</v>
      </c>
    </row>
    <row r="387" spans="1:12" ht="15" customHeight="1" x14ac:dyDescent="0.25">
      <c r="A387" s="10">
        <v>386</v>
      </c>
      <c r="B387" s="10">
        <v>123</v>
      </c>
      <c r="C387" s="10">
        <v>23</v>
      </c>
      <c r="D387" s="10">
        <v>1</v>
      </c>
      <c r="E387" s="19">
        <v>346.21</v>
      </c>
      <c r="F387" s="10">
        <v>0</v>
      </c>
      <c r="G387" s="19">
        <f t="shared" si="18"/>
        <v>346.21</v>
      </c>
      <c r="H387" s="10">
        <f>INDEX(Products!$C$2:$C$101,MATCH(C387,Products!$A$2:$A$101,0))</f>
        <v>3</v>
      </c>
      <c r="I387" s="10" t="str">
        <f>INDEX(Categories!$B$2:$B$11,MATCH(H387,Categories!$A$2:$A$11,0))</f>
        <v>Furniture</v>
      </c>
      <c r="J387" s="19">
        <f>INDEX(Products!$E$2:$E$101,MATCH(C387,Products!$A$2:$A$101,0))</f>
        <v>220.76</v>
      </c>
      <c r="K387" s="19">
        <f t="shared" si="19"/>
        <v>220.76</v>
      </c>
      <c r="L387" s="19">
        <f t="shared" si="20"/>
        <v>125.44999999999999</v>
      </c>
    </row>
    <row r="388" spans="1:12" ht="15" customHeight="1" x14ac:dyDescent="0.25">
      <c r="A388" s="10">
        <v>387</v>
      </c>
      <c r="B388" s="10">
        <v>124</v>
      </c>
      <c r="C388" s="10">
        <v>81</v>
      </c>
      <c r="D388" s="10">
        <v>7</v>
      </c>
      <c r="E388" s="19">
        <v>529</v>
      </c>
      <c r="F388" s="10">
        <v>0.05</v>
      </c>
      <c r="G388" s="19">
        <f t="shared" si="18"/>
        <v>3517.85</v>
      </c>
      <c r="H388" s="10">
        <f>INDEX(Products!$C$2:$C$101,MATCH(C388,Products!$A$2:$A$101,0))</f>
        <v>9</v>
      </c>
      <c r="I388" s="10" t="str">
        <f>INDEX(Categories!$B$2:$B$11,MATCH(H388,Categories!$A$2:$A$11,0))</f>
        <v>Automotive Parts</v>
      </c>
      <c r="J388" s="19">
        <f>INDEX(Products!$E$2:$E$101,MATCH(C388,Products!$A$2:$A$101,0))</f>
        <v>249.36</v>
      </c>
      <c r="K388" s="19">
        <f t="shared" si="19"/>
        <v>1745.52</v>
      </c>
      <c r="L388" s="19">
        <f t="shared" si="20"/>
        <v>1772.33</v>
      </c>
    </row>
    <row r="389" spans="1:12" ht="15" customHeight="1" x14ac:dyDescent="0.25">
      <c r="A389" s="10">
        <v>388</v>
      </c>
      <c r="B389" s="10">
        <v>124</v>
      </c>
      <c r="C389" s="10">
        <v>92</v>
      </c>
      <c r="D389" s="10">
        <v>7</v>
      </c>
      <c r="E389" s="19">
        <v>467.17</v>
      </c>
      <c r="F389" s="10">
        <v>0</v>
      </c>
      <c r="G389" s="19">
        <f t="shared" si="18"/>
        <v>3270.19</v>
      </c>
      <c r="H389" s="10">
        <f>INDEX(Products!$C$2:$C$101,MATCH(C389,Products!$A$2:$A$101,0))</f>
        <v>10</v>
      </c>
      <c r="I389" s="10" t="str">
        <f>INDEX(Categories!$B$2:$B$11,MATCH(H389,Categories!$A$2:$A$11,0))</f>
        <v>Groceries</v>
      </c>
      <c r="J389" s="19">
        <f>INDEX(Products!$E$2:$E$101,MATCH(C389,Products!$A$2:$A$101,0))</f>
        <v>216.67</v>
      </c>
      <c r="K389" s="19">
        <f t="shared" si="19"/>
        <v>1516.6899999999998</v>
      </c>
      <c r="L389" s="19">
        <f t="shared" si="20"/>
        <v>1753.5000000000002</v>
      </c>
    </row>
    <row r="390" spans="1:12" ht="15" customHeight="1" x14ac:dyDescent="0.25">
      <c r="A390" s="10">
        <v>389</v>
      </c>
      <c r="B390" s="10">
        <v>124</v>
      </c>
      <c r="C390" s="10">
        <v>65</v>
      </c>
      <c r="D390" s="10">
        <v>9</v>
      </c>
      <c r="E390" s="19">
        <v>167.19</v>
      </c>
      <c r="F390" s="10">
        <v>0.1</v>
      </c>
      <c r="G390" s="19">
        <f t="shared" si="18"/>
        <v>1354.239</v>
      </c>
      <c r="H390" s="10">
        <f>INDEX(Products!$C$2:$C$101,MATCH(C390,Products!$A$2:$A$101,0))</f>
        <v>7</v>
      </c>
      <c r="I390" s="10" t="str">
        <f>INDEX(Categories!$B$2:$B$11,MATCH(H390,Categories!$A$2:$A$11,0))</f>
        <v>Toys &amp; Games</v>
      </c>
      <c r="J390" s="19">
        <f>INDEX(Products!$E$2:$E$101,MATCH(C390,Products!$A$2:$A$101,0))</f>
        <v>116.98</v>
      </c>
      <c r="K390" s="19">
        <f t="shared" si="19"/>
        <v>1052.82</v>
      </c>
      <c r="L390" s="19">
        <f t="shared" si="20"/>
        <v>301.4190000000001</v>
      </c>
    </row>
    <row r="391" spans="1:12" ht="15" customHeight="1" x14ac:dyDescent="0.25">
      <c r="A391" s="10">
        <v>390</v>
      </c>
      <c r="B391" s="10">
        <v>125</v>
      </c>
      <c r="C391" s="10">
        <v>27</v>
      </c>
      <c r="D391" s="10">
        <v>10</v>
      </c>
      <c r="E391" s="19">
        <v>263.93</v>
      </c>
      <c r="F391" s="10">
        <v>0.15</v>
      </c>
      <c r="G391" s="19">
        <f t="shared" si="18"/>
        <v>2243.4050000000002</v>
      </c>
      <c r="H391" s="10">
        <f>INDEX(Products!$C$2:$C$101,MATCH(C391,Products!$A$2:$A$101,0))</f>
        <v>3</v>
      </c>
      <c r="I391" s="10" t="str">
        <f>INDEX(Categories!$B$2:$B$11,MATCH(H391,Categories!$A$2:$A$11,0))</f>
        <v>Furniture</v>
      </c>
      <c r="J391" s="19">
        <f>INDEX(Products!$E$2:$E$101,MATCH(C391,Products!$A$2:$A$101,0))</f>
        <v>123.68</v>
      </c>
      <c r="K391" s="19">
        <f t="shared" si="19"/>
        <v>1236.8000000000002</v>
      </c>
      <c r="L391" s="19">
        <f t="shared" si="20"/>
        <v>1006.605</v>
      </c>
    </row>
    <row r="392" spans="1:12" ht="15" customHeight="1" x14ac:dyDescent="0.25">
      <c r="A392" s="10">
        <v>391</v>
      </c>
      <c r="B392" s="10">
        <v>125</v>
      </c>
      <c r="C392" s="10">
        <v>20</v>
      </c>
      <c r="D392" s="10">
        <v>2</v>
      </c>
      <c r="E392" s="19">
        <v>316.14999999999998</v>
      </c>
      <c r="F392" s="10">
        <v>0</v>
      </c>
      <c r="G392" s="19">
        <f t="shared" si="18"/>
        <v>632.29999999999995</v>
      </c>
      <c r="H392" s="10">
        <f>INDEX(Products!$C$2:$C$101,MATCH(C392,Products!$A$2:$A$101,0))</f>
        <v>2</v>
      </c>
      <c r="I392" s="10" t="str">
        <f>INDEX(Categories!$B$2:$B$11,MATCH(H392,Categories!$A$2:$A$11,0))</f>
        <v>Office Supplies</v>
      </c>
      <c r="J392" s="19">
        <f>INDEX(Products!$E$2:$E$101,MATCH(C392,Products!$A$2:$A$101,0))</f>
        <v>177.71</v>
      </c>
      <c r="K392" s="19">
        <f t="shared" si="19"/>
        <v>355.42</v>
      </c>
      <c r="L392" s="19">
        <f t="shared" si="20"/>
        <v>276.87999999999994</v>
      </c>
    </row>
    <row r="393" spans="1:12" ht="15" customHeight="1" x14ac:dyDescent="0.25">
      <c r="A393" s="10">
        <v>392</v>
      </c>
      <c r="B393" s="10">
        <v>125</v>
      </c>
      <c r="C393" s="10">
        <v>69</v>
      </c>
      <c r="D393" s="10">
        <v>7</v>
      </c>
      <c r="E393" s="19">
        <v>188.38</v>
      </c>
      <c r="F393" s="10">
        <v>0.15</v>
      </c>
      <c r="G393" s="19">
        <f t="shared" si="18"/>
        <v>1120.8609999999999</v>
      </c>
      <c r="H393" s="10">
        <f>INDEX(Products!$C$2:$C$101,MATCH(C393,Products!$A$2:$A$101,0))</f>
        <v>7</v>
      </c>
      <c r="I393" s="10" t="str">
        <f>INDEX(Categories!$B$2:$B$11,MATCH(H393,Categories!$A$2:$A$11,0))</f>
        <v>Toys &amp; Games</v>
      </c>
      <c r="J393" s="19">
        <f>INDEX(Products!$E$2:$E$101,MATCH(C393,Products!$A$2:$A$101,0))</f>
        <v>86.95</v>
      </c>
      <c r="K393" s="19">
        <f t="shared" si="19"/>
        <v>608.65</v>
      </c>
      <c r="L393" s="19">
        <f t="shared" si="20"/>
        <v>512.2109999999999</v>
      </c>
    </row>
    <row r="394" spans="1:12" ht="15" customHeight="1" x14ac:dyDescent="0.25">
      <c r="A394" s="10">
        <v>393</v>
      </c>
      <c r="B394" s="10">
        <v>125</v>
      </c>
      <c r="C394" s="10">
        <v>42</v>
      </c>
      <c r="D394" s="10">
        <v>4</v>
      </c>
      <c r="E394" s="19">
        <v>370</v>
      </c>
      <c r="F394" s="10">
        <v>0</v>
      </c>
      <c r="G394" s="19">
        <f t="shared" si="18"/>
        <v>1480</v>
      </c>
      <c r="H394" s="10">
        <f>INDEX(Products!$C$2:$C$101,MATCH(C394,Products!$A$2:$A$101,0))</f>
        <v>5</v>
      </c>
      <c r="I394" s="10" t="str">
        <f>INDEX(Categories!$B$2:$B$11,MATCH(H394,Categories!$A$2:$A$11,0))</f>
        <v>Home &amp; Kitchen</v>
      </c>
      <c r="J394" s="19">
        <f>INDEX(Products!$E$2:$E$101,MATCH(C394,Products!$A$2:$A$101,0))</f>
        <v>227.4</v>
      </c>
      <c r="K394" s="19">
        <f t="shared" si="19"/>
        <v>909.6</v>
      </c>
      <c r="L394" s="19">
        <f t="shared" si="20"/>
        <v>570.4</v>
      </c>
    </row>
    <row r="395" spans="1:12" ht="15" customHeight="1" x14ac:dyDescent="0.25">
      <c r="A395" s="10">
        <v>394</v>
      </c>
      <c r="B395" s="10">
        <v>125</v>
      </c>
      <c r="C395" s="10">
        <v>51</v>
      </c>
      <c r="D395" s="10">
        <v>4</v>
      </c>
      <c r="E395" s="19">
        <v>436.43</v>
      </c>
      <c r="F395" s="10">
        <v>0</v>
      </c>
      <c r="G395" s="19">
        <f t="shared" si="18"/>
        <v>1745.72</v>
      </c>
      <c r="H395" s="10">
        <f>INDEX(Products!$C$2:$C$101,MATCH(C395,Products!$A$2:$A$101,0))</f>
        <v>6</v>
      </c>
      <c r="I395" s="10" t="str">
        <f>INDEX(Categories!$B$2:$B$11,MATCH(H395,Categories!$A$2:$A$11,0))</f>
        <v>Sporting Goods</v>
      </c>
      <c r="J395" s="19">
        <f>INDEX(Products!$E$2:$E$101,MATCH(C395,Products!$A$2:$A$101,0))</f>
        <v>235.84</v>
      </c>
      <c r="K395" s="19">
        <f t="shared" si="19"/>
        <v>943.36</v>
      </c>
      <c r="L395" s="19">
        <f t="shared" si="20"/>
        <v>802.36</v>
      </c>
    </row>
    <row r="396" spans="1:12" ht="15" customHeight="1" x14ac:dyDescent="0.25">
      <c r="A396" s="10">
        <v>395</v>
      </c>
      <c r="B396" s="10">
        <v>126</v>
      </c>
      <c r="C396" s="10">
        <v>90</v>
      </c>
      <c r="D396" s="10">
        <v>3</v>
      </c>
      <c r="E396" s="19">
        <v>50.45</v>
      </c>
      <c r="F396" s="10">
        <v>0.05</v>
      </c>
      <c r="G396" s="19">
        <f t="shared" si="18"/>
        <v>143.78250000000003</v>
      </c>
      <c r="H396" s="10">
        <f>INDEX(Products!$C$2:$C$101,MATCH(C396,Products!$A$2:$A$101,0))</f>
        <v>9</v>
      </c>
      <c r="I396" s="10" t="str">
        <f>INDEX(Categories!$B$2:$B$11,MATCH(H396,Categories!$A$2:$A$11,0))</f>
        <v>Automotive Parts</v>
      </c>
      <c r="J396" s="19">
        <f>INDEX(Products!$E$2:$E$101,MATCH(C396,Products!$A$2:$A$101,0))</f>
        <v>29.34</v>
      </c>
      <c r="K396" s="19">
        <f t="shared" si="19"/>
        <v>88.02</v>
      </c>
      <c r="L396" s="19">
        <f t="shared" si="20"/>
        <v>55.762500000000031</v>
      </c>
    </row>
    <row r="397" spans="1:12" ht="15" customHeight="1" x14ac:dyDescent="0.25">
      <c r="A397" s="10">
        <v>396</v>
      </c>
      <c r="B397" s="10">
        <v>126</v>
      </c>
      <c r="C397" s="10">
        <v>2</v>
      </c>
      <c r="D397" s="10">
        <v>6</v>
      </c>
      <c r="E397" s="19">
        <v>286.57</v>
      </c>
      <c r="F397" s="10">
        <v>0.1</v>
      </c>
      <c r="G397" s="19">
        <f t="shared" si="18"/>
        <v>1547.4780000000001</v>
      </c>
      <c r="H397" s="10">
        <f>INDEX(Products!$C$2:$C$101,MATCH(C397,Products!$A$2:$A$101,0))</f>
        <v>1</v>
      </c>
      <c r="I397" s="10" t="str">
        <f>INDEX(Categories!$B$2:$B$11,MATCH(H397,Categories!$A$2:$A$11,0))</f>
        <v>Electronics</v>
      </c>
      <c r="J397" s="19">
        <f>INDEX(Products!$E$2:$E$101,MATCH(C397,Products!$A$2:$A$101,0))</f>
        <v>135.94</v>
      </c>
      <c r="K397" s="19">
        <f t="shared" si="19"/>
        <v>815.64</v>
      </c>
      <c r="L397" s="19">
        <f t="shared" si="20"/>
        <v>731.83800000000008</v>
      </c>
    </row>
    <row r="398" spans="1:12" ht="15" customHeight="1" x14ac:dyDescent="0.25">
      <c r="A398" s="10">
        <v>397</v>
      </c>
      <c r="B398" s="10">
        <v>127</v>
      </c>
      <c r="C398" s="10">
        <v>55</v>
      </c>
      <c r="D398" s="10">
        <v>2</v>
      </c>
      <c r="E398" s="19">
        <v>378.27</v>
      </c>
      <c r="F398" s="10">
        <v>0</v>
      </c>
      <c r="G398" s="19">
        <f t="shared" si="18"/>
        <v>756.54</v>
      </c>
      <c r="H398" s="10">
        <f>INDEX(Products!$C$2:$C$101,MATCH(C398,Products!$A$2:$A$101,0))</f>
        <v>6</v>
      </c>
      <c r="I398" s="10" t="str">
        <f>INDEX(Categories!$B$2:$B$11,MATCH(H398,Categories!$A$2:$A$11,0))</f>
        <v>Sporting Goods</v>
      </c>
      <c r="J398" s="19">
        <f>INDEX(Products!$E$2:$E$101,MATCH(C398,Products!$A$2:$A$101,0))</f>
        <v>163.92</v>
      </c>
      <c r="K398" s="19">
        <f t="shared" si="19"/>
        <v>327.84</v>
      </c>
      <c r="L398" s="19">
        <f t="shared" si="20"/>
        <v>428.7</v>
      </c>
    </row>
    <row r="399" spans="1:12" ht="15" customHeight="1" x14ac:dyDescent="0.25">
      <c r="A399" s="10">
        <v>398</v>
      </c>
      <c r="B399" s="10">
        <v>127</v>
      </c>
      <c r="C399" s="10">
        <v>35</v>
      </c>
      <c r="D399" s="10">
        <v>10</v>
      </c>
      <c r="E399" s="19">
        <v>216.12</v>
      </c>
      <c r="F399" s="10">
        <v>0.15</v>
      </c>
      <c r="G399" s="19">
        <f t="shared" si="18"/>
        <v>1837.0199999999998</v>
      </c>
      <c r="H399" s="10">
        <f>INDEX(Products!$C$2:$C$101,MATCH(C399,Products!$A$2:$A$101,0))</f>
        <v>4</v>
      </c>
      <c r="I399" s="10" t="str">
        <f>INDEX(Categories!$B$2:$B$11,MATCH(H399,Categories!$A$2:$A$11,0))</f>
        <v>Apparel</v>
      </c>
      <c r="J399" s="19">
        <f>INDEX(Products!$E$2:$E$101,MATCH(C399,Products!$A$2:$A$101,0))</f>
        <v>134.93</v>
      </c>
      <c r="K399" s="19">
        <f t="shared" si="19"/>
        <v>1349.3000000000002</v>
      </c>
      <c r="L399" s="19">
        <f t="shared" si="20"/>
        <v>487.71999999999957</v>
      </c>
    </row>
    <row r="400" spans="1:12" ht="15" customHeight="1" x14ac:dyDescent="0.25">
      <c r="A400" s="10">
        <v>399</v>
      </c>
      <c r="B400" s="10">
        <v>127</v>
      </c>
      <c r="C400" s="10">
        <v>68</v>
      </c>
      <c r="D400" s="10">
        <v>2</v>
      </c>
      <c r="E400" s="19">
        <v>271.66000000000003</v>
      </c>
      <c r="F400" s="10">
        <v>0.05</v>
      </c>
      <c r="G400" s="19">
        <f t="shared" si="18"/>
        <v>516.154</v>
      </c>
      <c r="H400" s="10">
        <f>INDEX(Products!$C$2:$C$101,MATCH(C400,Products!$A$2:$A$101,0))</f>
        <v>7</v>
      </c>
      <c r="I400" s="10" t="str">
        <f>INDEX(Categories!$B$2:$B$11,MATCH(H400,Categories!$A$2:$A$11,0))</f>
        <v>Toys &amp; Games</v>
      </c>
      <c r="J400" s="19">
        <f>INDEX(Products!$E$2:$E$101,MATCH(C400,Products!$A$2:$A$101,0))</f>
        <v>187.33</v>
      </c>
      <c r="K400" s="19">
        <f t="shared" si="19"/>
        <v>374.66</v>
      </c>
      <c r="L400" s="19">
        <f t="shared" si="20"/>
        <v>141.49399999999997</v>
      </c>
    </row>
    <row r="401" spans="1:12" ht="15" customHeight="1" x14ac:dyDescent="0.25">
      <c r="A401" s="10">
        <v>400</v>
      </c>
      <c r="B401" s="10">
        <v>128</v>
      </c>
      <c r="C401" s="10">
        <v>99</v>
      </c>
      <c r="D401" s="10">
        <v>2</v>
      </c>
      <c r="E401" s="19">
        <v>329.4</v>
      </c>
      <c r="F401" s="10">
        <v>0</v>
      </c>
      <c r="G401" s="19">
        <f t="shared" si="18"/>
        <v>658.8</v>
      </c>
      <c r="H401" s="10">
        <f>INDEX(Products!$C$2:$C$101,MATCH(C401,Products!$A$2:$A$101,0))</f>
        <v>10</v>
      </c>
      <c r="I401" s="10" t="str">
        <f>INDEX(Categories!$B$2:$B$11,MATCH(H401,Categories!$A$2:$A$11,0))</f>
        <v>Groceries</v>
      </c>
      <c r="J401" s="19">
        <f>INDEX(Products!$E$2:$E$101,MATCH(C401,Products!$A$2:$A$101,0))</f>
        <v>208.13</v>
      </c>
      <c r="K401" s="19">
        <f t="shared" si="19"/>
        <v>416.26</v>
      </c>
      <c r="L401" s="19">
        <f t="shared" si="20"/>
        <v>242.53999999999996</v>
      </c>
    </row>
    <row r="402" spans="1:12" ht="15" customHeight="1" x14ac:dyDescent="0.25">
      <c r="A402" s="10">
        <v>401</v>
      </c>
      <c r="B402" s="10">
        <v>128</v>
      </c>
      <c r="C402" s="10">
        <v>14</v>
      </c>
      <c r="D402" s="10">
        <v>9</v>
      </c>
      <c r="E402" s="19">
        <v>342.37</v>
      </c>
      <c r="F402" s="10">
        <v>0</v>
      </c>
      <c r="G402" s="19">
        <f t="shared" si="18"/>
        <v>3081.33</v>
      </c>
      <c r="H402" s="10">
        <f>INDEX(Products!$C$2:$C$101,MATCH(C402,Products!$A$2:$A$101,0))</f>
        <v>2</v>
      </c>
      <c r="I402" s="10" t="str">
        <f>INDEX(Categories!$B$2:$B$11,MATCH(H402,Categories!$A$2:$A$11,0))</f>
        <v>Office Supplies</v>
      </c>
      <c r="J402" s="19">
        <f>INDEX(Products!$E$2:$E$101,MATCH(C402,Products!$A$2:$A$101,0))</f>
        <v>241.29</v>
      </c>
      <c r="K402" s="19">
        <f t="shared" si="19"/>
        <v>2171.61</v>
      </c>
      <c r="L402" s="19">
        <f t="shared" si="20"/>
        <v>909.7199999999998</v>
      </c>
    </row>
    <row r="403" spans="1:12" ht="15" customHeight="1" x14ac:dyDescent="0.25">
      <c r="A403" s="10">
        <v>402</v>
      </c>
      <c r="B403" s="10">
        <v>128</v>
      </c>
      <c r="C403" s="10">
        <v>74</v>
      </c>
      <c r="D403" s="10">
        <v>1</v>
      </c>
      <c r="E403" s="19">
        <v>199.68</v>
      </c>
      <c r="F403" s="10">
        <v>0.2</v>
      </c>
      <c r="G403" s="19">
        <f t="shared" si="18"/>
        <v>159.74400000000003</v>
      </c>
      <c r="H403" s="10">
        <f>INDEX(Products!$C$2:$C$101,MATCH(C403,Products!$A$2:$A$101,0))</f>
        <v>8</v>
      </c>
      <c r="I403" s="10" t="str">
        <f>INDEX(Categories!$B$2:$B$11,MATCH(H403,Categories!$A$2:$A$11,0))</f>
        <v>Health &amp; Beauty</v>
      </c>
      <c r="J403" s="19">
        <f>INDEX(Products!$E$2:$E$101,MATCH(C403,Products!$A$2:$A$101,0))</f>
        <v>98.36</v>
      </c>
      <c r="K403" s="19">
        <f t="shared" si="19"/>
        <v>98.36</v>
      </c>
      <c r="L403" s="19">
        <f t="shared" si="20"/>
        <v>61.384000000000029</v>
      </c>
    </row>
    <row r="404" spans="1:12" ht="15" customHeight="1" x14ac:dyDescent="0.25">
      <c r="A404" s="10">
        <v>403</v>
      </c>
      <c r="B404" s="10">
        <v>129</v>
      </c>
      <c r="C404" s="10">
        <v>92</v>
      </c>
      <c r="D404" s="10">
        <v>6</v>
      </c>
      <c r="E404" s="19">
        <v>467.17</v>
      </c>
      <c r="F404" s="10">
        <v>0</v>
      </c>
      <c r="G404" s="19">
        <f t="shared" si="18"/>
        <v>2803.02</v>
      </c>
      <c r="H404" s="10">
        <f>INDEX(Products!$C$2:$C$101,MATCH(C404,Products!$A$2:$A$101,0))</f>
        <v>10</v>
      </c>
      <c r="I404" s="10" t="str">
        <f>INDEX(Categories!$B$2:$B$11,MATCH(H404,Categories!$A$2:$A$11,0))</f>
        <v>Groceries</v>
      </c>
      <c r="J404" s="19">
        <f>INDEX(Products!$E$2:$E$101,MATCH(C404,Products!$A$2:$A$101,0))</f>
        <v>216.67</v>
      </c>
      <c r="K404" s="19">
        <f t="shared" si="19"/>
        <v>1300.02</v>
      </c>
      <c r="L404" s="19">
        <f t="shared" si="20"/>
        <v>1503</v>
      </c>
    </row>
    <row r="405" spans="1:12" ht="15" customHeight="1" x14ac:dyDescent="0.25">
      <c r="A405" s="10">
        <v>404</v>
      </c>
      <c r="B405" s="10">
        <v>129</v>
      </c>
      <c r="C405" s="10">
        <v>95</v>
      </c>
      <c r="D405" s="10">
        <v>7</v>
      </c>
      <c r="E405" s="19">
        <v>394.56</v>
      </c>
      <c r="F405" s="10">
        <v>0.15</v>
      </c>
      <c r="G405" s="19">
        <f t="shared" si="18"/>
        <v>2347.6320000000001</v>
      </c>
      <c r="H405" s="10">
        <f>INDEX(Products!$C$2:$C$101,MATCH(C405,Products!$A$2:$A$101,0))</f>
        <v>10</v>
      </c>
      <c r="I405" s="10" t="str">
        <f>INDEX(Categories!$B$2:$B$11,MATCH(H405,Categories!$A$2:$A$11,0))</f>
        <v>Groceries</v>
      </c>
      <c r="J405" s="19">
        <f>INDEX(Products!$E$2:$E$101,MATCH(C405,Products!$A$2:$A$101,0))</f>
        <v>192.57</v>
      </c>
      <c r="K405" s="19">
        <f t="shared" si="19"/>
        <v>1347.99</v>
      </c>
      <c r="L405" s="19">
        <f t="shared" si="20"/>
        <v>999.64200000000005</v>
      </c>
    </row>
    <row r="406" spans="1:12" ht="15" customHeight="1" x14ac:dyDescent="0.25">
      <c r="A406" s="10">
        <v>405</v>
      </c>
      <c r="B406" s="10">
        <v>129</v>
      </c>
      <c r="C406" s="10">
        <v>84</v>
      </c>
      <c r="D406" s="10">
        <v>6</v>
      </c>
      <c r="E406" s="19">
        <v>258</v>
      </c>
      <c r="F406" s="10">
        <v>0</v>
      </c>
      <c r="G406" s="19">
        <f t="shared" si="18"/>
        <v>1548</v>
      </c>
      <c r="H406" s="10">
        <f>INDEX(Products!$C$2:$C$101,MATCH(C406,Products!$A$2:$A$101,0))</f>
        <v>9</v>
      </c>
      <c r="I406" s="10" t="str">
        <f>INDEX(Categories!$B$2:$B$11,MATCH(H406,Categories!$A$2:$A$11,0))</f>
        <v>Automotive Parts</v>
      </c>
      <c r="J406" s="19">
        <f>INDEX(Products!$E$2:$E$101,MATCH(C406,Products!$A$2:$A$101,0))</f>
        <v>134.19999999999999</v>
      </c>
      <c r="K406" s="19">
        <f t="shared" si="19"/>
        <v>805.19999999999993</v>
      </c>
      <c r="L406" s="19">
        <f t="shared" si="20"/>
        <v>742.80000000000007</v>
      </c>
    </row>
    <row r="407" spans="1:12" ht="15" customHeight="1" x14ac:dyDescent="0.25">
      <c r="A407" s="10">
        <v>406</v>
      </c>
      <c r="B407" s="10">
        <v>129</v>
      </c>
      <c r="C407" s="10">
        <v>54</v>
      </c>
      <c r="D407" s="10">
        <v>2</v>
      </c>
      <c r="E407" s="19">
        <v>398.16</v>
      </c>
      <c r="F407" s="10">
        <v>0.1</v>
      </c>
      <c r="G407" s="19">
        <f t="shared" si="18"/>
        <v>716.6880000000001</v>
      </c>
      <c r="H407" s="10">
        <f>INDEX(Products!$C$2:$C$101,MATCH(C407,Products!$A$2:$A$101,0))</f>
        <v>6</v>
      </c>
      <c r="I407" s="10" t="str">
        <f>INDEX(Categories!$B$2:$B$11,MATCH(H407,Categories!$A$2:$A$11,0))</f>
        <v>Sporting Goods</v>
      </c>
      <c r="J407" s="19">
        <f>INDEX(Products!$E$2:$E$101,MATCH(C407,Products!$A$2:$A$101,0))</f>
        <v>205.89</v>
      </c>
      <c r="K407" s="19">
        <f t="shared" si="19"/>
        <v>411.78</v>
      </c>
      <c r="L407" s="19">
        <f t="shared" si="20"/>
        <v>304.90800000000013</v>
      </c>
    </row>
    <row r="408" spans="1:12" ht="15" customHeight="1" x14ac:dyDescent="0.25">
      <c r="A408" s="10">
        <v>407</v>
      </c>
      <c r="B408" s="10">
        <v>129</v>
      </c>
      <c r="C408" s="10">
        <v>29</v>
      </c>
      <c r="D408" s="10">
        <v>6</v>
      </c>
      <c r="E408" s="19">
        <v>152.52000000000001</v>
      </c>
      <c r="F408" s="10">
        <v>0</v>
      </c>
      <c r="G408" s="19">
        <f t="shared" si="18"/>
        <v>915.12000000000012</v>
      </c>
      <c r="H408" s="10">
        <f>INDEX(Products!$C$2:$C$101,MATCH(C408,Products!$A$2:$A$101,0))</f>
        <v>3</v>
      </c>
      <c r="I408" s="10" t="str">
        <f>INDEX(Categories!$B$2:$B$11,MATCH(H408,Categories!$A$2:$A$11,0))</f>
        <v>Furniture</v>
      </c>
      <c r="J408" s="19">
        <f>INDEX(Products!$E$2:$E$101,MATCH(C408,Products!$A$2:$A$101,0))</f>
        <v>78.63</v>
      </c>
      <c r="K408" s="19">
        <f t="shared" si="19"/>
        <v>471.78</v>
      </c>
      <c r="L408" s="19">
        <f t="shared" si="20"/>
        <v>443.34000000000015</v>
      </c>
    </row>
    <row r="409" spans="1:12" ht="15" customHeight="1" x14ac:dyDescent="0.25">
      <c r="A409" s="10">
        <v>408</v>
      </c>
      <c r="B409" s="10">
        <v>130</v>
      </c>
      <c r="C409" s="10">
        <v>37</v>
      </c>
      <c r="D409" s="10">
        <v>2</v>
      </c>
      <c r="E409" s="19">
        <v>262.99</v>
      </c>
      <c r="F409" s="10">
        <v>0.1</v>
      </c>
      <c r="G409" s="19">
        <f t="shared" si="18"/>
        <v>473.38200000000001</v>
      </c>
      <c r="H409" s="10">
        <f>INDEX(Products!$C$2:$C$101,MATCH(C409,Products!$A$2:$A$101,0))</f>
        <v>4</v>
      </c>
      <c r="I409" s="10" t="str">
        <f>INDEX(Categories!$B$2:$B$11,MATCH(H409,Categories!$A$2:$A$11,0))</f>
        <v>Apparel</v>
      </c>
      <c r="J409" s="19">
        <f>INDEX(Products!$E$2:$E$101,MATCH(C409,Products!$A$2:$A$101,0))</f>
        <v>144.79</v>
      </c>
      <c r="K409" s="19">
        <f t="shared" si="19"/>
        <v>289.58</v>
      </c>
      <c r="L409" s="19">
        <f t="shared" si="20"/>
        <v>183.80200000000002</v>
      </c>
    </row>
    <row r="410" spans="1:12" ht="15" customHeight="1" x14ac:dyDescent="0.25">
      <c r="A410" s="10">
        <v>409</v>
      </c>
      <c r="B410" s="10">
        <v>130</v>
      </c>
      <c r="C410" s="10">
        <v>100</v>
      </c>
      <c r="D410" s="10">
        <v>8</v>
      </c>
      <c r="E410" s="19">
        <v>313.44</v>
      </c>
      <c r="F410" s="10">
        <v>0</v>
      </c>
      <c r="G410" s="19">
        <f t="shared" si="18"/>
        <v>2507.52</v>
      </c>
      <c r="H410" s="10">
        <f>INDEX(Products!$C$2:$C$101,MATCH(C410,Products!$A$2:$A$101,0))</f>
        <v>10</v>
      </c>
      <c r="I410" s="10" t="str">
        <f>INDEX(Categories!$B$2:$B$11,MATCH(H410,Categories!$A$2:$A$11,0))</f>
        <v>Groceries</v>
      </c>
      <c r="J410" s="19">
        <f>INDEX(Products!$E$2:$E$101,MATCH(C410,Products!$A$2:$A$101,0))</f>
        <v>187.4</v>
      </c>
      <c r="K410" s="19">
        <f t="shared" si="19"/>
        <v>1499.2</v>
      </c>
      <c r="L410" s="19">
        <f t="shared" si="20"/>
        <v>1008.3199999999999</v>
      </c>
    </row>
    <row r="411" spans="1:12" ht="15" customHeight="1" x14ac:dyDescent="0.25">
      <c r="A411" s="10">
        <v>410</v>
      </c>
      <c r="B411" s="10">
        <v>130</v>
      </c>
      <c r="C411" s="10">
        <v>40</v>
      </c>
      <c r="D411" s="10">
        <v>6</v>
      </c>
      <c r="E411" s="19">
        <v>330.91</v>
      </c>
      <c r="F411" s="10">
        <v>0</v>
      </c>
      <c r="G411" s="19">
        <f t="shared" si="18"/>
        <v>1985.46</v>
      </c>
      <c r="H411" s="10">
        <f>INDEX(Products!$C$2:$C$101,MATCH(C411,Products!$A$2:$A$101,0))</f>
        <v>4</v>
      </c>
      <c r="I411" s="10" t="str">
        <f>INDEX(Categories!$B$2:$B$11,MATCH(H411,Categories!$A$2:$A$11,0))</f>
        <v>Apparel</v>
      </c>
      <c r="J411" s="19">
        <f>INDEX(Products!$E$2:$E$101,MATCH(C411,Products!$A$2:$A$101,0))</f>
        <v>237.43</v>
      </c>
      <c r="K411" s="19">
        <f t="shared" si="19"/>
        <v>1424.58</v>
      </c>
      <c r="L411" s="19">
        <f t="shared" si="20"/>
        <v>560.88000000000011</v>
      </c>
    </row>
    <row r="412" spans="1:12" ht="15" customHeight="1" x14ac:dyDescent="0.25">
      <c r="A412" s="10">
        <v>411</v>
      </c>
      <c r="B412" s="10">
        <v>130</v>
      </c>
      <c r="C412" s="10">
        <v>42</v>
      </c>
      <c r="D412" s="10">
        <v>5</v>
      </c>
      <c r="E412" s="19">
        <v>370</v>
      </c>
      <c r="F412" s="10">
        <v>0.1</v>
      </c>
      <c r="G412" s="19">
        <f t="shared" si="18"/>
        <v>1665</v>
      </c>
      <c r="H412" s="10">
        <f>INDEX(Products!$C$2:$C$101,MATCH(C412,Products!$A$2:$A$101,0))</f>
        <v>5</v>
      </c>
      <c r="I412" s="10" t="str">
        <f>INDEX(Categories!$B$2:$B$11,MATCH(H412,Categories!$A$2:$A$11,0))</f>
        <v>Home &amp; Kitchen</v>
      </c>
      <c r="J412" s="19">
        <f>INDEX(Products!$E$2:$E$101,MATCH(C412,Products!$A$2:$A$101,0))</f>
        <v>227.4</v>
      </c>
      <c r="K412" s="19">
        <f t="shared" si="19"/>
        <v>1137</v>
      </c>
      <c r="L412" s="19">
        <f t="shared" si="20"/>
        <v>528</v>
      </c>
    </row>
    <row r="413" spans="1:12" ht="15" customHeight="1" x14ac:dyDescent="0.25">
      <c r="A413" s="10">
        <v>412</v>
      </c>
      <c r="B413" s="10">
        <v>131</v>
      </c>
      <c r="C413" s="10">
        <v>1</v>
      </c>
      <c r="D413" s="10">
        <v>1</v>
      </c>
      <c r="E413" s="19">
        <v>384.09</v>
      </c>
      <c r="F413" s="10">
        <v>0</v>
      </c>
      <c r="G413" s="19">
        <f t="shared" si="18"/>
        <v>384.09</v>
      </c>
      <c r="H413" s="10">
        <f>INDEX(Products!$C$2:$C$101,MATCH(C413,Products!$A$2:$A$101,0))</f>
        <v>1</v>
      </c>
      <c r="I413" s="10" t="str">
        <f>INDEX(Categories!$B$2:$B$11,MATCH(H413,Categories!$A$2:$A$11,0))</f>
        <v>Electronics</v>
      </c>
      <c r="J413" s="19">
        <f>INDEX(Products!$E$2:$E$101,MATCH(C413,Products!$A$2:$A$101,0))</f>
        <v>235.86</v>
      </c>
      <c r="K413" s="19">
        <f t="shared" si="19"/>
        <v>235.86</v>
      </c>
      <c r="L413" s="19">
        <f t="shared" si="20"/>
        <v>148.22999999999996</v>
      </c>
    </row>
    <row r="414" spans="1:12" ht="15" customHeight="1" x14ac:dyDescent="0.25">
      <c r="A414" s="10">
        <v>413</v>
      </c>
      <c r="B414" s="10">
        <v>131</v>
      </c>
      <c r="C414" s="10">
        <v>53</v>
      </c>
      <c r="D414" s="10">
        <v>9</v>
      </c>
      <c r="E414" s="19">
        <v>534</v>
      </c>
      <c r="F414" s="10">
        <v>0</v>
      </c>
      <c r="G414" s="19">
        <f t="shared" si="18"/>
        <v>4806</v>
      </c>
      <c r="H414" s="10">
        <f>INDEX(Products!$C$2:$C$101,MATCH(C414,Products!$A$2:$A$101,0))</f>
        <v>6</v>
      </c>
      <c r="I414" s="10" t="str">
        <f>INDEX(Categories!$B$2:$B$11,MATCH(H414,Categories!$A$2:$A$11,0))</f>
        <v>Sporting Goods</v>
      </c>
      <c r="J414" s="19">
        <f>INDEX(Products!$E$2:$E$101,MATCH(C414,Products!$A$2:$A$101,0))</f>
        <v>240.59</v>
      </c>
      <c r="K414" s="19">
        <f t="shared" si="19"/>
        <v>2165.31</v>
      </c>
      <c r="L414" s="19">
        <f t="shared" si="20"/>
        <v>2640.69</v>
      </c>
    </row>
    <row r="415" spans="1:12" ht="15" customHeight="1" x14ac:dyDescent="0.25">
      <c r="A415" s="10">
        <v>414</v>
      </c>
      <c r="B415" s="10">
        <v>132</v>
      </c>
      <c r="C415" s="10">
        <v>31</v>
      </c>
      <c r="D415" s="10">
        <v>5</v>
      </c>
      <c r="E415" s="19">
        <v>93.27</v>
      </c>
      <c r="F415" s="10">
        <v>0</v>
      </c>
      <c r="G415" s="19">
        <f t="shared" si="18"/>
        <v>466.34999999999997</v>
      </c>
      <c r="H415" s="10">
        <f>INDEX(Products!$C$2:$C$101,MATCH(C415,Products!$A$2:$A$101,0))</f>
        <v>4</v>
      </c>
      <c r="I415" s="10" t="str">
        <f>INDEX(Categories!$B$2:$B$11,MATCH(H415,Categories!$A$2:$A$11,0))</f>
        <v>Apparel</v>
      </c>
      <c r="J415" s="19">
        <f>INDEX(Products!$E$2:$E$101,MATCH(C415,Products!$A$2:$A$101,0))</f>
        <v>65.099999999999994</v>
      </c>
      <c r="K415" s="19">
        <f t="shared" si="19"/>
        <v>325.5</v>
      </c>
      <c r="L415" s="19">
        <f t="shared" si="20"/>
        <v>140.84999999999997</v>
      </c>
    </row>
    <row r="416" spans="1:12" ht="15" customHeight="1" x14ac:dyDescent="0.25">
      <c r="A416" s="10">
        <v>415</v>
      </c>
      <c r="B416" s="10">
        <v>132</v>
      </c>
      <c r="C416" s="10">
        <v>54</v>
      </c>
      <c r="D416" s="10">
        <v>1</v>
      </c>
      <c r="E416" s="19">
        <v>398.16</v>
      </c>
      <c r="F416" s="10">
        <v>0</v>
      </c>
      <c r="G416" s="19">
        <f t="shared" si="18"/>
        <v>398.16</v>
      </c>
      <c r="H416" s="10">
        <f>INDEX(Products!$C$2:$C$101,MATCH(C416,Products!$A$2:$A$101,0))</f>
        <v>6</v>
      </c>
      <c r="I416" s="10" t="str">
        <f>INDEX(Categories!$B$2:$B$11,MATCH(H416,Categories!$A$2:$A$11,0))</f>
        <v>Sporting Goods</v>
      </c>
      <c r="J416" s="19">
        <f>INDEX(Products!$E$2:$E$101,MATCH(C416,Products!$A$2:$A$101,0))</f>
        <v>205.89</v>
      </c>
      <c r="K416" s="19">
        <f t="shared" si="19"/>
        <v>205.89</v>
      </c>
      <c r="L416" s="19">
        <f t="shared" si="20"/>
        <v>192.27000000000004</v>
      </c>
    </row>
    <row r="417" spans="1:12" ht="15" customHeight="1" x14ac:dyDescent="0.25">
      <c r="A417" s="10">
        <v>416</v>
      </c>
      <c r="B417" s="10">
        <v>132</v>
      </c>
      <c r="C417" s="10">
        <v>63</v>
      </c>
      <c r="D417" s="10">
        <v>9</v>
      </c>
      <c r="E417" s="19">
        <v>20.190000000000001</v>
      </c>
      <c r="F417" s="10">
        <v>0.05</v>
      </c>
      <c r="G417" s="19">
        <f t="shared" si="18"/>
        <v>172.62450000000001</v>
      </c>
      <c r="H417" s="10">
        <f>INDEX(Products!$C$2:$C$101,MATCH(C417,Products!$A$2:$A$101,0))</f>
        <v>7</v>
      </c>
      <c r="I417" s="10" t="str">
        <f>INDEX(Categories!$B$2:$B$11,MATCH(H417,Categories!$A$2:$A$11,0))</f>
        <v>Toys &amp; Games</v>
      </c>
      <c r="J417" s="19">
        <f>INDEX(Products!$E$2:$E$101,MATCH(C417,Products!$A$2:$A$101,0))</f>
        <v>10.130000000000001</v>
      </c>
      <c r="K417" s="19">
        <f t="shared" si="19"/>
        <v>91.17</v>
      </c>
      <c r="L417" s="19">
        <f t="shared" si="20"/>
        <v>81.45450000000001</v>
      </c>
    </row>
    <row r="418" spans="1:12" ht="15" customHeight="1" x14ac:dyDescent="0.25">
      <c r="A418" s="10">
        <v>417</v>
      </c>
      <c r="B418" s="10">
        <v>132</v>
      </c>
      <c r="C418" s="10">
        <v>8</v>
      </c>
      <c r="D418" s="10">
        <v>6</v>
      </c>
      <c r="E418" s="19">
        <v>418.1</v>
      </c>
      <c r="F418" s="10">
        <v>0.05</v>
      </c>
      <c r="G418" s="19">
        <f t="shared" si="18"/>
        <v>2383.17</v>
      </c>
      <c r="H418" s="10">
        <f>INDEX(Products!$C$2:$C$101,MATCH(C418,Products!$A$2:$A$101,0))</f>
        <v>1</v>
      </c>
      <c r="I418" s="10" t="str">
        <f>INDEX(Categories!$B$2:$B$11,MATCH(H418,Categories!$A$2:$A$11,0))</f>
        <v>Electronics</v>
      </c>
      <c r="J418" s="19">
        <f>INDEX(Products!$E$2:$E$101,MATCH(C418,Products!$A$2:$A$101,0))</f>
        <v>188.75</v>
      </c>
      <c r="K418" s="19">
        <f t="shared" si="19"/>
        <v>1132.5</v>
      </c>
      <c r="L418" s="19">
        <f t="shared" si="20"/>
        <v>1250.67</v>
      </c>
    </row>
    <row r="419" spans="1:12" ht="15" customHeight="1" x14ac:dyDescent="0.25">
      <c r="A419" s="10">
        <v>418</v>
      </c>
      <c r="B419" s="10">
        <v>132</v>
      </c>
      <c r="C419" s="10">
        <v>19</v>
      </c>
      <c r="D419" s="10">
        <v>2</v>
      </c>
      <c r="E419" s="19">
        <v>291.89</v>
      </c>
      <c r="F419" s="10">
        <v>0.1</v>
      </c>
      <c r="G419" s="19">
        <f t="shared" si="18"/>
        <v>525.40200000000004</v>
      </c>
      <c r="H419" s="10">
        <f>INDEX(Products!$C$2:$C$101,MATCH(C419,Products!$A$2:$A$101,0))</f>
        <v>2</v>
      </c>
      <c r="I419" s="10" t="str">
        <f>INDEX(Categories!$B$2:$B$11,MATCH(H419,Categories!$A$2:$A$11,0))</f>
        <v>Office Supplies</v>
      </c>
      <c r="J419" s="19">
        <f>INDEX(Products!$E$2:$E$101,MATCH(C419,Products!$A$2:$A$101,0))</f>
        <v>206.12</v>
      </c>
      <c r="K419" s="19">
        <f t="shared" si="19"/>
        <v>412.24</v>
      </c>
      <c r="L419" s="19">
        <f t="shared" si="20"/>
        <v>113.16200000000003</v>
      </c>
    </row>
    <row r="420" spans="1:12" ht="15" customHeight="1" x14ac:dyDescent="0.25">
      <c r="A420" s="10">
        <v>419</v>
      </c>
      <c r="B420" s="10">
        <v>133</v>
      </c>
      <c r="C420" s="10">
        <v>38</v>
      </c>
      <c r="D420" s="10">
        <v>6</v>
      </c>
      <c r="E420" s="19">
        <v>146.91999999999999</v>
      </c>
      <c r="F420" s="10">
        <v>0.2</v>
      </c>
      <c r="G420" s="19">
        <f t="shared" si="18"/>
        <v>705.21600000000001</v>
      </c>
      <c r="H420" s="10">
        <f>INDEX(Products!$C$2:$C$101,MATCH(C420,Products!$A$2:$A$101,0))</f>
        <v>4</v>
      </c>
      <c r="I420" s="10" t="str">
        <f>INDEX(Categories!$B$2:$B$11,MATCH(H420,Categories!$A$2:$A$11,0))</f>
        <v>Apparel</v>
      </c>
      <c r="J420" s="19">
        <f>INDEX(Products!$E$2:$E$101,MATCH(C420,Products!$A$2:$A$101,0))</f>
        <v>65.36</v>
      </c>
      <c r="K420" s="19">
        <f t="shared" si="19"/>
        <v>392.15999999999997</v>
      </c>
      <c r="L420" s="19">
        <f t="shared" si="20"/>
        <v>313.05600000000004</v>
      </c>
    </row>
    <row r="421" spans="1:12" ht="15" customHeight="1" x14ac:dyDescent="0.25">
      <c r="A421" s="10">
        <v>420</v>
      </c>
      <c r="B421" s="10">
        <v>133</v>
      </c>
      <c r="C421" s="10">
        <v>34</v>
      </c>
      <c r="D421" s="10">
        <v>7</v>
      </c>
      <c r="E421" s="19">
        <v>339.25</v>
      </c>
      <c r="F421" s="10">
        <v>0.15</v>
      </c>
      <c r="G421" s="19">
        <f t="shared" si="18"/>
        <v>2018.5374999999999</v>
      </c>
      <c r="H421" s="10">
        <f>INDEX(Products!$C$2:$C$101,MATCH(C421,Products!$A$2:$A$101,0))</f>
        <v>4</v>
      </c>
      <c r="I421" s="10" t="str">
        <f>INDEX(Categories!$B$2:$B$11,MATCH(H421,Categories!$A$2:$A$11,0))</f>
        <v>Apparel</v>
      </c>
      <c r="J421" s="19">
        <f>INDEX(Products!$E$2:$E$101,MATCH(C421,Products!$A$2:$A$101,0))</f>
        <v>208.66</v>
      </c>
      <c r="K421" s="19">
        <f t="shared" si="19"/>
        <v>1460.62</v>
      </c>
      <c r="L421" s="19">
        <f t="shared" si="20"/>
        <v>557.91750000000002</v>
      </c>
    </row>
    <row r="422" spans="1:12" ht="15" customHeight="1" x14ac:dyDescent="0.25">
      <c r="A422" s="10">
        <v>421</v>
      </c>
      <c r="B422" s="10">
        <v>134</v>
      </c>
      <c r="C422" s="10">
        <v>100</v>
      </c>
      <c r="D422" s="10">
        <v>10</v>
      </c>
      <c r="E422" s="19">
        <v>313.44</v>
      </c>
      <c r="F422" s="10">
        <v>0</v>
      </c>
      <c r="G422" s="19">
        <f t="shared" si="18"/>
        <v>3134.4</v>
      </c>
      <c r="H422" s="10">
        <f>INDEX(Products!$C$2:$C$101,MATCH(C422,Products!$A$2:$A$101,0))</f>
        <v>10</v>
      </c>
      <c r="I422" s="10" t="str">
        <f>INDEX(Categories!$B$2:$B$11,MATCH(H422,Categories!$A$2:$A$11,0))</f>
        <v>Groceries</v>
      </c>
      <c r="J422" s="19">
        <f>INDEX(Products!$E$2:$E$101,MATCH(C422,Products!$A$2:$A$101,0))</f>
        <v>187.4</v>
      </c>
      <c r="K422" s="19">
        <f t="shared" si="19"/>
        <v>1874</v>
      </c>
      <c r="L422" s="19">
        <f t="shared" si="20"/>
        <v>1260.4000000000001</v>
      </c>
    </row>
    <row r="423" spans="1:12" ht="15" customHeight="1" x14ac:dyDescent="0.25">
      <c r="A423" s="10">
        <v>422</v>
      </c>
      <c r="B423" s="10">
        <v>134</v>
      </c>
      <c r="C423" s="10">
        <v>99</v>
      </c>
      <c r="D423" s="10">
        <v>3</v>
      </c>
      <c r="E423" s="19">
        <v>329.4</v>
      </c>
      <c r="F423" s="10">
        <v>0</v>
      </c>
      <c r="G423" s="19">
        <f t="shared" si="18"/>
        <v>988.19999999999993</v>
      </c>
      <c r="H423" s="10">
        <f>INDEX(Products!$C$2:$C$101,MATCH(C423,Products!$A$2:$A$101,0))</f>
        <v>10</v>
      </c>
      <c r="I423" s="10" t="str">
        <f>INDEX(Categories!$B$2:$B$11,MATCH(H423,Categories!$A$2:$A$11,0))</f>
        <v>Groceries</v>
      </c>
      <c r="J423" s="19">
        <f>INDEX(Products!$E$2:$E$101,MATCH(C423,Products!$A$2:$A$101,0))</f>
        <v>208.13</v>
      </c>
      <c r="K423" s="19">
        <f t="shared" si="19"/>
        <v>624.39</v>
      </c>
      <c r="L423" s="19">
        <f t="shared" si="20"/>
        <v>363.80999999999995</v>
      </c>
    </row>
    <row r="424" spans="1:12" ht="15" customHeight="1" x14ac:dyDescent="0.25">
      <c r="A424" s="10">
        <v>423</v>
      </c>
      <c r="B424" s="10">
        <v>135</v>
      </c>
      <c r="C424" s="10">
        <v>58</v>
      </c>
      <c r="D424" s="10">
        <v>8</v>
      </c>
      <c r="E424" s="19">
        <v>388.55</v>
      </c>
      <c r="F424" s="10">
        <v>0</v>
      </c>
      <c r="G424" s="19">
        <f t="shared" si="18"/>
        <v>3108.4</v>
      </c>
      <c r="H424" s="10">
        <f>INDEX(Products!$C$2:$C$101,MATCH(C424,Products!$A$2:$A$101,0))</f>
        <v>6</v>
      </c>
      <c r="I424" s="10" t="str">
        <f>INDEX(Categories!$B$2:$B$11,MATCH(H424,Categories!$A$2:$A$11,0))</f>
        <v>Sporting Goods</v>
      </c>
      <c r="J424" s="19">
        <f>INDEX(Products!$E$2:$E$101,MATCH(C424,Products!$A$2:$A$101,0))</f>
        <v>203.95</v>
      </c>
      <c r="K424" s="19">
        <f t="shared" si="19"/>
        <v>1631.6</v>
      </c>
      <c r="L424" s="19">
        <f t="shared" si="20"/>
        <v>1476.8000000000002</v>
      </c>
    </row>
    <row r="425" spans="1:12" ht="15" customHeight="1" x14ac:dyDescent="0.25">
      <c r="A425" s="10">
        <v>424</v>
      </c>
      <c r="B425" s="10">
        <v>135</v>
      </c>
      <c r="C425" s="10">
        <v>40</v>
      </c>
      <c r="D425" s="10">
        <v>2</v>
      </c>
      <c r="E425" s="19">
        <v>330.91</v>
      </c>
      <c r="F425" s="10">
        <v>0</v>
      </c>
      <c r="G425" s="19">
        <f t="shared" si="18"/>
        <v>661.82</v>
      </c>
      <c r="H425" s="10">
        <f>INDEX(Products!$C$2:$C$101,MATCH(C425,Products!$A$2:$A$101,0))</f>
        <v>4</v>
      </c>
      <c r="I425" s="10" t="str">
        <f>INDEX(Categories!$B$2:$B$11,MATCH(H425,Categories!$A$2:$A$11,0))</f>
        <v>Apparel</v>
      </c>
      <c r="J425" s="19">
        <f>INDEX(Products!$E$2:$E$101,MATCH(C425,Products!$A$2:$A$101,0))</f>
        <v>237.43</v>
      </c>
      <c r="K425" s="19">
        <f t="shared" si="19"/>
        <v>474.86</v>
      </c>
      <c r="L425" s="19">
        <f t="shared" si="20"/>
        <v>186.96000000000004</v>
      </c>
    </row>
    <row r="426" spans="1:12" ht="15" customHeight="1" x14ac:dyDescent="0.25">
      <c r="A426" s="10">
        <v>425</v>
      </c>
      <c r="B426" s="10">
        <v>136</v>
      </c>
      <c r="C426" s="10">
        <v>92</v>
      </c>
      <c r="D426" s="10">
        <v>4</v>
      </c>
      <c r="E426" s="19">
        <v>467.17</v>
      </c>
      <c r="F426" s="10">
        <v>0</v>
      </c>
      <c r="G426" s="19">
        <f t="shared" si="18"/>
        <v>1868.68</v>
      </c>
      <c r="H426" s="10">
        <f>INDEX(Products!$C$2:$C$101,MATCH(C426,Products!$A$2:$A$101,0))</f>
        <v>10</v>
      </c>
      <c r="I426" s="10" t="str">
        <f>INDEX(Categories!$B$2:$B$11,MATCH(H426,Categories!$A$2:$A$11,0))</f>
        <v>Groceries</v>
      </c>
      <c r="J426" s="19">
        <f>INDEX(Products!$E$2:$E$101,MATCH(C426,Products!$A$2:$A$101,0))</f>
        <v>216.67</v>
      </c>
      <c r="K426" s="19">
        <f t="shared" si="19"/>
        <v>866.68</v>
      </c>
      <c r="L426" s="19">
        <f t="shared" si="20"/>
        <v>1002.0000000000001</v>
      </c>
    </row>
    <row r="427" spans="1:12" ht="15" customHeight="1" x14ac:dyDescent="0.25">
      <c r="A427" s="10">
        <v>426</v>
      </c>
      <c r="B427" s="10">
        <v>137</v>
      </c>
      <c r="C427" s="10">
        <v>72</v>
      </c>
      <c r="D427" s="10">
        <v>2</v>
      </c>
      <c r="E427" s="19">
        <v>526.70000000000005</v>
      </c>
      <c r="F427" s="10">
        <v>0.05</v>
      </c>
      <c r="G427" s="19">
        <f t="shared" si="18"/>
        <v>1000.73</v>
      </c>
      <c r="H427" s="10">
        <f>INDEX(Products!$C$2:$C$101,MATCH(C427,Products!$A$2:$A$101,0))</f>
        <v>8</v>
      </c>
      <c r="I427" s="10" t="str">
        <f>INDEX(Categories!$B$2:$B$11,MATCH(H427,Categories!$A$2:$A$11,0))</f>
        <v>Health &amp; Beauty</v>
      </c>
      <c r="J427" s="19">
        <f>INDEX(Products!$E$2:$E$101,MATCH(C427,Products!$A$2:$A$101,0))</f>
        <v>233.41</v>
      </c>
      <c r="K427" s="19">
        <f t="shared" si="19"/>
        <v>466.82</v>
      </c>
      <c r="L427" s="19">
        <f t="shared" si="20"/>
        <v>533.91000000000008</v>
      </c>
    </row>
    <row r="428" spans="1:12" ht="15" customHeight="1" x14ac:dyDescent="0.25">
      <c r="A428" s="10">
        <v>427</v>
      </c>
      <c r="B428" s="10">
        <v>137</v>
      </c>
      <c r="C428" s="10">
        <v>96</v>
      </c>
      <c r="D428" s="10">
        <v>2</v>
      </c>
      <c r="E428" s="19">
        <v>266.72000000000003</v>
      </c>
      <c r="F428" s="10">
        <v>0.2</v>
      </c>
      <c r="G428" s="19">
        <f t="shared" si="18"/>
        <v>426.75200000000007</v>
      </c>
      <c r="H428" s="10">
        <f>INDEX(Products!$C$2:$C$101,MATCH(C428,Products!$A$2:$A$101,0))</f>
        <v>10</v>
      </c>
      <c r="I428" s="10" t="str">
        <f>INDEX(Categories!$B$2:$B$11,MATCH(H428,Categories!$A$2:$A$11,0))</f>
        <v>Groceries</v>
      </c>
      <c r="J428" s="19">
        <f>INDEX(Products!$E$2:$E$101,MATCH(C428,Products!$A$2:$A$101,0))</f>
        <v>162.65</v>
      </c>
      <c r="K428" s="19">
        <f t="shared" si="19"/>
        <v>325.3</v>
      </c>
      <c r="L428" s="19">
        <f t="shared" si="20"/>
        <v>101.45200000000006</v>
      </c>
    </row>
    <row r="429" spans="1:12" ht="15" customHeight="1" x14ac:dyDescent="0.25">
      <c r="A429" s="10">
        <v>428</v>
      </c>
      <c r="B429" s="10">
        <v>137</v>
      </c>
      <c r="C429" s="10">
        <v>71</v>
      </c>
      <c r="D429" s="10">
        <v>3</v>
      </c>
      <c r="E429" s="19">
        <v>228.48</v>
      </c>
      <c r="F429" s="10">
        <v>0</v>
      </c>
      <c r="G429" s="19">
        <f t="shared" si="18"/>
        <v>685.43999999999994</v>
      </c>
      <c r="H429" s="10">
        <f>INDEX(Products!$C$2:$C$101,MATCH(C429,Products!$A$2:$A$101,0))</f>
        <v>8</v>
      </c>
      <c r="I429" s="10" t="str">
        <f>INDEX(Categories!$B$2:$B$11,MATCH(H429,Categories!$A$2:$A$11,0))</f>
        <v>Health &amp; Beauty</v>
      </c>
      <c r="J429" s="19">
        <f>INDEX(Products!$E$2:$E$101,MATCH(C429,Products!$A$2:$A$101,0))</f>
        <v>136.03</v>
      </c>
      <c r="K429" s="19">
        <f t="shared" si="19"/>
        <v>408.09000000000003</v>
      </c>
      <c r="L429" s="19">
        <f t="shared" si="20"/>
        <v>277.34999999999991</v>
      </c>
    </row>
    <row r="430" spans="1:12" ht="15" customHeight="1" x14ac:dyDescent="0.25">
      <c r="A430" s="10">
        <v>429</v>
      </c>
      <c r="B430" s="10">
        <v>137</v>
      </c>
      <c r="C430" s="10">
        <v>32</v>
      </c>
      <c r="D430" s="10">
        <v>1</v>
      </c>
      <c r="E430" s="19">
        <v>489.82</v>
      </c>
      <c r="F430" s="10">
        <v>0</v>
      </c>
      <c r="G430" s="19">
        <f t="shared" si="18"/>
        <v>489.82</v>
      </c>
      <c r="H430" s="10">
        <f>INDEX(Products!$C$2:$C$101,MATCH(C430,Products!$A$2:$A$101,0))</f>
        <v>4</v>
      </c>
      <c r="I430" s="10" t="str">
        <f>INDEX(Categories!$B$2:$B$11,MATCH(H430,Categories!$A$2:$A$11,0))</f>
        <v>Apparel</v>
      </c>
      <c r="J430" s="19">
        <f>INDEX(Products!$E$2:$E$101,MATCH(C430,Products!$A$2:$A$101,0))</f>
        <v>237.87</v>
      </c>
      <c r="K430" s="19">
        <f t="shared" si="19"/>
        <v>237.87</v>
      </c>
      <c r="L430" s="19">
        <f t="shared" si="20"/>
        <v>251.95</v>
      </c>
    </row>
    <row r="431" spans="1:12" ht="15" customHeight="1" x14ac:dyDescent="0.25">
      <c r="A431" s="10">
        <v>430</v>
      </c>
      <c r="B431" s="10">
        <v>138</v>
      </c>
      <c r="C431" s="10">
        <v>10</v>
      </c>
      <c r="D431" s="10">
        <v>4</v>
      </c>
      <c r="E431" s="19">
        <v>395.24</v>
      </c>
      <c r="F431" s="10">
        <v>0.15</v>
      </c>
      <c r="G431" s="19">
        <f t="shared" si="18"/>
        <v>1343.816</v>
      </c>
      <c r="H431" s="10">
        <f>INDEX(Products!$C$2:$C$101,MATCH(C431,Products!$A$2:$A$101,0))</f>
        <v>1</v>
      </c>
      <c r="I431" s="10" t="str">
        <f>INDEX(Categories!$B$2:$B$11,MATCH(H431,Categories!$A$2:$A$11,0))</f>
        <v>Electronics</v>
      </c>
      <c r="J431" s="19">
        <f>INDEX(Products!$E$2:$E$101,MATCH(C431,Products!$A$2:$A$101,0))</f>
        <v>195.96</v>
      </c>
      <c r="K431" s="19">
        <f t="shared" si="19"/>
        <v>783.84</v>
      </c>
      <c r="L431" s="19">
        <f t="shared" si="20"/>
        <v>559.976</v>
      </c>
    </row>
    <row r="432" spans="1:12" ht="15" customHeight="1" x14ac:dyDescent="0.25">
      <c r="A432" s="10">
        <v>431</v>
      </c>
      <c r="B432" s="10">
        <v>138</v>
      </c>
      <c r="C432" s="10">
        <v>3</v>
      </c>
      <c r="D432" s="10">
        <v>8</v>
      </c>
      <c r="E432" s="19">
        <v>101.78</v>
      </c>
      <c r="F432" s="10">
        <v>0.2</v>
      </c>
      <c r="G432" s="19">
        <f t="shared" si="18"/>
        <v>651.39200000000005</v>
      </c>
      <c r="H432" s="10">
        <f>INDEX(Products!$C$2:$C$101,MATCH(C432,Products!$A$2:$A$101,0))</f>
        <v>1</v>
      </c>
      <c r="I432" s="10" t="str">
        <f>INDEX(Categories!$B$2:$B$11,MATCH(H432,Categories!$A$2:$A$11,0))</f>
        <v>Electronics</v>
      </c>
      <c r="J432" s="19">
        <f>INDEX(Products!$E$2:$E$101,MATCH(C432,Products!$A$2:$A$101,0))</f>
        <v>57.2</v>
      </c>
      <c r="K432" s="19">
        <f t="shared" si="19"/>
        <v>457.6</v>
      </c>
      <c r="L432" s="19">
        <f t="shared" si="20"/>
        <v>193.79200000000003</v>
      </c>
    </row>
    <row r="433" spans="1:12" ht="15" customHeight="1" x14ac:dyDescent="0.25">
      <c r="A433" s="10">
        <v>432</v>
      </c>
      <c r="B433" s="10">
        <v>138</v>
      </c>
      <c r="C433" s="10">
        <v>9</v>
      </c>
      <c r="D433" s="10">
        <v>3</v>
      </c>
      <c r="E433" s="19">
        <v>255.18</v>
      </c>
      <c r="F433" s="10">
        <v>0</v>
      </c>
      <c r="G433" s="19">
        <f t="shared" si="18"/>
        <v>765.54</v>
      </c>
      <c r="H433" s="10">
        <f>INDEX(Products!$C$2:$C$101,MATCH(C433,Products!$A$2:$A$101,0))</f>
        <v>1</v>
      </c>
      <c r="I433" s="10" t="str">
        <f>INDEX(Categories!$B$2:$B$11,MATCH(H433,Categories!$A$2:$A$11,0))</f>
        <v>Electronics</v>
      </c>
      <c r="J433" s="19">
        <f>INDEX(Products!$E$2:$E$101,MATCH(C433,Products!$A$2:$A$101,0))</f>
        <v>188.01</v>
      </c>
      <c r="K433" s="19">
        <f t="shared" si="19"/>
        <v>564.03</v>
      </c>
      <c r="L433" s="19">
        <f t="shared" si="20"/>
        <v>201.51</v>
      </c>
    </row>
    <row r="434" spans="1:12" ht="15" customHeight="1" x14ac:dyDescent="0.25">
      <c r="A434" s="10">
        <v>433</v>
      </c>
      <c r="B434" s="10">
        <v>139</v>
      </c>
      <c r="C434" s="10">
        <v>64</v>
      </c>
      <c r="D434" s="10">
        <v>7</v>
      </c>
      <c r="E434" s="19">
        <v>265.25</v>
      </c>
      <c r="F434" s="10">
        <v>0</v>
      </c>
      <c r="G434" s="19">
        <f t="shared" si="18"/>
        <v>1856.75</v>
      </c>
      <c r="H434" s="10">
        <f>INDEX(Products!$C$2:$C$101,MATCH(C434,Products!$A$2:$A$101,0))</f>
        <v>7</v>
      </c>
      <c r="I434" s="10" t="str">
        <f>INDEX(Categories!$B$2:$B$11,MATCH(H434,Categories!$A$2:$A$11,0))</f>
        <v>Toys &amp; Games</v>
      </c>
      <c r="J434" s="19">
        <f>INDEX(Products!$E$2:$E$101,MATCH(C434,Products!$A$2:$A$101,0))</f>
        <v>139.06</v>
      </c>
      <c r="K434" s="19">
        <f t="shared" si="19"/>
        <v>973.42000000000007</v>
      </c>
      <c r="L434" s="19">
        <f t="shared" si="20"/>
        <v>883.32999999999993</v>
      </c>
    </row>
    <row r="435" spans="1:12" ht="15" customHeight="1" x14ac:dyDescent="0.25">
      <c r="A435" s="10">
        <v>434</v>
      </c>
      <c r="B435" s="10">
        <v>139</v>
      </c>
      <c r="C435" s="10">
        <v>4</v>
      </c>
      <c r="D435" s="10">
        <v>6</v>
      </c>
      <c r="E435" s="19">
        <v>419.61</v>
      </c>
      <c r="F435" s="10">
        <v>0</v>
      </c>
      <c r="G435" s="19">
        <f t="shared" si="18"/>
        <v>2517.66</v>
      </c>
      <c r="H435" s="10">
        <f>INDEX(Products!$C$2:$C$101,MATCH(C435,Products!$A$2:$A$101,0))</f>
        <v>1</v>
      </c>
      <c r="I435" s="10" t="str">
        <f>INDEX(Categories!$B$2:$B$11,MATCH(H435,Categories!$A$2:$A$11,0))</f>
        <v>Electronics</v>
      </c>
      <c r="J435" s="19">
        <f>INDEX(Products!$E$2:$E$101,MATCH(C435,Products!$A$2:$A$101,0))</f>
        <v>200.14</v>
      </c>
      <c r="K435" s="19">
        <f t="shared" si="19"/>
        <v>1200.8399999999999</v>
      </c>
      <c r="L435" s="19">
        <f t="shared" si="20"/>
        <v>1316.82</v>
      </c>
    </row>
    <row r="436" spans="1:12" ht="15" customHeight="1" x14ac:dyDescent="0.25">
      <c r="A436" s="10">
        <v>435</v>
      </c>
      <c r="B436" s="10">
        <v>139</v>
      </c>
      <c r="C436" s="10">
        <v>49</v>
      </c>
      <c r="D436" s="10">
        <v>3</v>
      </c>
      <c r="E436" s="19">
        <v>30.6</v>
      </c>
      <c r="F436" s="10">
        <v>0</v>
      </c>
      <c r="G436" s="19">
        <f t="shared" si="18"/>
        <v>91.800000000000011</v>
      </c>
      <c r="H436" s="10">
        <f>INDEX(Products!$C$2:$C$101,MATCH(C436,Products!$A$2:$A$101,0))</f>
        <v>5</v>
      </c>
      <c r="I436" s="10" t="str">
        <f>INDEX(Categories!$B$2:$B$11,MATCH(H436,Categories!$A$2:$A$11,0))</f>
        <v>Home &amp; Kitchen</v>
      </c>
      <c r="J436" s="19">
        <f>INDEX(Products!$E$2:$E$101,MATCH(C436,Products!$A$2:$A$101,0))</f>
        <v>20.64</v>
      </c>
      <c r="K436" s="19">
        <f t="shared" si="19"/>
        <v>61.92</v>
      </c>
      <c r="L436" s="19">
        <f t="shared" si="20"/>
        <v>29.88000000000001</v>
      </c>
    </row>
    <row r="437" spans="1:12" ht="15" customHeight="1" x14ac:dyDescent="0.25">
      <c r="A437" s="10">
        <v>436</v>
      </c>
      <c r="B437" s="10">
        <v>139</v>
      </c>
      <c r="C437" s="10">
        <v>88</v>
      </c>
      <c r="D437" s="10">
        <v>5</v>
      </c>
      <c r="E437" s="19">
        <v>188.36</v>
      </c>
      <c r="F437" s="10">
        <v>0.05</v>
      </c>
      <c r="G437" s="19">
        <f t="shared" si="18"/>
        <v>894.71</v>
      </c>
      <c r="H437" s="10">
        <f>INDEX(Products!$C$2:$C$101,MATCH(C437,Products!$A$2:$A$101,0))</f>
        <v>9</v>
      </c>
      <c r="I437" s="10" t="str">
        <f>INDEX(Categories!$B$2:$B$11,MATCH(H437,Categories!$A$2:$A$11,0))</f>
        <v>Automotive Parts</v>
      </c>
      <c r="J437" s="19">
        <f>INDEX(Products!$E$2:$E$101,MATCH(C437,Products!$A$2:$A$101,0))</f>
        <v>112.11</v>
      </c>
      <c r="K437" s="19">
        <f t="shared" si="19"/>
        <v>560.54999999999995</v>
      </c>
      <c r="L437" s="19">
        <f t="shared" si="20"/>
        <v>334.16000000000008</v>
      </c>
    </row>
    <row r="438" spans="1:12" ht="15" customHeight="1" x14ac:dyDescent="0.25">
      <c r="A438" s="10">
        <v>437</v>
      </c>
      <c r="B438" s="10">
        <v>140</v>
      </c>
      <c r="C438" s="10">
        <v>8</v>
      </c>
      <c r="D438" s="10">
        <v>3</v>
      </c>
      <c r="E438" s="19">
        <v>418.1</v>
      </c>
      <c r="F438" s="10">
        <v>0.05</v>
      </c>
      <c r="G438" s="19">
        <f t="shared" si="18"/>
        <v>1191.585</v>
      </c>
      <c r="H438" s="10">
        <f>INDEX(Products!$C$2:$C$101,MATCH(C438,Products!$A$2:$A$101,0))</f>
        <v>1</v>
      </c>
      <c r="I438" s="10" t="str">
        <f>INDEX(Categories!$B$2:$B$11,MATCH(H438,Categories!$A$2:$A$11,0))</f>
        <v>Electronics</v>
      </c>
      <c r="J438" s="19">
        <f>INDEX(Products!$E$2:$E$101,MATCH(C438,Products!$A$2:$A$101,0))</f>
        <v>188.75</v>
      </c>
      <c r="K438" s="19">
        <f t="shared" si="19"/>
        <v>566.25</v>
      </c>
      <c r="L438" s="19">
        <f t="shared" si="20"/>
        <v>625.33500000000004</v>
      </c>
    </row>
    <row r="439" spans="1:12" ht="15" customHeight="1" x14ac:dyDescent="0.25">
      <c r="A439" s="10">
        <v>438</v>
      </c>
      <c r="B439" s="10">
        <v>140</v>
      </c>
      <c r="C439" s="10">
        <v>12</v>
      </c>
      <c r="D439" s="10">
        <v>4</v>
      </c>
      <c r="E439" s="19">
        <v>219.11</v>
      </c>
      <c r="F439" s="10">
        <v>0.15</v>
      </c>
      <c r="G439" s="19">
        <f t="shared" si="18"/>
        <v>744.97400000000005</v>
      </c>
      <c r="H439" s="10">
        <f>INDEX(Products!$C$2:$C$101,MATCH(C439,Products!$A$2:$A$101,0))</f>
        <v>2</v>
      </c>
      <c r="I439" s="10" t="str">
        <f>INDEX(Categories!$B$2:$B$11,MATCH(H439,Categories!$A$2:$A$11,0))</f>
        <v>Office Supplies</v>
      </c>
      <c r="J439" s="19">
        <f>INDEX(Products!$E$2:$E$101,MATCH(C439,Products!$A$2:$A$101,0))</f>
        <v>142.30000000000001</v>
      </c>
      <c r="K439" s="19">
        <f t="shared" si="19"/>
        <v>569.20000000000005</v>
      </c>
      <c r="L439" s="19">
        <f t="shared" si="20"/>
        <v>175.774</v>
      </c>
    </row>
    <row r="440" spans="1:12" ht="15" customHeight="1" x14ac:dyDescent="0.25">
      <c r="A440" s="10">
        <v>439</v>
      </c>
      <c r="B440" s="10">
        <v>140</v>
      </c>
      <c r="C440" s="10">
        <v>36</v>
      </c>
      <c r="D440" s="10">
        <v>9</v>
      </c>
      <c r="E440" s="19">
        <v>472.77</v>
      </c>
      <c r="F440" s="10">
        <v>0</v>
      </c>
      <c r="G440" s="19">
        <f t="shared" si="18"/>
        <v>4254.93</v>
      </c>
      <c r="H440" s="10">
        <f>INDEX(Products!$C$2:$C$101,MATCH(C440,Products!$A$2:$A$101,0))</f>
        <v>4</v>
      </c>
      <c r="I440" s="10" t="str">
        <f>INDEX(Categories!$B$2:$B$11,MATCH(H440,Categories!$A$2:$A$11,0))</f>
        <v>Apparel</v>
      </c>
      <c r="J440" s="19">
        <f>INDEX(Products!$E$2:$E$101,MATCH(C440,Products!$A$2:$A$101,0))</f>
        <v>236.19</v>
      </c>
      <c r="K440" s="19">
        <f t="shared" si="19"/>
        <v>2125.71</v>
      </c>
      <c r="L440" s="19">
        <f t="shared" si="20"/>
        <v>2129.2200000000003</v>
      </c>
    </row>
    <row r="441" spans="1:12" ht="15" customHeight="1" x14ac:dyDescent="0.25">
      <c r="A441" s="10">
        <v>440</v>
      </c>
      <c r="B441" s="10">
        <v>140</v>
      </c>
      <c r="C441" s="10">
        <v>50</v>
      </c>
      <c r="D441" s="10">
        <v>9</v>
      </c>
      <c r="E441" s="19">
        <v>411.05</v>
      </c>
      <c r="F441" s="10">
        <v>0.2</v>
      </c>
      <c r="G441" s="19">
        <f t="shared" si="18"/>
        <v>2959.5600000000004</v>
      </c>
      <c r="H441" s="10">
        <f>INDEX(Products!$C$2:$C$101,MATCH(C441,Products!$A$2:$A$101,0))</f>
        <v>5</v>
      </c>
      <c r="I441" s="10" t="str">
        <f>INDEX(Categories!$B$2:$B$11,MATCH(H441,Categories!$A$2:$A$11,0))</f>
        <v>Home &amp; Kitchen</v>
      </c>
      <c r="J441" s="19">
        <f>INDEX(Products!$E$2:$E$101,MATCH(C441,Products!$A$2:$A$101,0))</f>
        <v>230.53</v>
      </c>
      <c r="K441" s="19">
        <f t="shared" si="19"/>
        <v>2074.77</v>
      </c>
      <c r="L441" s="19">
        <f t="shared" si="20"/>
        <v>884.79000000000042</v>
      </c>
    </row>
    <row r="442" spans="1:12" ht="15" customHeight="1" x14ac:dyDescent="0.25">
      <c r="A442" s="10">
        <v>441</v>
      </c>
      <c r="B442" s="10">
        <v>141</v>
      </c>
      <c r="C442" s="10">
        <v>24</v>
      </c>
      <c r="D442" s="10">
        <v>10</v>
      </c>
      <c r="E442" s="19">
        <v>158.72999999999999</v>
      </c>
      <c r="F442" s="10">
        <v>0</v>
      </c>
      <c r="G442" s="19">
        <f t="shared" si="18"/>
        <v>1587.3</v>
      </c>
      <c r="H442" s="10">
        <f>INDEX(Products!$C$2:$C$101,MATCH(C442,Products!$A$2:$A$101,0))</f>
        <v>3</v>
      </c>
      <c r="I442" s="10" t="str">
        <f>INDEX(Categories!$B$2:$B$11,MATCH(H442,Categories!$A$2:$A$11,0))</f>
        <v>Furniture</v>
      </c>
      <c r="J442" s="19">
        <f>INDEX(Products!$E$2:$E$101,MATCH(C442,Products!$A$2:$A$101,0))</f>
        <v>86.09</v>
      </c>
      <c r="K442" s="19">
        <f t="shared" si="19"/>
        <v>860.90000000000009</v>
      </c>
      <c r="L442" s="19">
        <f t="shared" si="20"/>
        <v>726.39999999999986</v>
      </c>
    </row>
    <row r="443" spans="1:12" ht="15" customHeight="1" x14ac:dyDescent="0.25">
      <c r="A443" s="10">
        <v>442</v>
      </c>
      <c r="B443" s="10">
        <v>141</v>
      </c>
      <c r="C443" s="10">
        <v>4</v>
      </c>
      <c r="D443" s="10">
        <v>1</v>
      </c>
      <c r="E443" s="19">
        <v>419.61</v>
      </c>
      <c r="F443" s="10">
        <v>0.2</v>
      </c>
      <c r="G443" s="19">
        <f t="shared" si="18"/>
        <v>335.68800000000005</v>
      </c>
      <c r="H443" s="10">
        <f>INDEX(Products!$C$2:$C$101,MATCH(C443,Products!$A$2:$A$101,0))</f>
        <v>1</v>
      </c>
      <c r="I443" s="10" t="str">
        <f>INDEX(Categories!$B$2:$B$11,MATCH(H443,Categories!$A$2:$A$11,0))</f>
        <v>Electronics</v>
      </c>
      <c r="J443" s="19">
        <f>INDEX(Products!$E$2:$E$101,MATCH(C443,Products!$A$2:$A$101,0))</f>
        <v>200.14</v>
      </c>
      <c r="K443" s="19">
        <f t="shared" si="19"/>
        <v>200.14</v>
      </c>
      <c r="L443" s="19">
        <f t="shared" si="20"/>
        <v>135.54800000000006</v>
      </c>
    </row>
    <row r="444" spans="1:12" ht="15" customHeight="1" x14ac:dyDescent="0.25">
      <c r="A444" s="10">
        <v>443</v>
      </c>
      <c r="B444" s="10">
        <v>141</v>
      </c>
      <c r="C444" s="10">
        <v>41</v>
      </c>
      <c r="D444" s="10">
        <v>5</v>
      </c>
      <c r="E444" s="19">
        <v>331.46</v>
      </c>
      <c r="F444" s="10">
        <v>0</v>
      </c>
      <c r="G444" s="19">
        <f t="shared" si="18"/>
        <v>1657.3</v>
      </c>
      <c r="H444" s="10">
        <f>INDEX(Products!$C$2:$C$101,MATCH(C444,Products!$A$2:$A$101,0))</f>
        <v>5</v>
      </c>
      <c r="I444" s="10" t="str">
        <f>INDEX(Categories!$B$2:$B$11,MATCH(H444,Categories!$A$2:$A$11,0))</f>
        <v>Home &amp; Kitchen</v>
      </c>
      <c r="J444" s="19">
        <f>INDEX(Products!$E$2:$E$101,MATCH(C444,Products!$A$2:$A$101,0))</f>
        <v>152.76</v>
      </c>
      <c r="K444" s="19">
        <f t="shared" si="19"/>
        <v>763.8</v>
      </c>
      <c r="L444" s="19">
        <f t="shared" si="20"/>
        <v>893.5</v>
      </c>
    </row>
    <row r="445" spans="1:12" ht="15" customHeight="1" x14ac:dyDescent="0.25">
      <c r="A445" s="10">
        <v>444</v>
      </c>
      <c r="B445" s="10">
        <v>142</v>
      </c>
      <c r="C445" s="10">
        <v>69</v>
      </c>
      <c r="D445" s="10">
        <v>4</v>
      </c>
      <c r="E445" s="19">
        <v>188.38</v>
      </c>
      <c r="F445" s="10">
        <v>0.1</v>
      </c>
      <c r="G445" s="19">
        <f t="shared" si="18"/>
        <v>678.16800000000001</v>
      </c>
      <c r="H445" s="10">
        <f>INDEX(Products!$C$2:$C$101,MATCH(C445,Products!$A$2:$A$101,0))</f>
        <v>7</v>
      </c>
      <c r="I445" s="10" t="str">
        <f>INDEX(Categories!$B$2:$B$11,MATCH(H445,Categories!$A$2:$A$11,0))</f>
        <v>Toys &amp; Games</v>
      </c>
      <c r="J445" s="19">
        <f>INDEX(Products!$E$2:$E$101,MATCH(C445,Products!$A$2:$A$101,0))</f>
        <v>86.95</v>
      </c>
      <c r="K445" s="19">
        <f t="shared" si="19"/>
        <v>347.8</v>
      </c>
      <c r="L445" s="19">
        <f t="shared" si="20"/>
        <v>330.36799999999999</v>
      </c>
    </row>
    <row r="446" spans="1:12" ht="15" customHeight="1" x14ac:dyDescent="0.25">
      <c r="A446" s="10">
        <v>445</v>
      </c>
      <c r="B446" s="10">
        <v>142</v>
      </c>
      <c r="C446" s="10">
        <v>95</v>
      </c>
      <c r="D446" s="10">
        <v>7</v>
      </c>
      <c r="E446" s="19">
        <v>394.56</v>
      </c>
      <c r="F446" s="10">
        <v>0</v>
      </c>
      <c r="G446" s="19">
        <f t="shared" si="18"/>
        <v>2761.92</v>
      </c>
      <c r="H446" s="10">
        <f>INDEX(Products!$C$2:$C$101,MATCH(C446,Products!$A$2:$A$101,0))</f>
        <v>10</v>
      </c>
      <c r="I446" s="10" t="str">
        <f>INDEX(Categories!$B$2:$B$11,MATCH(H446,Categories!$A$2:$A$11,0))</f>
        <v>Groceries</v>
      </c>
      <c r="J446" s="19">
        <f>INDEX(Products!$E$2:$E$101,MATCH(C446,Products!$A$2:$A$101,0))</f>
        <v>192.57</v>
      </c>
      <c r="K446" s="19">
        <f t="shared" si="19"/>
        <v>1347.99</v>
      </c>
      <c r="L446" s="19">
        <f t="shared" si="20"/>
        <v>1413.93</v>
      </c>
    </row>
    <row r="447" spans="1:12" ht="15" customHeight="1" x14ac:dyDescent="0.25">
      <c r="A447" s="10">
        <v>446</v>
      </c>
      <c r="B447" s="10">
        <v>142</v>
      </c>
      <c r="C447" s="10">
        <v>8</v>
      </c>
      <c r="D447" s="10">
        <v>3</v>
      </c>
      <c r="E447" s="19">
        <v>418.1</v>
      </c>
      <c r="F447" s="10">
        <v>0</v>
      </c>
      <c r="G447" s="19">
        <f t="shared" si="18"/>
        <v>1254.3000000000002</v>
      </c>
      <c r="H447" s="10">
        <f>INDEX(Products!$C$2:$C$101,MATCH(C447,Products!$A$2:$A$101,0))</f>
        <v>1</v>
      </c>
      <c r="I447" s="10" t="str">
        <f>INDEX(Categories!$B$2:$B$11,MATCH(H447,Categories!$A$2:$A$11,0))</f>
        <v>Electronics</v>
      </c>
      <c r="J447" s="19">
        <f>INDEX(Products!$E$2:$E$101,MATCH(C447,Products!$A$2:$A$101,0))</f>
        <v>188.75</v>
      </c>
      <c r="K447" s="19">
        <f t="shared" si="19"/>
        <v>566.25</v>
      </c>
      <c r="L447" s="19">
        <f t="shared" si="20"/>
        <v>688.05000000000018</v>
      </c>
    </row>
    <row r="448" spans="1:12" ht="15" customHeight="1" x14ac:dyDescent="0.25">
      <c r="A448" s="10">
        <v>447</v>
      </c>
      <c r="B448" s="10">
        <v>143</v>
      </c>
      <c r="C448" s="10">
        <v>19</v>
      </c>
      <c r="D448" s="10">
        <v>5</v>
      </c>
      <c r="E448" s="19">
        <v>291.89</v>
      </c>
      <c r="F448" s="10">
        <v>0</v>
      </c>
      <c r="G448" s="19">
        <f t="shared" si="18"/>
        <v>1459.4499999999998</v>
      </c>
      <c r="H448" s="10">
        <f>INDEX(Products!$C$2:$C$101,MATCH(C448,Products!$A$2:$A$101,0))</f>
        <v>2</v>
      </c>
      <c r="I448" s="10" t="str">
        <f>INDEX(Categories!$B$2:$B$11,MATCH(H448,Categories!$A$2:$A$11,0))</f>
        <v>Office Supplies</v>
      </c>
      <c r="J448" s="19">
        <f>INDEX(Products!$E$2:$E$101,MATCH(C448,Products!$A$2:$A$101,0))</f>
        <v>206.12</v>
      </c>
      <c r="K448" s="19">
        <f t="shared" si="19"/>
        <v>1030.5999999999999</v>
      </c>
      <c r="L448" s="19">
        <f t="shared" si="20"/>
        <v>428.84999999999991</v>
      </c>
    </row>
    <row r="449" spans="1:12" ht="15" customHeight="1" x14ac:dyDescent="0.25">
      <c r="A449" s="10">
        <v>448</v>
      </c>
      <c r="B449" s="10">
        <v>143</v>
      </c>
      <c r="C449" s="10">
        <v>73</v>
      </c>
      <c r="D449" s="10">
        <v>8</v>
      </c>
      <c r="E449" s="19">
        <v>375.67</v>
      </c>
      <c r="F449" s="10">
        <v>0</v>
      </c>
      <c r="G449" s="19">
        <f t="shared" si="18"/>
        <v>3005.36</v>
      </c>
      <c r="H449" s="10">
        <f>INDEX(Products!$C$2:$C$101,MATCH(C449,Products!$A$2:$A$101,0))</f>
        <v>8</v>
      </c>
      <c r="I449" s="10" t="str">
        <f>INDEX(Categories!$B$2:$B$11,MATCH(H449,Categories!$A$2:$A$11,0))</f>
        <v>Health &amp; Beauty</v>
      </c>
      <c r="J449" s="19">
        <f>INDEX(Products!$E$2:$E$101,MATCH(C449,Products!$A$2:$A$101,0))</f>
        <v>214.44</v>
      </c>
      <c r="K449" s="19">
        <f t="shared" si="19"/>
        <v>1715.52</v>
      </c>
      <c r="L449" s="19">
        <f t="shared" si="20"/>
        <v>1289.8400000000001</v>
      </c>
    </row>
    <row r="450" spans="1:12" ht="15" customHeight="1" x14ac:dyDescent="0.25">
      <c r="A450" s="10">
        <v>449</v>
      </c>
      <c r="B450" s="10">
        <v>143</v>
      </c>
      <c r="C450" s="10">
        <v>25</v>
      </c>
      <c r="D450" s="10">
        <v>2</v>
      </c>
      <c r="E450" s="19">
        <v>334.98</v>
      </c>
      <c r="F450" s="10">
        <v>0</v>
      </c>
      <c r="G450" s="19">
        <f t="shared" ref="G450:G513" si="21">D450*E450*(1-F450)</f>
        <v>669.96</v>
      </c>
      <c r="H450" s="10">
        <f>INDEX(Products!$C$2:$C$101,MATCH(C450,Products!$A$2:$A$101,0))</f>
        <v>3</v>
      </c>
      <c r="I450" s="10" t="str">
        <f>INDEX(Categories!$B$2:$B$11,MATCH(H450,Categories!$A$2:$A$11,0))</f>
        <v>Furniture</v>
      </c>
      <c r="J450" s="19">
        <f>INDEX(Products!$E$2:$E$101,MATCH(C450,Products!$A$2:$A$101,0))</f>
        <v>200.06</v>
      </c>
      <c r="K450" s="19">
        <f t="shared" ref="K450:K513" si="22">D450*J450</f>
        <v>400.12</v>
      </c>
      <c r="L450" s="19">
        <f t="shared" ref="L450:L513" si="23">G450-K450</f>
        <v>269.84000000000003</v>
      </c>
    </row>
    <row r="451" spans="1:12" ht="15" customHeight="1" x14ac:dyDescent="0.25">
      <c r="A451" s="10">
        <v>450</v>
      </c>
      <c r="B451" s="10">
        <v>143</v>
      </c>
      <c r="C451" s="10">
        <v>64</v>
      </c>
      <c r="D451" s="10">
        <v>4</v>
      </c>
      <c r="E451" s="19">
        <v>265.25</v>
      </c>
      <c r="F451" s="10">
        <v>0.1</v>
      </c>
      <c r="G451" s="19">
        <f t="shared" si="21"/>
        <v>954.9</v>
      </c>
      <c r="H451" s="10">
        <f>INDEX(Products!$C$2:$C$101,MATCH(C451,Products!$A$2:$A$101,0))</f>
        <v>7</v>
      </c>
      <c r="I451" s="10" t="str">
        <f>INDEX(Categories!$B$2:$B$11,MATCH(H451,Categories!$A$2:$A$11,0))</f>
        <v>Toys &amp; Games</v>
      </c>
      <c r="J451" s="19">
        <f>INDEX(Products!$E$2:$E$101,MATCH(C451,Products!$A$2:$A$101,0))</f>
        <v>139.06</v>
      </c>
      <c r="K451" s="19">
        <f t="shared" si="22"/>
        <v>556.24</v>
      </c>
      <c r="L451" s="19">
        <f t="shared" si="23"/>
        <v>398.65999999999997</v>
      </c>
    </row>
    <row r="452" spans="1:12" ht="15" customHeight="1" x14ac:dyDescent="0.25">
      <c r="A452" s="10">
        <v>451</v>
      </c>
      <c r="B452" s="10">
        <v>143</v>
      </c>
      <c r="C452" s="10">
        <v>70</v>
      </c>
      <c r="D452" s="10">
        <v>4</v>
      </c>
      <c r="E452" s="19">
        <v>149.31</v>
      </c>
      <c r="F452" s="10">
        <v>0</v>
      </c>
      <c r="G452" s="19">
        <f t="shared" si="21"/>
        <v>597.24</v>
      </c>
      <c r="H452" s="10">
        <f>INDEX(Products!$C$2:$C$101,MATCH(C452,Products!$A$2:$A$101,0))</f>
        <v>7</v>
      </c>
      <c r="I452" s="10" t="str">
        <f>INDEX(Categories!$B$2:$B$11,MATCH(H452,Categories!$A$2:$A$11,0))</f>
        <v>Toys &amp; Games</v>
      </c>
      <c r="J452" s="19">
        <f>INDEX(Products!$E$2:$E$101,MATCH(C452,Products!$A$2:$A$101,0))</f>
        <v>76.739999999999995</v>
      </c>
      <c r="K452" s="19">
        <f t="shared" si="22"/>
        <v>306.95999999999998</v>
      </c>
      <c r="L452" s="19">
        <f t="shared" si="23"/>
        <v>290.28000000000003</v>
      </c>
    </row>
    <row r="453" spans="1:12" ht="15" customHeight="1" x14ac:dyDescent="0.25">
      <c r="A453" s="10">
        <v>452</v>
      </c>
      <c r="B453" s="10">
        <v>144</v>
      </c>
      <c r="C453" s="10">
        <v>8</v>
      </c>
      <c r="D453" s="10">
        <v>10</v>
      </c>
      <c r="E453" s="19">
        <v>418.1</v>
      </c>
      <c r="F453" s="10">
        <v>0.15</v>
      </c>
      <c r="G453" s="19">
        <f t="shared" si="21"/>
        <v>3553.85</v>
      </c>
      <c r="H453" s="10">
        <f>INDEX(Products!$C$2:$C$101,MATCH(C453,Products!$A$2:$A$101,0))</f>
        <v>1</v>
      </c>
      <c r="I453" s="10" t="str">
        <f>INDEX(Categories!$B$2:$B$11,MATCH(H453,Categories!$A$2:$A$11,0))</f>
        <v>Electronics</v>
      </c>
      <c r="J453" s="19">
        <f>INDEX(Products!$E$2:$E$101,MATCH(C453,Products!$A$2:$A$101,0))</f>
        <v>188.75</v>
      </c>
      <c r="K453" s="19">
        <f t="shared" si="22"/>
        <v>1887.5</v>
      </c>
      <c r="L453" s="19">
        <f t="shared" si="23"/>
        <v>1666.35</v>
      </c>
    </row>
    <row r="454" spans="1:12" ht="15" customHeight="1" x14ac:dyDescent="0.25">
      <c r="A454" s="10">
        <v>453</v>
      </c>
      <c r="B454" s="10">
        <v>144</v>
      </c>
      <c r="C454" s="10">
        <v>3</v>
      </c>
      <c r="D454" s="10">
        <v>3</v>
      </c>
      <c r="E454" s="19">
        <v>101.78</v>
      </c>
      <c r="F454" s="10">
        <v>0.2</v>
      </c>
      <c r="G454" s="19">
        <f t="shared" si="21"/>
        <v>244.27200000000005</v>
      </c>
      <c r="H454" s="10">
        <f>INDEX(Products!$C$2:$C$101,MATCH(C454,Products!$A$2:$A$101,0))</f>
        <v>1</v>
      </c>
      <c r="I454" s="10" t="str">
        <f>INDEX(Categories!$B$2:$B$11,MATCH(H454,Categories!$A$2:$A$11,0))</f>
        <v>Electronics</v>
      </c>
      <c r="J454" s="19">
        <f>INDEX(Products!$E$2:$E$101,MATCH(C454,Products!$A$2:$A$101,0))</f>
        <v>57.2</v>
      </c>
      <c r="K454" s="19">
        <f t="shared" si="22"/>
        <v>171.60000000000002</v>
      </c>
      <c r="L454" s="19">
        <f t="shared" si="23"/>
        <v>72.672000000000025</v>
      </c>
    </row>
    <row r="455" spans="1:12" ht="15" customHeight="1" x14ac:dyDescent="0.25">
      <c r="A455" s="10">
        <v>454</v>
      </c>
      <c r="B455" s="10">
        <v>144</v>
      </c>
      <c r="C455" s="10">
        <v>19</v>
      </c>
      <c r="D455" s="10">
        <v>2</v>
      </c>
      <c r="E455" s="19">
        <v>291.89</v>
      </c>
      <c r="F455" s="10">
        <v>0.2</v>
      </c>
      <c r="G455" s="19">
        <f t="shared" si="21"/>
        <v>467.024</v>
      </c>
      <c r="H455" s="10">
        <f>INDEX(Products!$C$2:$C$101,MATCH(C455,Products!$A$2:$A$101,0))</f>
        <v>2</v>
      </c>
      <c r="I455" s="10" t="str">
        <f>INDEX(Categories!$B$2:$B$11,MATCH(H455,Categories!$A$2:$A$11,0))</f>
        <v>Office Supplies</v>
      </c>
      <c r="J455" s="19">
        <f>INDEX(Products!$E$2:$E$101,MATCH(C455,Products!$A$2:$A$101,0))</f>
        <v>206.12</v>
      </c>
      <c r="K455" s="19">
        <f t="shared" si="22"/>
        <v>412.24</v>
      </c>
      <c r="L455" s="19">
        <f t="shared" si="23"/>
        <v>54.783999999999992</v>
      </c>
    </row>
    <row r="456" spans="1:12" ht="15" customHeight="1" x14ac:dyDescent="0.25">
      <c r="A456" s="10">
        <v>455</v>
      </c>
      <c r="B456" s="10">
        <v>145</v>
      </c>
      <c r="C456" s="10">
        <v>18</v>
      </c>
      <c r="D456" s="10">
        <v>7</v>
      </c>
      <c r="E456" s="19">
        <v>185.81</v>
      </c>
      <c r="F456" s="10">
        <v>0.2</v>
      </c>
      <c r="G456" s="19">
        <f t="shared" si="21"/>
        <v>1040.5360000000001</v>
      </c>
      <c r="H456" s="10">
        <f>INDEX(Products!$C$2:$C$101,MATCH(C456,Products!$A$2:$A$101,0))</f>
        <v>2</v>
      </c>
      <c r="I456" s="10" t="str">
        <f>INDEX(Categories!$B$2:$B$11,MATCH(H456,Categories!$A$2:$A$11,0))</f>
        <v>Office Supplies</v>
      </c>
      <c r="J456" s="19">
        <f>INDEX(Products!$E$2:$E$101,MATCH(C456,Products!$A$2:$A$101,0))</f>
        <v>108.81</v>
      </c>
      <c r="K456" s="19">
        <f t="shared" si="22"/>
        <v>761.67000000000007</v>
      </c>
      <c r="L456" s="19">
        <f t="shared" si="23"/>
        <v>278.86599999999999</v>
      </c>
    </row>
    <row r="457" spans="1:12" ht="15" customHeight="1" x14ac:dyDescent="0.25">
      <c r="A457" s="10">
        <v>456</v>
      </c>
      <c r="B457" s="10">
        <v>145</v>
      </c>
      <c r="C457" s="10">
        <v>21</v>
      </c>
      <c r="D457" s="10">
        <v>8</v>
      </c>
      <c r="E457" s="19">
        <v>358.6</v>
      </c>
      <c r="F457" s="10">
        <v>0.15</v>
      </c>
      <c r="G457" s="19">
        <f t="shared" si="21"/>
        <v>2438.48</v>
      </c>
      <c r="H457" s="10">
        <f>INDEX(Products!$C$2:$C$101,MATCH(C457,Products!$A$2:$A$101,0))</f>
        <v>3</v>
      </c>
      <c r="I457" s="10" t="str">
        <f>INDEX(Categories!$B$2:$B$11,MATCH(H457,Categories!$A$2:$A$11,0))</f>
        <v>Furniture</v>
      </c>
      <c r="J457" s="19">
        <f>INDEX(Products!$E$2:$E$101,MATCH(C457,Products!$A$2:$A$101,0))</f>
        <v>155.13</v>
      </c>
      <c r="K457" s="19">
        <f t="shared" si="22"/>
        <v>1241.04</v>
      </c>
      <c r="L457" s="19">
        <f t="shared" si="23"/>
        <v>1197.44</v>
      </c>
    </row>
    <row r="458" spans="1:12" ht="15" customHeight="1" x14ac:dyDescent="0.25">
      <c r="A458" s="10">
        <v>457</v>
      </c>
      <c r="B458" s="10">
        <v>145</v>
      </c>
      <c r="C458" s="10">
        <v>94</v>
      </c>
      <c r="D458" s="10">
        <v>6</v>
      </c>
      <c r="E458" s="19">
        <v>309.85000000000002</v>
      </c>
      <c r="F458" s="10">
        <v>0</v>
      </c>
      <c r="G458" s="19">
        <f t="shared" si="21"/>
        <v>1859.1000000000001</v>
      </c>
      <c r="H458" s="10">
        <f>INDEX(Products!$C$2:$C$101,MATCH(C458,Products!$A$2:$A$101,0))</f>
        <v>10</v>
      </c>
      <c r="I458" s="10" t="str">
        <f>INDEX(Categories!$B$2:$B$11,MATCH(H458,Categories!$A$2:$A$11,0))</f>
        <v>Groceries</v>
      </c>
      <c r="J458" s="19">
        <f>INDEX(Products!$E$2:$E$101,MATCH(C458,Products!$A$2:$A$101,0))</f>
        <v>201.08</v>
      </c>
      <c r="K458" s="19">
        <f t="shared" si="22"/>
        <v>1206.48</v>
      </c>
      <c r="L458" s="19">
        <f t="shared" si="23"/>
        <v>652.62000000000012</v>
      </c>
    </row>
    <row r="459" spans="1:12" ht="15" customHeight="1" x14ac:dyDescent="0.25">
      <c r="A459" s="10">
        <v>458</v>
      </c>
      <c r="B459" s="10">
        <v>146</v>
      </c>
      <c r="C459" s="10">
        <v>51</v>
      </c>
      <c r="D459" s="10">
        <v>10</v>
      </c>
      <c r="E459" s="19">
        <v>436.43</v>
      </c>
      <c r="F459" s="10">
        <v>0</v>
      </c>
      <c r="G459" s="19">
        <f t="shared" si="21"/>
        <v>4364.3</v>
      </c>
      <c r="H459" s="10">
        <f>INDEX(Products!$C$2:$C$101,MATCH(C459,Products!$A$2:$A$101,0))</f>
        <v>6</v>
      </c>
      <c r="I459" s="10" t="str">
        <f>INDEX(Categories!$B$2:$B$11,MATCH(H459,Categories!$A$2:$A$11,0))</f>
        <v>Sporting Goods</v>
      </c>
      <c r="J459" s="19">
        <f>INDEX(Products!$E$2:$E$101,MATCH(C459,Products!$A$2:$A$101,0))</f>
        <v>235.84</v>
      </c>
      <c r="K459" s="19">
        <f t="shared" si="22"/>
        <v>2358.4</v>
      </c>
      <c r="L459" s="19">
        <f t="shared" si="23"/>
        <v>2005.9</v>
      </c>
    </row>
    <row r="460" spans="1:12" ht="15" customHeight="1" x14ac:dyDescent="0.25">
      <c r="A460" s="10">
        <v>459</v>
      </c>
      <c r="B460" s="10">
        <v>146</v>
      </c>
      <c r="C460" s="10">
        <v>99</v>
      </c>
      <c r="D460" s="10">
        <v>10</v>
      </c>
      <c r="E460" s="19">
        <v>329.4</v>
      </c>
      <c r="F460" s="10">
        <v>0</v>
      </c>
      <c r="G460" s="19">
        <f t="shared" si="21"/>
        <v>3294</v>
      </c>
      <c r="H460" s="10">
        <f>INDEX(Products!$C$2:$C$101,MATCH(C460,Products!$A$2:$A$101,0))</f>
        <v>10</v>
      </c>
      <c r="I460" s="10" t="str">
        <f>INDEX(Categories!$B$2:$B$11,MATCH(H460,Categories!$A$2:$A$11,0))</f>
        <v>Groceries</v>
      </c>
      <c r="J460" s="19">
        <f>INDEX(Products!$E$2:$E$101,MATCH(C460,Products!$A$2:$A$101,0))</f>
        <v>208.13</v>
      </c>
      <c r="K460" s="19">
        <f t="shared" si="22"/>
        <v>2081.3000000000002</v>
      </c>
      <c r="L460" s="19">
        <f t="shared" si="23"/>
        <v>1212.6999999999998</v>
      </c>
    </row>
    <row r="461" spans="1:12" ht="15" customHeight="1" x14ac:dyDescent="0.25">
      <c r="A461" s="10">
        <v>460</v>
      </c>
      <c r="B461" s="10">
        <v>146</v>
      </c>
      <c r="C461" s="10">
        <v>73</v>
      </c>
      <c r="D461" s="10">
        <v>10</v>
      </c>
      <c r="E461" s="19">
        <v>375.67</v>
      </c>
      <c r="F461" s="10">
        <v>0</v>
      </c>
      <c r="G461" s="19">
        <f t="shared" si="21"/>
        <v>3756.7000000000003</v>
      </c>
      <c r="H461" s="10">
        <f>INDEX(Products!$C$2:$C$101,MATCH(C461,Products!$A$2:$A$101,0))</f>
        <v>8</v>
      </c>
      <c r="I461" s="10" t="str">
        <f>INDEX(Categories!$B$2:$B$11,MATCH(H461,Categories!$A$2:$A$11,0))</f>
        <v>Health &amp; Beauty</v>
      </c>
      <c r="J461" s="19">
        <f>INDEX(Products!$E$2:$E$101,MATCH(C461,Products!$A$2:$A$101,0))</f>
        <v>214.44</v>
      </c>
      <c r="K461" s="19">
        <f t="shared" si="22"/>
        <v>2144.4</v>
      </c>
      <c r="L461" s="19">
        <f t="shared" si="23"/>
        <v>1612.3000000000002</v>
      </c>
    </row>
    <row r="462" spans="1:12" ht="15" customHeight="1" x14ac:dyDescent="0.25">
      <c r="A462" s="10">
        <v>461</v>
      </c>
      <c r="B462" s="10">
        <v>146</v>
      </c>
      <c r="C462" s="10">
        <v>5</v>
      </c>
      <c r="D462" s="10">
        <v>8</v>
      </c>
      <c r="E462" s="19">
        <v>310.02</v>
      </c>
      <c r="F462" s="10">
        <v>0</v>
      </c>
      <c r="G462" s="19">
        <f t="shared" si="21"/>
        <v>2480.16</v>
      </c>
      <c r="H462" s="10">
        <f>INDEX(Products!$C$2:$C$101,MATCH(C462,Products!$A$2:$A$101,0))</f>
        <v>1</v>
      </c>
      <c r="I462" s="10" t="str">
        <f>INDEX(Categories!$B$2:$B$11,MATCH(H462,Categories!$A$2:$A$11,0))</f>
        <v>Electronics</v>
      </c>
      <c r="J462" s="19">
        <f>INDEX(Products!$E$2:$E$101,MATCH(C462,Products!$A$2:$A$101,0))</f>
        <v>134.93</v>
      </c>
      <c r="K462" s="19">
        <f t="shared" si="22"/>
        <v>1079.44</v>
      </c>
      <c r="L462" s="19">
        <f t="shared" si="23"/>
        <v>1400.7199999999998</v>
      </c>
    </row>
    <row r="463" spans="1:12" ht="15" customHeight="1" x14ac:dyDescent="0.25">
      <c r="A463" s="10">
        <v>462</v>
      </c>
      <c r="B463" s="10">
        <v>146</v>
      </c>
      <c r="C463" s="10">
        <v>24</v>
      </c>
      <c r="D463" s="10">
        <v>6</v>
      </c>
      <c r="E463" s="19">
        <v>158.72999999999999</v>
      </c>
      <c r="F463" s="10">
        <v>0.15</v>
      </c>
      <c r="G463" s="19">
        <f t="shared" si="21"/>
        <v>809.52299999999991</v>
      </c>
      <c r="H463" s="10">
        <f>INDEX(Products!$C$2:$C$101,MATCH(C463,Products!$A$2:$A$101,0))</f>
        <v>3</v>
      </c>
      <c r="I463" s="10" t="str">
        <f>INDEX(Categories!$B$2:$B$11,MATCH(H463,Categories!$A$2:$A$11,0))</f>
        <v>Furniture</v>
      </c>
      <c r="J463" s="19">
        <f>INDEX(Products!$E$2:$E$101,MATCH(C463,Products!$A$2:$A$101,0))</f>
        <v>86.09</v>
      </c>
      <c r="K463" s="19">
        <f t="shared" si="22"/>
        <v>516.54</v>
      </c>
      <c r="L463" s="19">
        <f t="shared" si="23"/>
        <v>292.98299999999995</v>
      </c>
    </row>
    <row r="464" spans="1:12" ht="15" customHeight="1" x14ac:dyDescent="0.25">
      <c r="A464" s="10">
        <v>463</v>
      </c>
      <c r="B464" s="10">
        <v>147</v>
      </c>
      <c r="C464" s="10">
        <v>34</v>
      </c>
      <c r="D464" s="10">
        <v>4</v>
      </c>
      <c r="E464" s="19">
        <v>339.25</v>
      </c>
      <c r="F464" s="10">
        <v>0</v>
      </c>
      <c r="G464" s="19">
        <f t="shared" si="21"/>
        <v>1357</v>
      </c>
      <c r="H464" s="10">
        <f>INDEX(Products!$C$2:$C$101,MATCH(C464,Products!$A$2:$A$101,0))</f>
        <v>4</v>
      </c>
      <c r="I464" s="10" t="str">
        <f>INDEX(Categories!$B$2:$B$11,MATCH(H464,Categories!$A$2:$A$11,0))</f>
        <v>Apparel</v>
      </c>
      <c r="J464" s="19">
        <f>INDEX(Products!$E$2:$E$101,MATCH(C464,Products!$A$2:$A$101,0))</f>
        <v>208.66</v>
      </c>
      <c r="K464" s="19">
        <f t="shared" si="22"/>
        <v>834.64</v>
      </c>
      <c r="L464" s="19">
        <f t="shared" si="23"/>
        <v>522.36</v>
      </c>
    </row>
    <row r="465" spans="1:12" ht="15" customHeight="1" x14ac:dyDescent="0.25">
      <c r="A465" s="10">
        <v>464</v>
      </c>
      <c r="B465" s="10">
        <v>148</v>
      </c>
      <c r="C465" s="10">
        <v>94</v>
      </c>
      <c r="D465" s="10">
        <v>8</v>
      </c>
      <c r="E465" s="19">
        <v>309.85000000000002</v>
      </c>
      <c r="F465" s="10">
        <v>0.05</v>
      </c>
      <c r="G465" s="19">
        <f t="shared" si="21"/>
        <v>2354.86</v>
      </c>
      <c r="H465" s="10">
        <f>INDEX(Products!$C$2:$C$101,MATCH(C465,Products!$A$2:$A$101,0))</f>
        <v>10</v>
      </c>
      <c r="I465" s="10" t="str">
        <f>INDEX(Categories!$B$2:$B$11,MATCH(H465,Categories!$A$2:$A$11,0))</f>
        <v>Groceries</v>
      </c>
      <c r="J465" s="19">
        <f>INDEX(Products!$E$2:$E$101,MATCH(C465,Products!$A$2:$A$101,0))</f>
        <v>201.08</v>
      </c>
      <c r="K465" s="19">
        <f t="shared" si="22"/>
        <v>1608.64</v>
      </c>
      <c r="L465" s="19">
        <f t="shared" si="23"/>
        <v>746.22</v>
      </c>
    </row>
    <row r="466" spans="1:12" ht="15" customHeight="1" x14ac:dyDescent="0.25">
      <c r="A466" s="10">
        <v>465</v>
      </c>
      <c r="B466" s="10">
        <v>148</v>
      </c>
      <c r="C466" s="10">
        <v>54</v>
      </c>
      <c r="D466" s="10">
        <v>6</v>
      </c>
      <c r="E466" s="19">
        <v>398.16</v>
      </c>
      <c r="F466" s="10">
        <v>0.1</v>
      </c>
      <c r="G466" s="19">
        <f t="shared" si="21"/>
        <v>2150.0640000000003</v>
      </c>
      <c r="H466" s="10">
        <f>INDEX(Products!$C$2:$C$101,MATCH(C466,Products!$A$2:$A$101,0))</f>
        <v>6</v>
      </c>
      <c r="I466" s="10" t="str">
        <f>INDEX(Categories!$B$2:$B$11,MATCH(H466,Categories!$A$2:$A$11,0))</f>
        <v>Sporting Goods</v>
      </c>
      <c r="J466" s="19">
        <f>INDEX(Products!$E$2:$E$101,MATCH(C466,Products!$A$2:$A$101,0))</f>
        <v>205.89</v>
      </c>
      <c r="K466" s="19">
        <f t="shared" si="22"/>
        <v>1235.3399999999999</v>
      </c>
      <c r="L466" s="19">
        <f t="shared" si="23"/>
        <v>914.72400000000039</v>
      </c>
    </row>
    <row r="467" spans="1:12" ht="15" customHeight="1" x14ac:dyDescent="0.25">
      <c r="A467" s="10">
        <v>466</v>
      </c>
      <c r="B467" s="10">
        <v>148</v>
      </c>
      <c r="C467" s="10">
        <v>22</v>
      </c>
      <c r="D467" s="10">
        <v>7</v>
      </c>
      <c r="E467" s="19">
        <v>247.09</v>
      </c>
      <c r="F467" s="10">
        <v>0</v>
      </c>
      <c r="G467" s="19">
        <f t="shared" si="21"/>
        <v>1729.63</v>
      </c>
      <c r="H467" s="10">
        <f>INDEX(Products!$C$2:$C$101,MATCH(C467,Products!$A$2:$A$101,0))</f>
        <v>3</v>
      </c>
      <c r="I467" s="10" t="str">
        <f>INDEX(Categories!$B$2:$B$11,MATCH(H467,Categories!$A$2:$A$11,0))</f>
        <v>Furniture</v>
      </c>
      <c r="J467" s="19">
        <f>INDEX(Products!$E$2:$E$101,MATCH(C467,Products!$A$2:$A$101,0))</f>
        <v>149.34</v>
      </c>
      <c r="K467" s="19">
        <f t="shared" si="22"/>
        <v>1045.3800000000001</v>
      </c>
      <c r="L467" s="19">
        <f t="shared" si="23"/>
        <v>684.25</v>
      </c>
    </row>
    <row r="468" spans="1:12" ht="15" customHeight="1" x14ac:dyDescent="0.25">
      <c r="A468" s="10">
        <v>467</v>
      </c>
      <c r="B468" s="10">
        <v>148</v>
      </c>
      <c r="C468" s="10">
        <v>53</v>
      </c>
      <c r="D468" s="10">
        <v>8</v>
      </c>
      <c r="E468" s="19">
        <v>534</v>
      </c>
      <c r="F468" s="10">
        <v>0.2</v>
      </c>
      <c r="G468" s="19">
        <f t="shared" si="21"/>
        <v>3417.6000000000004</v>
      </c>
      <c r="H468" s="10">
        <f>INDEX(Products!$C$2:$C$101,MATCH(C468,Products!$A$2:$A$101,0))</f>
        <v>6</v>
      </c>
      <c r="I468" s="10" t="str">
        <f>INDEX(Categories!$B$2:$B$11,MATCH(H468,Categories!$A$2:$A$11,0))</f>
        <v>Sporting Goods</v>
      </c>
      <c r="J468" s="19">
        <f>INDEX(Products!$E$2:$E$101,MATCH(C468,Products!$A$2:$A$101,0))</f>
        <v>240.59</v>
      </c>
      <c r="K468" s="19">
        <f t="shared" si="22"/>
        <v>1924.72</v>
      </c>
      <c r="L468" s="19">
        <f t="shared" si="23"/>
        <v>1492.8800000000003</v>
      </c>
    </row>
    <row r="469" spans="1:12" ht="15" customHeight="1" x14ac:dyDescent="0.25">
      <c r="A469" s="10">
        <v>468</v>
      </c>
      <c r="B469" s="10">
        <v>149</v>
      </c>
      <c r="C469" s="10">
        <v>34</v>
      </c>
      <c r="D469" s="10">
        <v>6</v>
      </c>
      <c r="E469" s="19">
        <v>339.25</v>
      </c>
      <c r="F469" s="10">
        <v>0</v>
      </c>
      <c r="G469" s="19">
        <f t="shared" si="21"/>
        <v>2035.5</v>
      </c>
      <c r="H469" s="10">
        <f>INDEX(Products!$C$2:$C$101,MATCH(C469,Products!$A$2:$A$101,0))</f>
        <v>4</v>
      </c>
      <c r="I469" s="10" t="str">
        <f>INDEX(Categories!$B$2:$B$11,MATCH(H469,Categories!$A$2:$A$11,0))</f>
        <v>Apparel</v>
      </c>
      <c r="J469" s="19">
        <f>INDEX(Products!$E$2:$E$101,MATCH(C469,Products!$A$2:$A$101,0))</f>
        <v>208.66</v>
      </c>
      <c r="K469" s="19">
        <f t="shared" si="22"/>
        <v>1251.96</v>
      </c>
      <c r="L469" s="19">
        <f t="shared" si="23"/>
        <v>783.54</v>
      </c>
    </row>
    <row r="470" spans="1:12" ht="15" customHeight="1" x14ac:dyDescent="0.25">
      <c r="A470" s="10">
        <v>469</v>
      </c>
      <c r="B470" s="10">
        <v>149</v>
      </c>
      <c r="C470" s="10">
        <v>14</v>
      </c>
      <c r="D470" s="10">
        <v>7</v>
      </c>
      <c r="E470" s="19">
        <v>342.37</v>
      </c>
      <c r="F470" s="10">
        <v>0</v>
      </c>
      <c r="G470" s="19">
        <f t="shared" si="21"/>
        <v>2396.59</v>
      </c>
      <c r="H470" s="10">
        <f>INDEX(Products!$C$2:$C$101,MATCH(C470,Products!$A$2:$A$101,0))</f>
        <v>2</v>
      </c>
      <c r="I470" s="10" t="str">
        <f>INDEX(Categories!$B$2:$B$11,MATCH(H470,Categories!$A$2:$A$11,0))</f>
        <v>Office Supplies</v>
      </c>
      <c r="J470" s="19">
        <f>INDEX(Products!$E$2:$E$101,MATCH(C470,Products!$A$2:$A$101,0))</f>
        <v>241.29</v>
      </c>
      <c r="K470" s="19">
        <f t="shared" si="22"/>
        <v>1689.03</v>
      </c>
      <c r="L470" s="19">
        <f t="shared" si="23"/>
        <v>707.56000000000017</v>
      </c>
    </row>
    <row r="471" spans="1:12" ht="15" customHeight="1" x14ac:dyDescent="0.25">
      <c r="A471" s="10">
        <v>470</v>
      </c>
      <c r="B471" s="10">
        <v>149</v>
      </c>
      <c r="C471" s="10">
        <v>10</v>
      </c>
      <c r="D471" s="10">
        <v>2</v>
      </c>
      <c r="E471" s="19">
        <v>395.24</v>
      </c>
      <c r="F471" s="10">
        <v>0.1</v>
      </c>
      <c r="G471" s="19">
        <f t="shared" si="21"/>
        <v>711.43200000000002</v>
      </c>
      <c r="H471" s="10">
        <f>INDEX(Products!$C$2:$C$101,MATCH(C471,Products!$A$2:$A$101,0))</f>
        <v>1</v>
      </c>
      <c r="I471" s="10" t="str">
        <f>INDEX(Categories!$B$2:$B$11,MATCH(H471,Categories!$A$2:$A$11,0))</f>
        <v>Electronics</v>
      </c>
      <c r="J471" s="19">
        <f>INDEX(Products!$E$2:$E$101,MATCH(C471,Products!$A$2:$A$101,0))</f>
        <v>195.96</v>
      </c>
      <c r="K471" s="19">
        <f t="shared" si="22"/>
        <v>391.92</v>
      </c>
      <c r="L471" s="19">
        <f t="shared" si="23"/>
        <v>319.512</v>
      </c>
    </row>
    <row r="472" spans="1:12" ht="15" customHeight="1" x14ac:dyDescent="0.25">
      <c r="A472" s="10">
        <v>471</v>
      </c>
      <c r="B472" s="10">
        <v>150</v>
      </c>
      <c r="C472" s="10">
        <v>56</v>
      </c>
      <c r="D472" s="10">
        <v>4</v>
      </c>
      <c r="E472" s="19">
        <v>440.37</v>
      </c>
      <c r="F472" s="10">
        <v>0</v>
      </c>
      <c r="G472" s="19">
        <f t="shared" si="21"/>
        <v>1761.48</v>
      </c>
      <c r="H472" s="10">
        <f>INDEX(Products!$C$2:$C$101,MATCH(C472,Products!$A$2:$A$101,0))</f>
        <v>6</v>
      </c>
      <c r="I472" s="10" t="str">
        <f>INDEX(Categories!$B$2:$B$11,MATCH(H472,Categories!$A$2:$A$11,0))</f>
        <v>Sporting Goods</v>
      </c>
      <c r="J472" s="19">
        <f>INDEX(Products!$E$2:$E$101,MATCH(C472,Products!$A$2:$A$101,0))</f>
        <v>242.36</v>
      </c>
      <c r="K472" s="19">
        <f t="shared" si="22"/>
        <v>969.44</v>
      </c>
      <c r="L472" s="19">
        <f t="shared" si="23"/>
        <v>792.04</v>
      </c>
    </row>
    <row r="473" spans="1:12" ht="15" customHeight="1" x14ac:dyDescent="0.25">
      <c r="A473" s="10">
        <v>472</v>
      </c>
      <c r="B473" s="10">
        <v>150</v>
      </c>
      <c r="C473" s="10">
        <v>21</v>
      </c>
      <c r="D473" s="10">
        <v>7</v>
      </c>
      <c r="E473" s="19">
        <v>358.6</v>
      </c>
      <c r="F473" s="10">
        <v>0.15</v>
      </c>
      <c r="G473" s="19">
        <f t="shared" si="21"/>
        <v>2133.67</v>
      </c>
      <c r="H473" s="10">
        <f>INDEX(Products!$C$2:$C$101,MATCH(C473,Products!$A$2:$A$101,0))</f>
        <v>3</v>
      </c>
      <c r="I473" s="10" t="str">
        <f>INDEX(Categories!$B$2:$B$11,MATCH(H473,Categories!$A$2:$A$11,0))</f>
        <v>Furniture</v>
      </c>
      <c r="J473" s="19">
        <f>INDEX(Products!$E$2:$E$101,MATCH(C473,Products!$A$2:$A$101,0))</f>
        <v>155.13</v>
      </c>
      <c r="K473" s="19">
        <f t="shared" si="22"/>
        <v>1085.9099999999999</v>
      </c>
      <c r="L473" s="19">
        <f t="shared" si="23"/>
        <v>1047.7600000000002</v>
      </c>
    </row>
    <row r="474" spans="1:12" ht="15" customHeight="1" x14ac:dyDescent="0.25">
      <c r="A474" s="10">
        <v>473</v>
      </c>
      <c r="B474" s="10">
        <v>150</v>
      </c>
      <c r="C474" s="10">
        <v>7</v>
      </c>
      <c r="D474" s="10">
        <v>9</v>
      </c>
      <c r="E474" s="19">
        <v>150.96</v>
      </c>
      <c r="F474" s="10">
        <v>0.15</v>
      </c>
      <c r="G474" s="19">
        <f t="shared" si="21"/>
        <v>1154.8440000000001</v>
      </c>
      <c r="H474" s="10">
        <f>INDEX(Products!$C$2:$C$101,MATCH(C474,Products!$A$2:$A$101,0))</f>
        <v>1</v>
      </c>
      <c r="I474" s="10" t="str">
        <f>INDEX(Categories!$B$2:$B$11,MATCH(H474,Categories!$A$2:$A$11,0))</f>
        <v>Electronics</v>
      </c>
      <c r="J474" s="19">
        <f>INDEX(Products!$E$2:$E$101,MATCH(C474,Products!$A$2:$A$101,0))</f>
        <v>83.86</v>
      </c>
      <c r="K474" s="19">
        <f t="shared" si="22"/>
        <v>754.74</v>
      </c>
      <c r="L474" s="19">
        <f t="shared" si="23"/>
        <v>400.10400000000004</v>
      </c>
    </row>
    <row r="475" spans="1:12" ht="15" customHeight="1" x14ac:dyDescent="0.25">
      <c r="A475" s="10">
        <v>474</v>
      </c>
      <c r="B475" s="10">
        <v>150</v>
      </c>
      <c r="C475" s="10">
        <v>13</v>
      </c>
      <c r="D475" s="10">
        <v>9</v>
      </c>
      <c r="E475" s="19">
        <v>360.29</v>
      </c>
      <c r="F475" s="10">
        <v>0</v>
      </c>
      <c r="G475" s="19">
        <f t="shared" si="21"/>
        <v>3242.61</v>
      </c>
      <c r="H475" s="10">
        <f>INDEX(Products!$C$2:$C$101,MATCH(C475,Products!$A$2:$A$101,0))</f>
        <v>2</v>
      </c>
      <c r="I475" s="10" t="str">
        <f>INDEX(Categories!$B$2:$B$11,MATCH(H475,Categories!$A$2:$A$11,0))</f>
        <v>Office Supplies</v>
      </c>
      <c r="J475" s="19">
        <f>INDEX(Products!$E$2:$E$101,MATCH(C475,Products!$A$2:$A$101,0))</f>
        <v>152.66</v>
      </c>
      <c r="K475" s="19">
        <f t="shared" si="22"/>
        <v>1373.94</v>
      </c>
      <c r="L475" s="19">
        <f t="shared" si="23"/>
        <v>1868.67</v>
      </c>
    </row>
    <row r="476" spans="1:12" ht="15" customHeight="1" x14ac:dyDescent="0.25">
      <c r="A476" s="10">
        <v>475</v>
      </c>
      <c r="B476" s="10">
        <v>150</v>
      </c>
      <c r="C476" s="10">
        <v>43</v>
      </c>
      <c r="D476" s="10">
        <v>5</v>
      </c>
      <c r="E476" s="19">
        <v>42.13</v>
      </c>
      <c r="F476" s="10">
        <v>0</v>
      </c>
      <c r="G476" s="19">
        <f t="shared" si="21"/>
        <v>210.65</v>
      </c>
      <c r="H476" s="10">
        <f>INDEX(Products!$C$2:$C$101,MATCH(C476,Products!$A$2:$A$101,0))</f>
        <v>5</v>
      </c>
      <c r="I476" s="10" t="str">
        <f>INDEX(Categories!$B$2:$B$11,MATCH(H476,Categories!$A$2:$A$11,0))</f>
        <v>Home &amp; Kitchen</v>
      </c>
      <c r="J476" s="19">
        <f>INDEX(Products!$E$2:$E$101,MATCH(C476,Products!$A$2:$A$101,0))</f>
        <v>17.88</v>
      </c>
      <c r="K476" s="19">
        <f t="shared" si="22"/>
        <v>89.399999999999991</v>
      </c>
      <c r="L476" s="19">
        <f t="shared" si="23"/>
        <v>121.25000000000001</v>
      </c>
    </row>
    <row r="477" spans="1:12" ht="15" customHeight="1" x14ac:dyDescent="0.25">
      <c r="A477" s="10">
        <v>476</v>
      </c>
      <c r="B477" s="10">
        <v>151</v>
      </c>
      <c r="C477" s="10">
        <v>63</v>
      </c>
      <c r="D477" s="10">
        <v>7</v>
      </c>
      <c r="E477" s="19">
        <v>20.190000000000001</v>
      </c>
      <c r="F477" s="10">
        <v>0</v>
      </c>
      <c r="G477" s="19">
        <f t="shared" si="21"/>
        <v>141.33000000000001</v>
      </c>
      <c r="H477" s="10">
        <f>INDEX(Products!$C$2:$C$101,MATCH(C477,Products!$A$2:$A$101,0))</f>
        <v>7</v>
      </c>
      <c r="I477" s="10" t="str">
        <f>INDEX(Categories!$B$2:$B$11,MATCH(H477,Categories!$A$2:$A$11,0))</f>
        <v>Toys &amp; Games</v>
      </c>
      <c r="J477" s="19">
        <f>INDEX(Products!$E$2:$E$101,MATCH(C477,Products!$A$2:$A$101,0))</f>
        <v>10.130000000000001</v>
      </c>
      <c r="K477" s="19">
        <f t="shared" si="22"/>
        <v>70.910000000000011</v>
      </c>
      <c r="L477" s="19">
        <f t="shared" si="23"/>
        <v>70.42</v>
      </c>
    </row>
    <row r="478" spans="1:12" ht="15" customHeight="1" x14ac:dyDescent="0.25">
      <c r="A478" s="10">
        <v>477</v>
      </c>
      <c r="B478" s="10">
        <v>151</v>
      </c>
      <c r="C478" s="10">
        <v>20</v>
      </c>
      <c r="D478" s="10">
        <v>5</v>
      </c>
      <c r="E478" s="19">
        <v>316.14999999999998</v>
      </c>
      <c r="F478" s="10">
        <v>0.2</v>
      </c>
      <c r="G478" s="19">
        <f t="shared" si="21"/>
        <v>1264.6000000000001</v>
      </c>
      <c r="H478" s="10">
        <f>INDEX(Products!$C$2:$C$101,MATCH(C478,Products!$A$2:$A$101,0))</f>
        <v>2</v>
      </c>
      <c r="I478" s="10" t="str">
        <f>INDEX(Categories!$B$2:$B$11,MATCH(H478,Categories!$A$2:$A$11,0))</f>
        <v>Office Supplies</v>
      </c>
      <c r="J478" s="19">
        <f>INDEX(Products!$E$2:$E$101,MATCH(C478,Products!$A$2:$A$101,0))</f>
        <v>177.71</v>
      </c>
      <c r="K478" s="19">
        <f t="shared" si="22"/>
        <v>888.55000000000007</v>
      </c>
      <c r="L478" s="19">
        <f t="shared" si="23"/>
        <v>376.05000000000007</v>
      </c>
    </row>
    <row r="479" spans="1:12" ht="15" customHeight="1" x14ac:dyDescent="0.25">
      <c r="A479" s="10">
        <v>478</v>
      </c>
      <c r="B479" s="10">
        <v>151</v>
      </c>
      <c r="C479" s="10">
        <v>7</v>
      </c>
      <c r="D479" s="10">
        <v>10</v>
      </c>
      <c r="E479" s="19">
        <v>150.96</v>
      </c>
      <c r="F479" s="10">
        <v>0.05</v>
      </c>
      <c r="G479" s="19">
        <f t="shared" si="21"/>
        <v>1434.1200000000001</v>
      </c>
      <c r="H479" s="10">
        <f>INDEX(Products!$C$2:$C$101,MATCH(C479,Products!$A$2:$A$101,0))</f>
        <v>1</v>
      </c>
      <c r="I479" s="10" t="str">
        <f>INDEX(Categories!$B$2:$B$11,MATCH(H479,Categories!$A$2:$A$11,0))</f>
        <v>Electronics</v>
      </c>
      <c r="J479" s="19">
        <f>INDEX(Products!$E$2:$E$101,MATCH(C479,Products!$A$2:$A$101,0))</f>
        <v>83.86</v>
      </c>
      <c r="K479" s="19">
        <f t="shared" si="22"/>
        <v>838.6</v>
      </c>
      <c r="L479" s="19">
        <f t="shared" si="23"/>
        <v>595.5200000000001</v>
      </c>
    </row>
    <row r="480" spans="1:12" ht="15" customHeight="1" x14ac:dyDescent="0.25">
      <c r="A480" s="10">
        <v>479</v>
      </c>
      <c r="B480" s="10">
        <v>151</v>
      </c>
      <c r="C480" s="10">
        <v>47</v>
      </c>
      <c r="D480" s="10">
        <v>4</v>
      </c>
      <c r="E480" s="19">
        <v>96.51</v>
      </c>
      <c r="F480" s="10">
        <v>0</v>
      </c>
      <c r="G480" s="19">
        <f t="shared" si="21"/>
        <v>386.04</v>
      </c>
      <c r="H480" s="10">
        <f>INDEX(Products!$C$2:$C$101,MATCH(C480,Products!$A$2:$A$101,0))</f>
        <v>5</v>
      </c>
      <c r="I480" s="10" t="str">
        <f>INDEX(Categories!$B$2:$B$11,MATCH(H480,Categories!$A$2:$A$11,0))</f>
        <v>Home &amp; Kitchen</v>
      </c>
      <c r="J480" s="19">
        <f>INDEX(Products!$E$2:$E$101,MATCH(C480,Products!$A$2:$A$101,0))</f>
        <v>60.66</v>
      </c>
      <c r="K480" s="19">
        <f t="shared" si="22"/>
        <v>242.64</v>
      </c>
      <c r="L480" s="19">
        <f t="shared" si="23"/>
        <v>143.40000000000003</v>
      </c>
    </row>
    <row r="481" spans="1:12" ht="15" customHeight="1" x14ac:dyDescent="0.25">
      <c r="A481" s="10">
        <v>480</v>
      </c>
      <c r="B481" s="10">
        <v>151</v>
      </c>
      <c r="C481" s="10">
        <v>1</v>
      </c>
      <c r="D481" s="10">
        <v>1</v>
      </c>
      <c r="E481" s="19">
        <v>384.09</v>
      </c>
      <c r="F481" s="10">
        <v>0</v>
      </c>
      <c r="G481" s="19">
        <f t="shared" si="21"/>
        <v>384.09</v>
      </c>
      <c r="H481" s="10">
        <f>INDEX(Products!$C$2:$C$101,MATCH(C481,Products!$A$2:$A$101,0))</f>
        <v>1</v>
      </c>
      <c r="I481" s="10" t="str">
        <f>INDEX(Categories!$B$2:$B$11,MATCH(H481,Categories!$A$2:$A$11,0))</f>
        <v>Electronics</v>
      </c>
      <c r="J481" s="19">
        <f>INDEX(Products!$E$2:$E$101,MATCH(C481,Products!$A$2:$A$101,0))</f>
        <v>235.86</v>
      </c>
      <c r="K481" s="19">
        <f t="shared" si="22"/>
        <v>235.86</v>
      </c>
      <c r="L481" s="19">
        <f t="shared" si="23"/>
        <v>148.22999999999996</v>
      </c>
    </row>
    <row r="482" spans="1:12" ht="15" customHeight="1" x14ac:dyDescent="0.25">
      <c r="A482" s="10">
        <v>481</v>
      </c>
      <c r="B482" s="10">
        <v>152</v>
      </c>
      <c r="C482" s="10">
        <v>61</v>
      </c>
      <c r="D482" s="10">
        <v>2</v>
      </c>
      <c r="E482" s="19">
        <v>289.8</v>
      </c>
      <c r="F482" s="10">
        <v>0.15</v>
      </c>
      <c r="G482" s="19">
        <f t="shared" si="21"/>
        <v>492.66</v>
      </c>
      <c r="H482" s="10">
        <f>INDEX(Products!$C$2:$C$101,MATCH(C482,Products!$A$2:$A$101,0))</f>
        <v>7</v>
      </c>
      <c r="I482" s="10" t="str">
        <f>INDEX(Categories!$B$2:$B$11,MATCH(H482,Categories!$A$2:$A$11,0))</f>
        <v>Toys &amp; Games</v>
      </c>
      <c r="J482" s="19">
        <f>INDEX(Products!$E$2:$E$101,MATCH(C482,Products!$A$2:$A$101,0))</f>
        <v>156.79</v>
      </c>
      <c r="K482" s="19">
        <f t="shared" si="22"/>
        <v>313.58</v>
      </c>
      <c r="L482" s="19">
        <f t="shared" si="23"/>
        <v>179.08000000000004</v>
      </c>
    </row>
    <row r="483" spans="1:12" ht="15" customHeight="1" x14ac:dyDescent="0.25">
      <c r="A483" s="10">
        <v>482</v>
      </c>
      <c r="B483" s="10">
        <v>152</v>
      </c>
      <c r="C483" s="10">
        <v>63</v>
      </c>
      <c r="D483" s="10">
        <v>9</v>
      </c>
      <c r="E483" s="19">
        <v>20.190000000000001</v>
      </c>
      <c r="F483" s="10">
        <v>0.05</v>
      </c>
      <c r="G483" s="19">
        <f t="shared" si="21"/>
        <v>172.62450000000001</v>
      </c>
      <c r="H483" s="10">
        <f>INDEX(Products!$C$2:$C$101,MATCH(C483,Products!$A$2:$A$101,0))</f>
        <v>7</v>
      </c>
      <c r="I483" s="10" t="str">
        <f>INDEX(Categories!$B$2:$B$11,MATCH(H483,Categories!$A$2:$A$11,0))</f>
        <v>Toys &amp; Games</v>
      </c>
      <c r="J483" s="19">
        <f>INDEX(Products!$E$2:$E$101,MATCH(C483,Products!$A$2:$A$101,0))</f>
        <v>10.130000000000001</v>
      </c>
      <c r="K483" s="19">
        <f t="shared" si="22"/>
        <v>91.17</v>
      </c>
      <c r="L483" s="19">
        <f t="shared" si="23"/>
        <v>81.45450000000001</v>
      </c>
    </row>
    <row r="484" spans="1:12" ht="15" customHeight="1" x14ac:dyDescent="0.25">
      <c r="A484" s="10">
        <v>483</v>
      </c>
      <c r="B484" s="10">
        <v>152</v>
      </c>
      <c r="C484" s="10">
        <v>85</v>
      </c>
      <c r="D484" s="10">
        <v>3</v>
      </c>
      <c r="E484" s="19">
        <v>264.20999999999998</v>
      </c>
      <c r="F484" s="10">
        <v>0</v>
      </c>
      <c r="G484" s="19">
        <f t="shared" si="21"/>
        <v>792.62999999999988</v>
      </c>
      <c r="H484" s="10">
        <f>INDEX(Products!$C$2:$C$101,MATCH(C484,Products!$A$2:$A$101,0))</f>
        <v>9</v>
      </c>
      <c r="I484" s="10" t="str">
        <f>INDEX(Categories!$B$2:$B$11,MATCH(H484,Categories!$A$2:$A$11,0))</f>
        <v>Automotive Parts</v>
      </c>
      <c r="J484" s="19">
        <f>INDEX(Products!$E$2:$E$101,MATCH(C484,Products!$A$2:$A$101,0))</f>
        <v>153.54</v>
      </c>
      <c r="K484" s="19">
        <f t="shared" si="22"/>
        <v>460.62</v>
      </c>
      <c r="L484" s="19">
        <f t="shared" si="23"/>
        <v>332.00999999999988</v>
      </c>
    </row>
    <row r="485" spans="1:12" ht="15" customHeight="1" x14ac:dyDescent="0.25">
      <c r="A485" s="10">
        <v>484</v>
      </c>
      <c r="B485" s="10">
        <v>152</v>
      </c>
      <c r="C485" s="10">
        <v>34</v>
      </c>
      <c r="D485" s="10">
        <v>7</v>
      </c>
      <c r="E485" s="19">
        <v>339.25</v>
      </c>
      <c r="F485" s="10">
        <v>0</v>
      </c>
      <c r="G485" s="19">
        <f t="shared" si="21"/>
        <v>2374.75</v>
      </c>
      <c r="H485" s="10">
        <f>INDEX(Products!$C$2:$C$101,MATCH(C485,Products!$A$2:$A$101,0))</f>
        <v>4</v>
      </c>
      <c r="I485" s="10" t="str">
        <f>INDEX(Categories!$B$2:$B$11,MATCH(H485,Categories!$A$2:$A$11,0))</f>
        <v>Apparel</v>
      </c>
      <c r="J485" s="19">
        <f>INDEX(Products!$E$2:$E$101,MATCH(C485,Products!$A$2:$A$101,0))</f>
        <v>208.66</v>
      </c>
      <c r="K485" s="19">
        <f t="shared" si="22"/>
        <v>1460.62</v>
      </c>
      <c r="L485" s="19">
        <f t="shared" si="23"/>
        <v>914.13000000000011</v>
      </c>
    </row>
    <row r="486" spans="1:12" ht="15" customHeight="1" x14ac:dyDescent="0.25">
      <c r="A486" s="10">
        <v>485</v>
      </c>
      <c r="B486" s="10">
        <v>153</v>
      </c>
      <c r="C486" s="10">
        <v>20</v>
      </c>
      <c r="D486" s="10">
        <v>2</v>
      </c>
      <c r="E486" s="19">
        <v>316.14999999999998</v>
      </c>
      <c r="F486" s="10">
        <v>0</v>
      </c>
      <c r="G486" s="19">
        <f t="shared" si="21"/>
        <v>632.29999999999995</v>
      </c>
      <c r="H486" s="10">
        <f>INDEX(Products!$C$2:$C$101,MATCH(C486,Products!$A$2:$A$101,0))</f>
        <v>2</v>
      </c>
      <c r="I486" s="10" t="str">
        <f>INDEX(Categories!$B$2:$B$11,MATCH(H486,Categories!$A$2:$A$11,0))</f>
        <v>Office Supplies</v>
      </c>
      <c r="J486" s="19">
        <f>INDEX(Products!$E$2:$E$101,MATCH(C486,Products!$A$2:$A$101,0))</f>
        <v>177.71</v>
      </c>
      <c r="K486" s="19">
        <f t="shared" si="22"/>
        <v>355.42</v>
      </c>
      <c r="L486" s="19">
        <f t="shared" si="23"/>
        <v>276.87999999999994</v>
      </c>
    </row>
    <row r="487" spans="1:12" ht="15" customHeight="1" x14ac:dyDescent="0.25">
      <c r="A487" s="10">
        <v>486</v>
      </c>
      <c r="B487" s="10">
        <v>154</v>
      </c>
      <c r="C487" s="10">
        <v>69</v>
      </c>
      <c r="D487" s="10">
        <v>4</v>
      </c>
      <c r="E487" s="19">
        <v>188.38</v>
      </c>
      <c r="F487" s="10">
        <v>0.05</v>
      </c>
      <c r="G487" s="19">
        <f t="shared" si="21"/>
        <v>715.84399999999994</v>
      </c>
      <c r="H487" s="10">
        <f>INDEX(Products!$C$2:$C$101,MATCH(C487,Products!$A$2:$A$101,0))</f>
        <v>7</v>
      </c>
      <c r="I487" s="10" t="str">
        <f>INDEX(Categories!$B$2:$B$11,MATCH(H487,Categories!$A$2:$A$11,0))</f>
        <v>Toys &amp; Games</v>
      </c>
      <c r="J487" s="19">
        <f>INDEX(Products!$E$2:$E$101,MATCH(C487,Products!$A$2:$A$101,0))</f>
        <v>86.95</v>
      </c>
      <c r="K487" s="19">
        <f t="shared" si="22"/>
        <v>347.8</v>
      </c>
      <c r="L487" s="19">
        <f t="shared" si="23"/>
        <v>368.04399999999993</v>
      </c>
    </row>
    <row r="488" spans="1:12" ht="15" customHeight="1" x14ac:dyDescent="0.25">
      <c r="A488" s="10">
        <v>487</v>
      </c>
      <c r="B488" s="10">
        <v>154</v>
      </c>
      <c r="C488" s="10">
        <v>88</v>
      </c>
      <c r="D488" s="10">
        <v>5</v>
      </c>
      <c r="E488" s="19">
        <v>188.36</v>
      </c>
      <c r="F488" s="10">
        <v>0</v>
      </c>
      <c r="G488" s="19">
        <f t="shared" si="21"/>
        <v>941.80000000000007</v>
      </c>
      <c r="H488" s="10">
        <f>INDEX(Products!$C$2:$C$101,MATCH(C488,Products!$A$2:$A$101,0))</f>
        <v>9</v>
      </c>
      <c r="I488" s="10" t="str">
        <f>INDEX(Categories!$B$2:$B$11,MATCH(H488,Categories!$A$2:$A$11,0))</f>
        <v>Automotive Parts</v>
      </c>
      <c r="J488" s="19">
        <f>INDEX(Products!$E$2:$E$101,MATCH(C488,Products!$A$2:$A$101,0))</f>
        <v>112.11</v>
      </c>
      <c r="K488" s="19">
        <f t="shared" si="22"/>
        <v>560.54999999999995</v>
      </c>
      <c r="L488" s="19">
        <f t="shared" si="23"/>
        <v>381.25000000000011</v>
      </c>
    </row>
    <row r="489" spans="1:12" ht="15" customHeight="1" x14ac:dyDescent="0.25">
      <c r="A489" s="10">
        <v>488</v>
      </c>
      <c r="B489" s="10">
        <v>154</v>
      </c>
      <c r="C489" s="10">
        <v>61</v>
      </c>
      <c r="D489" s="10">
        <v>7</v>
      </c>
      <c r="E489" s="19">
        <v>289.8</v>
      </c>
      <c r="F489" s="10">
        <v>0.2</v>
      </c>
      <c r="G489" s="19">
        <f t="shared" si="21"/>
        <v>1622.88</v>
      </c>
      <c r="H489" s="10">
        <f>INDEX(Products!$C$2:$C$101,MATCH(C489,Products!$A$2:$A$101,0))</f>
        <v>7</v>
      </c>
      <c r="I489" s="10" t="str">
        <f>INDEX(Categories!$B$2:$B$11,MATCH(H489,Categories!$A$2:$A$11,0))</f>
        <v>Toys &amp; Games</v>
      </c>
      <c r="J489" s="19">
        <f>INDEX(Products!$E$2:$E$101,MATCH(C489,Products!$A$2:$A$101,0))</f>
        <v>156.79</v>
      </c>
      <c r="K489" s="19">
        <f t="shared" si="22"/>
        <v>1097.53</v>
      </c>
      <c r="L489" s="19">
        <f t="shared" si="23"/>
        <v>525.35000000000014</v>
      </c>
    </row>
    <row r="490" spans="1:12" ht="15" customHeight="1" x14ac:dyDescent="0.25">
      <c r="A490" s="10">
        <v>489</v>
      </c>
      <c r="B490" s="10">
        <v>154</v>
      </c>
      <c r="C490" s="10">
        <v>74</v>
      </c>
      <c r="D490" s="10">
        <v>1</v>
      </c>
      <c r="E490" s="19">
        <v>199.68</v>
      </c>
      <c r="F490" s="10">
        <v>0.1</v>
      </c>
      <c r="G490" s="19">
        <f t="shared" si="21"/>
        <v>179.71200000000002</v>
      </c>
      <c r="H490" s="10">
        <f>INDEX(Products!$C$2:$C$101,MATCH(C490,Products!$A$2:$A$101,0))</f>
        <v>8</v>
      </c>
      <c r="I490" s="10" t="str">
        <f>INDEX(Categories!$B$2:$B$11,MATCH(H490,Categories!$A$2:$A$11,0))</f>
        <v>Health &amp; Beauty</v>
      </c>
      <c r="J490" s="19">
        <f>INDEX(Products!$E$2:$E$101,MATCH(C490,Products!$A$2:$A$101,0))</f>
        <v>98.36</v>
      </c>
      <c r="K490" s="19">
        <f t="shared" si="22"/>
        <v>98.36</v>
      </c>
      <c r="L490" s="19">
        <f t="shared" si="23"/>
        <v>81.352000000000018</v>
      </c>
    </row>
    <row r="491" spans="1:12" ht="15" customHeight="1" x14ac:dyDescent="0.25">
      <c r="A491" s="10">
        <v>490</v>
      </c>
      <c r="B491" s="10">
        <v>155</v>
      </c>
      <c r="C491" s="10">
        <v>6</v>
      </c>
      <c r="D491" s="10">
        <v>2</v>
      </c>
      <c r="E491" s="19">
        <v>234.43</v>
      </c>
      <c r="F491" s="10">
        <v>0.15</v>
      </c>
      <c r="G491" s="19">
        <f t="shared" si="21"/>
        <v>398.53100000000001</v>
      </c>
      <c r="H491" s="10">
        <f>INDEX(Products!$C$2:$C$101,MATCH(C491,Products!$A$2:$A$101,0))</f>
        <v>1</v>
      </c>
      <c r="I491" s="10" t="str">
        <f>INDEX(Categories!$B$2:$B$11,MATCH(H491,Categories!$A$2:$A$11,0))</f>
        <v>Electronics</v>
      </c>
      <c r="J491" s="19">
        <f>INDEX(Products!$E$2:$E$101,MATCH(C491,Products!$A$2:$A$101,0))</f>
        <v>161.76</v>
      </c>
      <c r="K491" s="19">
        <f t="shared" si="22"/>
        <v>323.52</v>
      </c>
      <c r="L491" s="19">
        <f t="shared" si="23"/>
        <v>75.011000000000024</v>
      </c>
    </row>
    <row r="492" spans="1:12" ht="15" customHeight="1" x14ac:dyDescent="0.25">
      <c r="A492" s="10">
        <v>491</v>
      </c>
      <c r="B492" s="10">
        <v>155</v>
      </c>
      <c r="C492" s="10">
        <v>55</v>
      </c>
      <c r="D492" s="10">
        <v>7</v>
      </c>
      <c r="E492" s="19">
        <v>378.27</v>
      </c>
      <c r="F492" s="10">
        <v>0</v>
      </c>
      <c r="G492" s="19">
        <f t="shared" si="21"/>
        <v>2647.89</v>
      </c>
      <c r="H492" s="10">
        <f>INDEX(Products!$C$2:$C$101,MATCH(C492,Products!$A$2:$A$101,0))</f>
        <v>6</v>
      </c>
      <c r="I492" s="10" t="str">
        <f>INDEX(Categories!$B$2:$B$11,MATCH(H492,Categories!$A$2:$A$11,0))</f>
        <v>Sporting Goods</v>
      </c>
      <c r="J492" s="19">
        <f>INDEX(Products!$E$2:$E$101,MATCH(C492,Products!$A$2:$A$101,0))</f>
        <v>163.92</v>
      </c>
      <c r="K492" s="19">
        <f t="shared" si="22"/>
        <v>1147.4399999999998</v>
      </c>
      <c r="L492" s="19">
        <f t="shared" si="23"/>
        <v>1500.45</v>
      </c>
    </row>
    <row r="493" spans="1:12" ht="15" customHeight="1" x14ac:dyDescent="0.25">
      <c r="A493" s="10">
        <v>492</v>
      </c>
      <c r="B493" s="10">
        <v>156</v>
      </c>
      <c r="C493" s="10">
        <v>51</v>
      </c>
      <c r="D493" s="10">
        <v>8</v>
      </c>
      <c r="E493" s="19">
        <v>436.43</v>
      </c>
      <c r="F493" s="10">
        <v>0.2</v>
      </c>
      <c r="G493" s="19">
        <f t="shared" si="21"/>
        <v>2793.152</v>
      </c>
      <c r="H493" s="10">
        <f>INDEX(Products!$C$2:$C$101,MATCH(C493,Products!$A$2:$A$101,0))</f>
        <v>6</v>
      </c>
      <c r="I493" s="10" t="str">
        <f>INDEX(Categories!$B$2:$B$11,MATCH(H493,Categories!$A$2:$A$11,0))</f>
        <v>Sporting Goods</v>
      </c>
      <c r="J493" s="19">
        <f>INDEX(Products!$E$2:$E$101,MATCH(C493,Products!$A$2:$A$101,0))</f>
        <v>235.84</v>
      </c>
      <c r="K493" s="19">
        <f t="shared" si="22"/>
        <v>1886.72</v>
      </c>
      <c r="L493" s="19">
        <f t="shared" si="23"/>
        <v>906.43200000000002</v>
      </c>
    </row>
    <row r="494" spans="1:12" ht="15" customHeight="1" x14ac:dyDescent="0.25">
      <c r="A494" s="10">
        <v>493</v>
      </c>
      <c r="B494" s="10">
        <v>156</v>
      </c>
      <c r="C494" s="10">
        <v>71</v>
      </c>
      <c r="D494" s="10">
        <v>1</v>
      </c>
      <c r="E494" s="19">
        <v>228.48</v>
      </c>
      <c r="F494" s="10">
        <v>0.2</v>
      </c>
      <c r="G494" s="19">
        <f t="shared" si="21"/>
        <v>182.78399999999999</v>
      </c>
      <c r="H494" s="10">
        <f>INDEX(Products!$C$2:$C$101,MATCH(C494,Products!$A$2:$A$101,0))</f>
        <v>8</v>
      </c>
      <c r="I494" s="10" t="str">
        <f>INDEX(Categories!$B$2:$B$11,MATCH(H494,Categories!$A$2:$A$11,0))</f>
        <v>Health &amp; Beauty</v>
      </c>
      <c r="J494" s="19">
        <f>INDEX(Products!$E$2:$E$101,MATCH(C494,Products!$A$2:$A$101,0))</f>
        <v>136.03</v>
      </c>
      <c r="K494" s="19">
        <f t="shared" si="22"/>
        <v>136.03</v>
      </c>
      <c r="L494" s="19">
        <f t="shared" si="23"/>
        <v>46.753999999999991</v>
      </c>
    </row>
    <row r="495" spans="1:12" ht="15" customHeight="1" x14ac:dyDescent="0.25">
      <c r="A495" s="10">
        <v>494</v>
      </c>
      <c r="B495" s="10">
        <v>156</v>
      </c>
      <c r="C495" s="10">
        <v>42</v>
      </c>
      <c r="D495" s="10">
        <v>10</v>
      </c>
      <c r="E495" s="19">
        <v>370</v>
      </c>
      <c r="F495" s="10">
        <v>0.1</v>
      </c>
      <c r="G495" s="19">
        <f t="shared" si="21"/>
        <v>3330</v>
      </c>
      <c r="H495" s="10">
        <f>INDEX(Products!$C$2:$C$101,MATCH(C495,Products!$A$2:$A$101,0))</f>
        <v>5</v>
      </c>
      <c r="I495" s="10" t="str">
        <f>INDEX(Categories!$B$2:$B$11,MATCH(H495,Categories!$A$2:$A$11,0))</f>
        <v>Home &amp; Kitchen</v>
      </c>
      <c r="J495" s="19">
        <f>INDEX(Products!$E$2:$E$101,MATCH(C495,Products!$A$2:$A$101,0))</f>
        <v>227.4</v>
      </c>
      <c r="K495" s="19">
        <f t="shared" si="22"/>
        <v>2274</v>
      </c>
      <c r="L495" s="19">
        <f t="shared" si="23"/>
        <v>1056</v>
      </c>
    </row>
    <row r="496" spans="1:12" ht="15" customHeight="1" x14ac:dyDescent="0.25">
      <c r="A496" s="10">
        <v>495</v>
      </c>
      <c r="B496" s="10">
        <v>156</v>
      </c>
      <c r="C496" s="10">
        <v>36</v>
      </c>
      <c r="D496" s="10">
        <v>9</v>
      </c>
      <c r="E496" s="19">
        <v>472.77</v>
      </c>
      <c r="F496" s="10">
        <v>0.2</v>
      </c>
      <c r="G496" s="19">
        <f t="shared" si="21"/>
        <v>3403.9440000000004</v>
      </c>
      <c r="H496" s="10">
        <f>INDEX(Products!$C$2:$C$101,MATCH(C496,Products!$A$2:$A$101,0))</f>
        <v>4</v>
      </c>
      <c r="I496" s="10" t="str">
        <f>INDEX(Categories!$B$2:$B$11,MATCH(H496,Categories!$A$2:$A$11,0))</f>
        <v>Apparel</v>
      </c>
      <c r="J496" s="19">
        <f>INDEX(Products!$E$2:$E$101,MATCH(C496,Products!$A$2:$A$101,0))</f>
        <v>236.19</v>
      </c>
      <c r="K496" s="19">
        <f t="shared" si="22"/>
        <v>2125.71</v>
      </c>
      <c r="L496" s="19">
        <f t="shared" si="23"/>
        <v>1278.2340000000004</v>
      </c>
    </row>
    <row r="497" spans="1:12" ht="15" customHeight="1" x14ac:dyDescent="0.25">
      <c r="A497" s="10">
        <v>496</v>
      </c>
      <c r="B497" s="10">
        <v>156</v>
      </c>
      <c r="C497" s="10">
        <v>67</v>
      </c>
      <c r="D497" s="10">
        <v>7</v>
      </c>
      <c r="E497" s="19">
        <v>120.48</v>
      </c>
      <c r="F497" s="10">
        <v>0</v>
      </c>
      <c r="G497" s="19">
        <f t="shared" si="21"/>
        <v>843.36</v>
      </c>
      <c r="H497" s="10">
        <f>INDEX(Products!$C$2:$C$101,MATCH(C497,Products!$A$2:$A$101,0))</f>
        <v>7</v>
      </c>
      <c r="I497" s="10" t="str">
        <f>INDEX(Categories!$B$2:$B$11,MATCH(H497,Categories!$A$2:$A$11,0))</f>
        <v>Toys &amp; Games</v>
      </c>
      <c r="J497" s="19">
        <f>INDEX(Products!$E$2:$E$101,MATCH(C497,Products!$A$2:$A$101,0))</f>
        <v>63.2</v>
      </c>
      <c r="K497" s="19">
        <f t="shared" si="22"/>
        <v>442.40000000000003</v>
      </c>
      <c r="L497" s="19">
        <f t="shared" si="23"/>
        <v>400.96</v>
      </c>
    </row>
    <row r="498" spans="1:12" ht="15" customHeight="1" x14ac:dyDescent="0.25">
      <c r="A498" s="10">
        <v>497</v>
      </c>
      <c r="B498" s="10">
        <v>157</v>
      </c>
      <c r="C498" s="10">
        <v>53</v>
      </c>
      <c r="D498" s="10">
        <v>8</v>
      </c>
      <c r="E498" s="19">
        <v>534</v>
      </c>
      <c r="F498" s="10">
        <v>0.1</v>
      </c>
      <c r="G498" s="19">
        <f t="shared" si="21"/>
        <v>3844.8</v>
      </c>
      <c r="H498" s="10">
        <f>INDEX(Products!$C$2:$C$101,MATCH(C498,Products!$A$2:$A$101,0))</f>
        <v>6</v>
      </c>
      <c r="I498" s="10" t="str">
        <f>INDEX(Categories!$B$2:$B$11,MATCH(H498,Categories!$A$2:$A$11,0))</f>
        <v>Sporting Goods</v>
      </c>
      <c r="J498" s="19">
        <f>INDEX(Products!$E$2:$E$101,MATCH(C498,Products!$A$2:$A$101,0))</f>
        <v>240.59</v>
      </c>
      <c r="K498" s="19">
        <f t="shared" si="22"/>
        <v>1924.72</v>
      </c>
      <c r="L498" s="19">
        <f t="shared" si="23"/>
        <v>1920.0800000000002</v>
      </c>
    </row>
    <row r="499" spans="1:12" ht="15" customHeight="1" x14ac:dyDescent="0.25">
      <c r="A499" s="10">
        <v>498</v>
      </c>
      <c r="B499" s="10">
        <v>157</v>
      </c>
      <c r="C499" s="10">
        <v>34</v>
      </c>
      <c r="D499" s="10">
        <v>10</v>
      </c>
      <c r="E499" s="19">
        <v>339.25</v>
      </c>
      <c r="F499" s="10">
        <v>0.05</v>
      </c>
      <c r="G499" s="19">
        <f t="shared" si="21"/>
        <v>3222.875</v>
      </c>
      <c r="H499" s="10">
        <f>INDEX(Products!$C$2:$C$101,MATCH(C499,Products!$A$2:$A$101,0))</f>
        <v>4</v>
      </c>
      <c r="I499" s="10" t="str">
        <f>INDEX(Categories!$B$2:$B$11,MATCH(H499,Categories!$A$2:$A$11,0))</f>
        <v>Apparel</v>
      </c>
      <c r="J499" s="19">
        <f>INDEX(Products!$E$2:$E$101,MATCH(C499,Products!$A$2:$A$101,0))</f>
        <v>208.66</v>
      </c>
      <c r="K499" s="19">
        <f t="shared" si="22"/>
        <v>2086.6</v>
      </c>
      <c r="L499" s="19">
        <f t="shared" si="23"/>
        <v>1136.2750000000001</v>
      </c>
    </row>
    <row r="500" spans="1:12" ht="15" customHeight="1" x14ac:dyDescent="0.25">
      <c r="A500" s="10">
        <v>499</v>
      </c>
      <c r="B500" s="10">
        <v>157</v>
      </c>
      <c r="C500" s="10">
        <v>50</v>
      </c>
      <c r="D500" s="10">
        <v>1</v>
      </c>
      <c r="E500" s="19">
        <v>411.05</v>
      </c>
      <c r="F500" s="10">
        <v>0</v>
      </c>
      <c r="G500" s="19">
        <f t="shared" si="21"/>
        <v>411.05</v>
      </c>
      <c r="H500" s="10">
        <f>INDEX(Products!$C$2:$C$101,MATCH(C500,Products!$A$2:$A$101,0))</f>
        <v>5</v>
      </c>
      <c r="I500" s="10" t="str">
        <f>INDEX(Categories!$B$2:$B$11,MATCH(H500,Categories!$A$2:$A$11,0))</f>
        <v>Home &amp; Kitchen</v>
      </c>
      <c r="J500" s="19">
        <f>INDEX(Products!$E$2:$E$101,MATCH(C500,Products!$A$2:$A$101,0))</f>
        <v>230.53</v>
      </c>
      <c r="K500" s="19">
        <f t="shared" si="22"/>
        <v>230.53</v>
      </c>
      <c r="L500" s="19">
        <f t="shared" si="23"/>
        <v>180.52</v>
      </c>
    </row>
    <row r="501" spans="1:12" ht="15" customHeight="1" x14ac:dyDescent="0.25">
      <c r="A501" s="10">
        <v>500</v>
      </c>
      <c r="B501" s="10">
        <v>158</v>
      </c>
      <c r="C501" s="10">
        <v>7</v>
      </c>
      <c r="D501" s="10">
        <v>8</v>
      </c>
      <c r="E501" s="19">
        <v>150.96</v>
      </c>
      <c r="F501" s="10">
        <v>0</v>
      </c>
      <c r="G501" s="19">
        <f t="shared" si="21"/>
        <v>1207.68</v>
      </c>
      <c r="H501" s="10">
        <f>INDEX(Products!$C$2:$C$101,MATCH(C501,Products!$A$2:$A$101,0))</f>
        <v>1</v>
      </c>
      <c r="I501" s="10" t="str">
        <f>INDEX(Categories!$B$2:$B$11,MATCH(H501,Categories!$A$2:$A$11,0))</f>
        <v>Electronics</v>
      </c>
      <c r="J501" s="19">
        <f>INDEX(Products!$E$2:$E$101,MATCH(C501,Products!$A$2:$A$101,0))</f>
        <v>83.86</v>
      </c>
      <c r="K501" s="19">
        <f t="shared" si="22"/>
        <v>670.88</v>
      </c>
      <c r="L501" s="19">
        <f t="shared" si="23"/>
        <v>536.80000000000007</v>
      </c>
    </row>
    <row r="502" spans="1:12" ht="15" customHeight="1" x14ac:dyDescent="0.25">
      <c r="A502" s="10">
        <v>501</v>
      </c>
      <c r="B502" s="10">
        <v>158</v>
      </c>
      <c r="C502" s="10">
        <v>96</v>
      </c>
      <c r="D502" s="10">
        <v>6</v>
      </c>
      <c r="E502" s="19">
        <v>266.72000000000003</v>
      </c>
      <c r="F502" s="10">
        <v>0</v>
      </c>
      <c r="G502" s="19">
        <f t="shared" si="21"/>
        <v>1600.3200000000002</v>
      </c>
      <c r="H502" s="10">
        <f>INDEX(Products!$C$2:$C$101,MATCH(C502,Products!$A$2:$A$101,0))</f>
        <v>10</v>
      </c>
      <c r="I502" s="10" t="str">
        <f>INDEX(Categories!$B$2:$B$11,MATCH(H502,Categories!$A$2:$A$11,0))</f>
        <v>Groceries</v>
      </c>
      <c r="J502" s="19">
        <f>INDEX(Products!$E$2:$E$101,MATCH(C502,Products!$A$2:$A$101,0))</f>
        <v>162.65</v>
      </c>
      <c r="K502" s="19">
        <f t="shared" si="22"/>
        <v>975.90000000000009</v>
      </c>
      <c r="L502" s="19">
        <f t="shared" si="23"/>
        <v>624.42000000000007</v>
      </c>
    </row>
    <row r="503" spans="1:12" ht="15" customHeight="1" x14ac:dyDescent="0.25">
      <c r="A503" s="10">
        <v>502</v>
      </c>
      <c r="B503" s="10">
        <v>159</v>
      </c>
      <c r="C503" s="10">
        <v>18</v>
      </c>
      <c r="D503" s="10">
        <v>8</v>
      </c>
      <c r="E503" s="19">
        <v>185.81</v>
      </c>
      <c r="F503" s="10">
        <v>0.2</v>
      </c>
      <c r="G503" s="19">
        <f t="shared" si="21"/>
        <v>1189.184</v>
      </c>
      <c r="H503" s="10">
        <f>INDEX(Products!$C$2:$C$101,MATCH(C503,Products!$A$2:$A$101,0))</f>
        <v>2</v>
      </c>
      <c r="I503" s="10" t="str">
        <f>INDEX(Categories!$B$2:$B$11,MATCH(H503,Categories!$A$2:$A$11,0))</f>
        <v>Office Supplies</v>
      </c>
      <c r="J503" s="19">
        <f>INDEX(Products!$E$2:$E$101,MATCH(C503,Products!$A$2:$A$101,0))</f>
        <v>108.81</v>
      </c>
      <c r="K503" s="19">
        <f t="shared" si="22"/>
        <v>870.48</v>
      </c>
      <c r="L503" s="19">
        <f t="shared" si="23"/>
        <v>318.70399999999995</v>
      </c>
    </row>
    <row r="504" spans="1:12" ht="15" customHeight="1" x14ac:dyDescent="0.25">
      <c r="A504" s="10">
        <v>503</v>
      </c>
      <c r="B504" s="10">
        <v>159</v>
      </c>
      <c r="C504" s="10">
        <v>39</v>
      </c>
      <c r="D504" s="10">
        <v>6</v>
      </c>
      <c r="E504" s="19">
        <v>42.44</v>
      </c>
      <c r="F504" s="10">
        <v>0</v>
      </c>
      <c r="G504" s="19">
        <f t="shared" si="21"/>
        <v>254.64</v>
      </c>
      <c r="H504" s="10">
        <f>INDEX(Products!$C$2:$C$101,MATCH(C504,Products!$A$2:$A$101,0))</f>
        <v>4</v>
      </c>
      <c r="I504" s="10" t="str">
        <f>INDEX(Categories!$B$2:$B$11,MATCH(H504,Categories!$A$2:$A$11,0))</f>
        <v>Apparel</v>
      </c>
      <c r="J504" s="19">
        <f>INDEX(Products!$E$2:$E$101,MATCH(C504,Products!$A$2:$A$101,0))</f>
        <v>21.3</v>
      </c>
      <c r="K504" s="19">
        <f t="shared" si="22"/>
        <v>127.80000000000001</v>
      </c>
      <c r="L504" s="19">
        <f t="shared" si="23"/>
        <v>126.83999999999997</v>
      </c>
    </row>
    <row r="505" spans="1:12" ht="15" customHeight="1" x14ac:dyDescent="0.25">
      <c r="A505" s="10">
        <v>504</v>
      </c>
      <c r="B505" s="10">
        <v>160</v>
      </c>
      <c r="C505" s="10">
        <v>98</v>
      </c>
      <c r="D505" s="10">
        <v>9</v>
      </c>
      <c r="E505" s="19">
        <v>67.48</v>
      </c>
      <c r="F505" s="10">
        <v>0.2</v>
      </c>
      <c r="G505" s="19">
        <f t="shared" si="21"/>
        <v>485.85600000000005</v>
      </c>
      <c r="H505" s="10">
        <f>INDEX(Products!$C$2:$C$101,MATCH(C505,Products!$A$2:$A$101,0))</f>
        <v>10</v>
      </c>
      <c r="I505" s="10" t="str">
        <f>INDEX(Categories!$B$2:$B$11,MATCH(H505,Categories!$A$2:$A$11,0))</f>
        <v>Groceries</v>
      </c>
      <c r="J505" s="19">
        <f>INDEX(Products!$E$2:$E$101,MATCH(C505,Products!$A$2:$A$101,0))</f>
        <v>35.64</v>
      </c>
      <c r="K505" s="19">
        <f t="shared" si="22"/>
        <v>320.76</v>
      </c>
      <c r="L505" s="19">
        <f t="shared" si="23"/>
        <v>165.09600000000006</v>
      </c>
    </row>
    <row r="506" spans="1:12" ht="15" customHeight="1" x14ac:dyDescent="0.25">
      <c r="A506" s="10">
        <v>505</v>
      </c>
      <c r="B506" s="10">
        <v>160</v>
      </c>
      <c r="C506" s="10">
        <v>67</v>
      </c>
      <c r="D506" s="10">
        <v>3</v>
      </c>
      <c r="E506" s="19">
        <v>120.48</v>
      </c>
      <c r="F506" s="10">
        <v>0</v>
      </c>
      <c r="G506" s="19">
        <f t="shared" si="21"/>
        <v>361.44</v>
      </c>
      <c r="H506" s="10">
        <f>INDEX(Products!$C$2:$C$101,MATCH(C506,Products!$A$2:$A$101,0))</f>
        <v>7</v>
      </c>
      <c r="I506" s="10" t="str">
        <f>INDEX(Categories!$B$2:$B$11,MATCH(H506,Categories!$A$2:$A$11,0))</f>
        <v>Toys &amp; Games</v>
      </c>
      <c r="J506" s="19">
        <f>INDEX(Products!$E$2:$E$101,MATCH(C506,Products!$A$2:$A$101,0))</f>
        <v>63.2</v>
      </c>
      <c r="K506" s="19">
        <f t="shared" si="22"/>
        <v>189.60000000000002</v>
      </c>
      <c r="L506" s="19">
        <f t="shared" si="23"/>
        <v>171.83999999999997</v>
      </c>
    </row>
    <row r="507" spans="1:12" ht="15" customHeight="1" x14ac:dyDescent="0.25">
      <c r="A507" s="10">
        <v>506</v>
      </c>
      <c r="B507" s="10">
        <v>160</v>
      </c>
      <c r="C507" s="10">
        <v>48</v>
      </c>
      <c r="D507" s="10">
        <v>5</v>
      </c>
      <c r="E507" s="19">
        <v>205.11</v>
      </c>
      <c r="F507" s="10">
        <v>0.15</v>
      </c>
      <c r="G507" s="19">
        <f t="shared" si="21"/>
        <v>871.71750000000009</v>
      </c>
      <c r="H507" s="10">
        <f>INDEX(Products!$C$2:$C$101,MATCH(C507,Products!$A$2:$A$101,0))</f>
        <v>5</v>
      </c>
      <c r="I507" s="10" t="str">
        <f>INDEX(Categories!$B$2:$B$11,MATCH(H507,Categories!$A$2:$A$11,0))</f>
        <v>Home &amp; Kitchen</v>
      </c>
      <c r="J507" s="19">
        <f>INDEX(Products!$E$2:$E$101,MATCH(C507,Products!$A$2:$A$101,0))</f>
        <v>108.01</v>
      </c>
      <c r="K507" s="19">
        <f t="shared" si="22"/>
        <v>540.05000000000007</v>
      </c>
      <c r="L507" s="19">
        <f t="shared" si="23"/>
        <v>331.66750000000002</v>
      </c>
    </row>
    <row r="508" spans="1:12" ht="15" customHeight="1" x14ac:dyDescent="0.25">
      <c r="A508" s="10">
        <v>507</v>
      </c>
      <c r="B508" s="10">
        <v>160</v>
      </c>
      <c r="C508" s="10">
        <v>8</v>
      </c>
      <c r="D508" s="10">
        <v>9</v>
      </c>
      <c r="E508" s="19">
        <v>418.1</v>
      </c>
      <c r="F508" s="10">
        <v>0.05</v>
      </c>
      <c r="G508" s="19">
        <f t="shared" si="21"/>
        <v>3574.7550000000001</v>
      </c>
      <c r="H508" s="10">
        <f>INDEX(Products!$C$2:$C$101,MATCH(C508,Products!$A$2:$A$101,0))</f>
        <v>1</v>
      </c>
      <c r="I508" s="10" t="str">
        <f>INDEX(Categories!$B$2:$B$11,MATCH(H508,Categories!$A$2:$A$11,0))</f>
        <v>Electronics</v>
      </c>
      <c r="J508" s="19">
        <f>INDEX(Products!$E$2:$E$101,MATCH(C508,Products!$A$2:$A$101,0))</f>
        <v>188.75</v>
      </c>
      <c r="K508" s="19">
        <f t="shared" si="22"/>
        <v>1698.75</v>
      </c>
      <c r="L508" s="19">
        <f t="shared" si="23"/>
        <v>1876.0050000000001</v>
      </c>
    </row>
    <row r="509" spans="1:12" ht="15" customHeight="1" x14ac:dyDescent="0.25">
      <c r="A509" s="10">
        <v>508</v>
      </c>
      <c r="B509" s="10">
        <v>161</v>
      </c>
      <c r="C509" s="10">
        <v>47</v>
      </c>
      <c r="D509" s="10">
        <v>4</v>
      </c>
      <c r="E509" s="19">
        <v>96.51</v>
      </c>
      <c r="F509" s="10">
        <v>0</v>
      </c>
      <c r="G509" s="19">
        <f t="shared" si="21"/>
        <v>386.04</v>
      </c>
      <c r="H509" s="10">
        <f>INDEX(Products!$C$2:$C$101,MATCH(C509,Products!$A$2:$A$101,0))</f>
        <v>5</v>
      </c>
      <c r="I509" s="10" t="str">
        <f>INDEX(Categories!$B$2:$B$11,MATCH(H509,Categories!$A$2:$A$11,0))</f>
        <v>Home &amp; Kitchen</v>
      </c>
      <c r="J509" s="19">
        <f>INDEX(Products!$E$2:$E$101,MATCH(C509,Products!$A$2:$A$101,0))</f>
        <v>60.66</v>
      </c>
      <c r="K509" s="19">
        <f t="shared" si="22"/>
        <v>242.64</v>
      </c>
      <c r="L509" s="19">
        <f t="shared" si="23"/>
        <v>143.40000000000003</v>
      </c>
    </row>
    <row r="510" spans="1:12" ht="15" customHeight="1" x14ac:dyDescent="0.25">
      <c r="A510" s="10">
        <v>509</v>
      </c>
      <c r="B510" s="10">
        <v>162</v>
      </c>
      <c r="C510" s="10">
        <v>77</v>
      </c>
      <c r="D510" s="10">
        <v>10</v>
      </c>
      <c r="E510" s="19">
        <v>87.18</v>
      </c>
      <c r="F510" s="10">
        <v>0.1</v>
      </c>
      <c r="G510" s="19">
        <f t="shared" si="21"/>
        <v>784.62000000000012</v>
      </c>
      <c r="H510" s="10">
        <f>INDEX(Products!$C$2:$C$101,MATCH(C510,Products!$A$2:$A$101,0))</f>
        <v>8</v>
      </c>
      <c r="I510" s="10" t="str">
        <f>INDEX(Categories!$B$2:$B$11,MATCH(H510,Categories!$A$2:$A$11,0))</f>
        <v>Health &amp; Beauty</v>
      </c>
      <c r="J510" s="19">
        <f>INDEX(Products!$E$2:$E$101,MATCH(C510,Products!$A$2:$A$101,0))</f>
        <v>38.61</v>
      </c>
      <c r="K510" s="19">
        <f t="shared" si="22"/>
        <v>386.1</v>
      </c>
      <c r="L510" s="19">
        <f t="shared" si="23"/>
        <v>398.5200000000001</v>
      </c>
    </row>
    <row r="511" spans="1:12" ht="15" customHeight="1" x14ac:dyDescent="0.25">
      <c r="A511" s="10">
        <v>510</v>
      </c>
      <c r="B511" s="10">
        <v>162</v>
      </c>
      <c r="C511" s="10">
        <v>58</v>
      </c>
      <c r="D511" s="10">
        <v>6</v>
      </c>
      <c r="E511" s="19">
        <v>388.55</v>
      </c>
      <c r="F511" s="10">
        <v>0</v>
      </c>
      <c r="G511" s="19">
        <f t="shared" si="21"/>
        <v>2331.3000000000002</v>
      </c>
      <c r="H511" s="10">
        <f>INDEX(Products!$C$2:$C$101,MATCH(C511,Products!$A$2:$A$101,0))</f>
        <v>6</v>
      </c>
      <c r="I511" s="10" t="str">
        <f>INDEX(Categories!$B$2:$B$11,MATCH(H511,Categories!$A$2:$A$11,0))</f>
        <v>Sporting Goods</v>
      </c>
      <c r="J511" s="19">
        <f>INDEX(Products!$E$2:$E$101,MATCH(C511,Products!$A$2:$A$101,0))</f>
        <v>203.95</v>
      </c>
      <c r="K511" s="19">
        <f t="shared" si="22"/>
        <v>1223.6999999999998</v>
      </c>
      <c r="L511" s="19">
        <f t="shared" si="23"/>
        <v>1107.6000000000004</v>
      </c>
    </row>
    <row r="512" spans="1:12" ht="15" customHeight="1" x14ac:dyDescent="0.25">
      <c r="A512" s="10">
        <v>511</v>
      </c>
      <c r="B512" s="10">
        <v>162</v>
      </c>
      <c r="C512" s="10">
        <v>23</v>
      </c>
      <c r="D512" s="10">
        <v>3</v>
      </c>
      <c r="E512" s="19">
        <v>346.21</v>
      </c>
      <c r="F512" s="10">
        <v>0.2</v>
      </c>
      <c r="G512" s="19">
        <f t="shared" si="21"/>
        <v>830.904</v>
      </c>
      <c r="H512" s="10">
        <f>INDEX(Products!$C$2:$C$101,MATCH(C512,Products!$A$2:$A$101,0))</f>
        <v>3</v>
      </c>
      <c r="I512" s="10" t="str">
        <f>INDEX(Categories!$B$2:$B$11,MATCH(H512,Categories!$A$2:$A$11,0))</f>
        <v>Furniture</v>
      </c>
      <c r="J512" s="19">
        <f>INDEX(Products!$E$2:$E$101,MATCH(C512,Products!$A$2:$A$101,0))</f>
        <v>220.76</v>
      </c>
      <c r="K512" s="19">
        <f t="shared" si="22"/>
        <v>662.28</v>
      </c>
      <c r="L512" s="19">
        <f t="shared" si="23"/>
        <v>168.62400000000002</v>
      </c>
    </row>
    <row r="513" spans="1:12" ht="15" customHeight="1" x14ac:dyDescent="0.25">
      <c r="A513" s="10">
        <v>512</v>
      </c>
      <c r="B513" s="10">
        <v>162</v>
      </c>
      <c r="C513" s="10">
        <v>61</v>
      </c>
      <c r="D513" s="10">
        <v>5</v>
      </c>
      <c r="E513" s="19">
        <v>289.8</v>
      </c>
      <c r="F513" s="10">
        <v>0.15</v>
      </c>
      <c r="G513" s="19">
        <f t="shared" si="21"/>
        <v>1231.6499999999999</v>
      </c>
      <c r="H513" s="10">
        <f>INDEX(Products!$C$2:$C$101,MATCH(C513,Products!$A$2:$A$101,0))</f>
        <v>7</v>
      </c>
      <c r="I513" s="10" t="str">
        <f>INDEX(Categories!$B$2:$B$11,MATCH(H513,Categories!$A$2:$A$11,0))</f>
        <v>Toys &amp; Games</v>
      </c>
      <c r="J513" s="19">
        <f>INDEX(Products!$E$2:$E$101,MATCH(C513,Products!$A$2:$A$101,0))</f>
        <v>156.79</v>
      </c>
      <c r="K513" s="19">
        <f t="shared" si="22"/>
        <v>783.94999999999993</v>
      </c>
      <c r="L513" s="19">
        <f t="shared" si="23"/>
        <v>447.69999999999993</v>
      </c>
    </row>
    <row r="514" spans="1:12" ht="15" customHeight="1" x14ac:dyDescent="0.25">
      <c r="A514" s="10">
        <v>513</v>
      </c>
      <c r="B514" s="10">
        <v>163</v>
      </c>
      <c r="C514" s="10">
        <v>29</v>
      </c>
      <c r="D514" s="10">
        <v>4</v>
      </c>
      <c r="E514" s="19">
        <v>152.52000000000001</v>
      </c>
      <c r="F514" s="10">
        <v>0.15</v>
      </c>
      <c r="G514" s="19">
        <f t="shared" ref="G514:G577" si="24">D514*E514*(1-F514)</f>
        <v>518.56799999999998</v>
      </c>
      <c r="H514" s="10">
        <f>INDEX(Products!$C$2:$C$101,MATCH(C514,Products!$A$2:$A$101,0))</f>
        <v>3</v>
      </c>
      <c r="I514" s="10" t="str">
        <f>INDEX(Categories!$B$2:$B$11,MATCH(H514,Categories!$A$2:$A$11,0))</f>
        <v>Furniture</v>
      </c>
      <c r="J514" s="19">
        <f>INDEX(Products!$E$2:$E$101,MATCH(C514,Products!$A$2:$A$101,0))</f>
        <v>78.63</v>
      </c>
      <c r="K514" s="19">
        <f t="shared" ref="K514:K577" si="25">D514*J514</f>
        <v>314.52</v>
      </c>
      <c r="L514" s="19">
        <f t="shared" ref="L514:L577" si="26">G514-K514</f>
        <v>204.048</v>
      </c>
    </row>
    <row r="515" spans="1:12" ht="15" customHeight="1" x14ac:dyDescent="0.25">
      <c r="A515" s="10">
        <v>514</v>
      </c>
      <c r="B515" s="10">
        <v>163</v>
      </c>
      <c r="C515" s="10">
        <v>83</v>
      </c>
      <c r="D515" s="10">
        <v>4</v>
      </c>
      <c r="E515" s="19">
        <v>113.19</v>
      </c>
      <c r="F515" s="10">
        <v>0</v>
      </c>
      <c r="G515" s="19">
        <f t="shared" si="24"/>
        <v>452.76</v>
      </c>
      <c r="H515" s="10">
        <f>INDEX(Products!$C$2:$C$101,MATCH(C515,Products!$A$2:$A$101,0))</f>
        <v>9</v>
      </c>
      <c r="I515" s="10" t="str">
        <f>INDEX(Categories!$B$2:$B$11,MATCH(H515,Categories!$A$2:$A$11,0))</f>
        <v>Automotive Parts</v>
      </c>
      <c r="J515" s="19">
        <f>INDEX(Products!$E$2:$E$101,MATCH(C515,Products!$A$2:$A$101,0))</f>
        <v>83.12</v>
      </c>
      <c r="K515" s="19">
        <f t="shared" si="25"/>
        <v>332.48</v>
      </c>
      <c r="L515" s="19">
        <f t="shared" si="26"/>
        <v>120.27999999999997</v>
      </c>
    </row>
    <row r="516" spans="1:12" ht="15" customHeight="1" x14ac:dyDescent="0.25">
      <c r="A516" s="10">
        <v>515</v>
      </c>
      <c r="B516" s="10">
        <v>164</v>
      </c>
      <c r="C516" s="10">
        <v>2</v>
      </c>
      <c r="D516" s="10">
        <v>5</v>
      </c>
      <c r="E516" s="19">
        <v>286.57</v>
      </c>
      <c r="F516" s="10">
        <v>0.05</v>
      </c>
      <c r="G516" s="19">
        <f t="shared" si="24"/>
        <v>1361.2074999999998</v>
      </c>
      <c r="H516" s="10">
        <f>INDEX(Products!$C$2:$C$101,MATCH(C516,Products!$A$2:$A$101,0))</f>
        <v>1</v>
      </c>
      <c r="I516" s="10" t="str">
        <f>INDEX(Categories!$B$2:$B$11,MATCH(H516,Categories!$A$2:$A$11,0))</f>
        <v>Electronics</v>
      </c>
      <c r="J516" s="19">
        <f>INDEX(Products!$E$2:$E$101,MATCH(C516,Products!$A$2:$A$101,0))</f>
        <v>135.94</v>
      </c>
      <c r="K516" s="19">
        <f t="shared" si="25"/>
        <v>679.7</v>
      </c>
      <c r="L516" s="19">
        <f t="shared" si="26"/>
        <v>681.50749999999971</v>
      </c>
    </row>
    <row r="517" spans="1:12" ht="15" customHeight="1" x14ac:dyDescent="0.25">
      <c r="A517" s="10">
        <v>516</v>
      </c>
      <c r="B517" s="10">
        <v>164</v>
      </c>
      <c r="C517" s="10">
        <v>29</v>
      </c>
      <c r="D517" s="10">
        <v>7</v>
      </c>
      <c r="E517" s="19">
        <v>152.52000000000001</v>
      </c>
      <c r="F517" s="10">
        <v>0.2</v>
      </c>
      <c r="G517" s="19">
        <f t="shared" si="24"/>
        <v>854.11200000000008</v>
      </c>
      <c r="H517" s="10">
        <f>INDEX(Products!$C$2:$C$101,MATCH(C517,Products!$A$2:$A$101,0))</f>
        <v>3</v>
      </c>
      <c r="I517" s="10" t="str">
        <f>INDEX(Categories!$B$2:$B$11,MATCH(H517,Categories!$A$2:$A$11,0))</f>
        <v>Furniture</v>
      </c>
      <c r="J517" s="19">
        <f>INDEX(Products!$E$2:$E$101,MATCH(C517,Products!$A$2:$A$101,0))</f>
        <v>78.63</v>
      </c>
      <c r="K517" s="19">
        <f t="shared" si="25"/>
        <v>550.41</v>
      </c>
      <c r="L517" s="19">
        <f t="shared" si="26"/>
        <v>303.70200000000011</v>
      </c>
    </row>
    <row r="518" spans="1:12" ht="15" customHeight="1" x14ac:dyDescent="0.25">
      <c r="A518" s="10">
        <v>517</v>
      </c>
      <c r="B518" s="10">
        <v>164</v>
      </c>
      <c r="C518" s="10">
        <v>33</v>
      </c>
      <c r="D518" s="10">
        <v>6</v>
      </c>
      <c r="E518" s="19">
        <v>432.05</v>
      </c>
      <c r="F518" s="10">
        <v>0.05</v>
      </c>
      <c r="G518" s="19">
        <f t="shared" si="24"/>
        <v>2462.6849999999999</v>
      </c>
      <c r="H518" s="10">
        <f>INDEX(Products!$C$2:$C$101,MATCH(C518,Products!$A$2:$A$101,0))</f>
        <v>4</v>
      </c>
      <c r="I518" s="10" t="str">
        <f>INDEX(Categories!$B$2:$B$11,MATCH(H518,Categories!$A$2:$A$11,0))</f>
        <v>Apparel</v>
      </c>
      <c r="J518" s="19">
        <f>INDEX(Products!$E$2:$E$101,MATCH(C518,Products!$A$2:$A$101,0))</f>
        <v>181.97</v>
      </c>
      <c r="K518" s="19">
        <f t="shared" si="25"/>
        <v>1091.82</v>
      </c>
      <c r="L518" s="19">
        <f t="shared" si="26"/>
        <v>1370.865</v>
      </c>
    </row>
    <row r="519" spans="1:12" ht="15" customHeight="1" x14ac:dyDescent="0.25">
      <c r="A519" s="10">
        <v>518</v>
      </c>
      <c r="B519" s="10">
        <v>164</v>
      </c>
      <c r="C519" s="10">
        <v>78</v>
      </c>
      <c r="D519" s="10">
        <v>5</v>
      </c>
      <c r="E519" s="19">
        <v>178.61</v>
      </c>
      <c r="F519" s="10">
        <v>0</v>
      </c>
      <c r="G519" s="19">
        <f t="shared" si="24"/>
        <v>893.05000000000007</v>
      </c>
      <c r="H519" s="10">
        <f>INDEX(Products!$C$2:$C$101,MATCH(C519,Products!$A$2:$A$101,0))</f>
        <v>8</v>
      </c>
      <c r="I519" s="10" t="str">
        <f>INDEX(Categories!$B$2:$B$11,MATCH(H519,Categories!$A$2:$A$11,0))</f>
        <v>Health &amp; Beauty</v>
      </c>
      <c r="J519" s="19">
        <f>INDEX(Products!$E$2:$E$101,MATCH(C519,Products!$A$2:$A$101,0))</f>
        <v>86.62</v>
      </c>
      <c r="K519" s="19">
        <f t="shared" si="25"/>
        <v>433.1</v>
      </c>
      <c r="L519" s="19">
        <f t="shared" si="26"/>
        <v>459.95000000000005</v>
      </c>
    </row>
    <row r="520" spans="1:12" ht="15" customHeight="1" x14ac:dyDescent="0.25">
      <c r="A520" s="10">
        <v>519</v>
      </c>
      <c r="B520" s="10">
        <v>164</v>
      </c>
      <c r="C520" s="10">
        <v>40</v>
      </c>
      <c r="D520" s="10">
        <v>8</v>
      </c>
      <c r="E520" s="19">
        <v>330.91</v>
      </c>
      <c r="F520" s="10">
        <v>0</v>
      </c>
      <c r="G520" s="19">
        <f t="shared" si="24"/>
        <v>2647.28</v>
      </c>
      <c r="H520" s="10">
        <f>INDEX(Products!$C$2:$C$101,MATCH(C520,Products!$A$2:$A$101,0))</f>
        <v>4</v>
      </c>
      <c r="I520" s="10" t="str">
        <f>INDEX(Categories!$B$2:$B$11,MATCH(H520,Categories!$A$2:$A$11,0))</f>
        <v>Apparel</v>
      </c>
      <c r="J520" s="19">
        <f>INDEX(Products!$E$2:$E$101,MATCH(C520,Products!$A$2:$A$101,0))</f>
        <v>237.43</v>
      </c>
      <c r="K520" s="19">
        <f t="shared" si="25"/>
        <v>1899.44</v>
      </c>
      <c r="L520" s="19">
        <f t="shared" si="26"/>
        <v>747.84000000000015</v>
      </c>
    </row>
    <row r="521" spans="1:12" ht="15" customHeight="1" x14ac:dyDescent="0.25">
      <c r="A521" s="10">
        <v>520</v>
      </c>
      <c r="B521" s="10">
        <v>165</v>
      </c>
      <c r="C521" s="10">
        <v>36</v>
      </c>
      <c r="D521" s="10">
        <v>5</v>
      </c>
      <c r="E521" s="19">
        <v>472.77</v>
      </c>
      <c r="F521" s="10">
        <v>0</v>
      </c>
      <c r="G521" s="19">
        <f t="shared" si="24"/>
        <v>2363.85</v>
      </c>
      <c r="H521" s="10">
        <f>INDEX(Products!$C$2:$C$101,MATCH(C521,Products!$A$2:$A$101,0))</f>
        <v>4</v>
      </c>
      <c r="I521" s="10" t="str">
        <f>INDEX(Categories!$B$2:$B$11,MATCH(H521,Categories!$A$2:$A$11,0))</f>
        <v>Apparel</v>
      </c>
      <c r="J521" s="19">
        <f>INDEX(Products!$E$2:$E$101,MATCH(C521,Products!$A$2:$A$101,0))</f>
        <v>236.19</v>
      </c>
      <c r="K521" s="19">
        <f t="shared" si="25"/>
        <v>1180.95</v>
      </c>
      <c r="L521" s="19">
        <f t="shared" si="26"/>
        <v>1182.8999999999999</v>
      </c>
    </row>
    <row r="522" spans="1:12" ht="15" customHeight="1" x14ac:dyDescent="0.25">
      <c r="A522" s="10">
        <v>521</v>
      </c>
      <c r="B522" s="10">
        <v>165</v>
      </c>
      <c r="C522" s="10">
        <v>82</v>
      </c>
      <c r="D522" s="10">
        <v>5</v>
      </c>
      <c r="E522" s="19">
        <v>390.74</v>
      </c>
      <c r="F522" s="10">
        <v>0</v>
      </c>
      <c r="G522" s="19">
        <f t="shared" si="24"/>
        <v>1953.7</v>
      </c>
      <c r="H522" s="10">
        <f>INDEX(Products!$C$2:$C$101,MATCH(C522,Products!$A$2:$A$101,0))</f>
        <v>9</v>
      </c>
      <c r="I522" s="10" t="str">
        <f>INDEX(Categories!$B$2:$B$11,MATCH(H522,Categories!$A$2:$A$11,0))</f>
        <v>Automotive Parts</v>
      </c>
      <c r="J522" s="19">
        <f>INDEX(Products!$E$2:$E$101,MATCH(C522,Products!$A$2:$A$101,0))</f>
        <v>218.53</v>
      </c>
      <c r="K522" s="19">
        <f t="shared" si="25"/>
        <v>1092.6500000000001</v>
      </c>
      <c r="L522" s="19">
        <f t="shared" si="26"/>
        <v>861.05</v>
      </c>
    </row>
    <row r="523" spans="1:12" ht="15" customHeight="1" x14ac:dyDescent="0.25">
      <c r="A523" s="10">
        <v>522</v>
      </c>
      <c r="B523" s="10">
        <v>165</v>
      </c>
      <c r="C523" s="10">
        <v>42</v>
      </c>
      <c r="D523" s="10">
        <v>3</v>
      </c>
      <c r="E523" s="19">
        <v>370</v>
      </c>
      <c r="F523" s="10">
        <v>0.1</v>
      </c>
      <c r="G523" s="19">
        <f t="shared" si="24"/>
        <v>999</v>
      </c>
      <c r="H523" s="10">
        <f>INDEX(Products!$C$2:$C$101,MATCH(C523,Products!$A$2:$A$101,0))</f>
        <v>5</v>
      </c>
      <c r="I523" s="10" t="str">
        <f>INDEX(Categories!$B$2:$B$11,MATCH(H523,Categories!$A$2:$A$11,0))</f>
        <v>Home &amp; Kitchen</v>
      </c>
      <c r="J523" s="19">
        <f>INDEX(Products!$E$2:$E$101,MATCH(C523,Products!$A$2:$A$101,0))</f>
        <v>227.4</v>
      </c>
      <c r="K523" s="19">
        <f t="shared" si="25"/>
        <v>682.2</v>
      </c>
      <c r="L523" s="19">
        <f t="shared" si="26"/>
        <v>316.79999999999995</v>
      </c>
    </row>
    <row r="524" spans="1:12" ht="15" customHeight="1" x14ac:dyDescent="0.25">
      <c r="A524" s="10">
        <v>523</v>
      </c>
      <c r="B524" s="10">
        <v>166</v>
      </c>
      <c r="C524" s="10">
        <v>34</v>
      </c>
      <c r="D524" s="10">
        <v>7</v>
      </c>
      <c r="E524" s="19">
        <v>339.25</v>
      </c>
      <c r="F524" s="10">
        <v>0.15</v>
      </c>
      <c r="G524" s="19">
        <f t="shared" si="24"/>
        <v>2018.5374999999999</v>
      </c>
      <c r="H524" s="10">
        <f>INDEX(Products!$C$2:$C$101,MATCH(C524,Products!$A$2:$A$101,0))</f>
        <v>4</v>
      </c>
      <c r="I524" s="10" t="str">
        <f>INDEX(Categories!$B$2:$B$11,MATCH(H524,Categories!$A$2:$A$11,0))</f>
        <v>Apparel</v>
      </c>
      <c r="J524" s="19">
        <f>INDEX(Products!$E$2:$E$101,MATCH(C524,Products!$A$2:$A$101,0))</f>
        <v>208.66</v>
      </c>
      <c r="K524" s="19">
        <f t="shared" si="25"/>
        <v>1460.62</v>
      </c>
      <c r="L524" s="19">
        <f t="shared" si="26"/>
        <v>557.91750000000002</v>
      </c>
    </row>
    <row r="525" spans="1:12" ht="15" customHeight="1" x14ac:dyDescent="0.25">
      <c r="A525" s="10">
        <v>524</v>
      </c>
      <c r="B525" s="10">
        <v>166</v>
      </c>
      <c r="C525" s="10">
        <v>54</v>
      </c>
      <c r="D525" s="10">
        <v>1</v>
      </c>
      <c r="E525" s="19">
        <v>398.16</v>
      </c>
      <c r="F525" s="10">
        <v>0.1</v>
      </c>
      <c r="G525" s="19">
        <f t="shared" si="24"/>
        <v>358.34400000000005</v>
      </c>
      <c r="H525" s="10">
        <f>INDEX(Products!$C$2:$C$101,MATCH(C525,Products!$A$2:$A$101,0))</f>
        <v>6</v>
      </c>
      <c r="I525" s="10" t="str">
        <f>INDEX(Categories!$B$2:$B$11,MATCH(H525,Categories!$A$2:$A$11,0))</f>
        <v>Sporting Goods</v>
      </c>
      <c r="J525" s="19">
        <f>INDEX(Products!$E$2:$E$101,MATCH(C525,Products!$A$2:$A$101,0))</f>
        <v>205.89</v>
      </c>
      <c r="K525" s="19">
        <f t="shared" si="25"/>
        <v>205.89</v>
      </c>
      <c r="L525" s="19">
        <f t="shared" si="26"/>
        <v>152.45400000000006</v>
      </c>
    </row>
    <row r="526" spans="1:12" ht="15" customHeight="1" x14ac:dyDescent="0.25">
      <c r="A526" s="10">
        <v>525</v>
      </c>
      <c r="B526" s="10">
        <v>166</v>
      </c>
      <c r="C526" s="10">
        <v>52</v>
      </c>
      <c r="D526" s="10">
        <v>10</v>
      </c>
      <c r="E526" s="19">
        <v>469.43</v>
      </c>
      <c r="F526" s="10">
        <v>0.2</v>
      </c>
      <c r="G526" s="19">
        <f t="shared" si="24"/>
        <v>3755.4400000000005</v>
      </c>
      <c r="H526" s="10">
        <f>INDEX(Products!$C$2:$C$101,MATCH(C526,Products!$A$2:$A$101,0))</f>
        <v>6</v>
      </c>
      <c r="I526" s="10" t="str">
        <f>INDEX(Categories!$B$2:$B$11,MATCH(H526,Categories!$A$2:$A$11,0))</f>
        <v>Sporting Goods</v>
      </c>
      <c r="J526" s="19">
        <f>INDEX(Products!$E$2:$E$101,MATCH(C526,Products!$A$2:$A$101,0))</f>
        <v>222.69</v>
      </c>
      <c r="K526" s="19">
        <f t="shared" si="25"/>
        <v>2226.9</v>
      </c>
      <c r="L526" s="19">
        <f t="shared" si="26"/>
        <v>1528.5400000000004</v>
      </c>
    </row>
    <row r="527" spans="1:12" ht="15" customHeight="1" x14ac:dyDescent="0.25">
      <c r="A527" s="10">
        <v>526</v>
      </c>
      <c r="B527" s="10">
        <v>167</v>
      </c>
      <c r="C527" s="10">
        <v>22</v>
      </c>
      <c r="D527" s="10">
        <v>3</v>
      </c>
      <c r="E527" s="19">
        <v>247.09</v>
      </c>
      <c r="F527" s="10">
        <v>0</v>
      </c>
      <c r="G527" s="19">
        <f t="shared" si="24"/>
        <v>741.27</v>
      </c>
      <c r="H527" s="10">
        <f>INDEX(Products!$C$2:$C$101,MATCH(C527,Products!$A$2:$A$101,0))</f>
        <v>3</v>
      </c>
      <c r="I527" s="10" t="str">
        <f>INDEX(Categories!$B$2:$B$11,MATCH(H527,Categories!$A$2:$A$11,0))</f>
        <v>Furniture</v>
      </c>
      <c r="J527" s="19">
        <f>INDEX(Products!$E$2:$E$101,MATCH(C527,Products!$A$2:$A$101,0))</f>
        <v>149.34</v>
      </c>
      <c r="K527" s="19">
        <f t="shared" si="25"/>
        <v>448.02</v>
      </c>
      <c r="L527" s="19">
        <f t="shared" si="26"/>
        <v>293.25</v>
      </c>
    </row>
    <row r="528" spans="1:12" ht="15" customHeight="1" x14ac:dyDescent="0.25">
      <c r="A528" s="10">
        <v>527</v>
      </c>
      <c r="B528" s="10">
        <v>167</v>
      </c>
      <c r="C528" s="10">
        <v>85</v>
      </c>
      <c r="D528" s="10">
        <v>2</v>
      </c>
      <c r="E528" s="19">
        <v>264.20999999999998</v>
      </c>
      <c r="F528" s="10">
        <v>0.05</v>
      </c>
      <c r="G528" s="19">
        <f t="shared" si="24"/>
        <v>501.99899999999991</v>
      </c>
      <c r="H528" s="10">
        <f>INDEX(Products!$C$2:$C$101,MATCH(C528,Products!$A$2:$A$101,0))</f>
        <v>9</v>
      </c>
      <c r="I528" s="10" t="str">
        <f>INDEX(Categories!$B$2:$B$11,MATCH(H528,Categories!$A$2:$A$11,0))</f>
        <v>Automotive Parts</v>
      </c>
      <c r="J528" s="19">
        <f>INDEX(Products!$E$2:$E$101,MATCH(C528,Products!$A$2:$A$101,0))</f>
        <v>153.54</v>
      </c>
      <c r="K528" s="19">
        <f t="shared" si="25"/>
        <v>307.08</v>
      </c>
      <c r="L528" s="19">
        <f t="shared" si="26"/>
        <v>194.91899999999993</v>
      </c>
    </row>
    <row r="529" spans="1:12" ht="15" customHeight="1" x14ac:dyDescent="0.25">
      <c r="A529" s="10">
        <v>528</v>
      </c>
      <c r="B529" s="10">
        <v>167</v>
      </c>
      <c r="C529" s="10">
        <v>72</v>
      </c>
      <c r="D529" s="10">
        <v>3</v>
      </c>
      <c r="E529" s="19">
        <v>526.70000000000005</v>
      </c>
      <c r="F529" s="10">
        <v>0.15</v>
      </c>
      <c r="G529" s="19">
        <f t="shared" si="24"/>
        <v>1343.085</v>
      </c>
      <c r="H529" s="10">
        <f>INDEX(Products!$C$2:$C$101,MATCH(C529,Products!$A$2:$A$101,0))</f>
        <v>8</v>
      </c>
      <c r="I529" s="10" t="str">
        <f>INDEX(Categories!$B$2:$B$11,MATCH(H529,Categories!$A$2:$A$11,0))</f>
        <v>Health &amp; Beauty</v>
      </c>
      <c r="J529" s="19">
        <f>INDEX(Products!$E$2:$E$101,MATCH(C529,Products!$A$2:$A$101,0))</f>
        <v>233.41</v>
      </c>
      <c r="K529" s="19">
        <f t="shared" si="25"/>
        <v>700.23</v>
      </c>
      <c r="L529" s="19">
        <f t="shared" si="26"/>
        <v>642.85500000000002</v>
      </c>
    </row>
    <row r="530" spans="1:12" ht="15" customHeight="1" x14ac:dyDescent="0.25">
      <c r="A530" s="10">
        <v>529</v>
      </c>
      <c r="B530" s="10">
        <v>168</v>
      </c>
      <c r="C530" s="10">
        <v>54</v>
      </c>
      <c r="D530" s="10">
        <v>5</v>
      </c>
      <c r="E530" s="19">
        <v>398.16</v>
      </c>
      <c r="F530" s="10">
        <v>0.1</v>
      </c>
      <c r="G530" s="19">
        <f t="shared" si="24"/>
        <v>1791.7200000000003</v>
      </c>
      <c r="H530" s="10">
        <f>INDEX(Products!$C$2:$C$101,MATCH(C530,Products!$A$2:$A$101,0))</f>
        <v>6</v>
      </c>
      <c r="I530" s="10" t="str">
        <f>INDEX(Categories!$B$2:$B$11,MATCH(H530,Categories!$A$2:$A$11,0))</f>
        <v>Sporting Goods</v>
      </c>
      <c r="J530" s="19">
        <f>INDEX(Products!$E$2:$E$101,MATCH(C530,Products!$A$2:$A$101,0))</f>
        <v>205.89</v>
      </c>
      <c r="K530" s="19">
        <f t="shared" si="25"/>
        <v>1029.4499999999998</v>
      </c>
      <c r="L530" s="19">
        <f t="shared" si="26"/>
        <v>762.27000000000044</v>
      </c>
    </row>
    <row r="531" spans="1:12" ht="15" customHeight="1" x14ac:dyDescent="0.25">
      <c r="A531" s="10">
        <v>530</v>
      </c>
      <c r="B531" s="10">
        <v>168</v>
      </c>
      <c r="C531" s="10">
        <v>43</v>
      </c>
      <c r="D531" s="10">
        <v>5</v>
      </c>
      <c r="E531" s="19">
        <v>42.13</v>
      </c>
      <c r="F531" s="10">
        <v>0.05</v>
      </c>
      <c r="G531" s="19">
        <f t="shared" si="24"/>
        <v>200.11750000000001</v>
      </c>
      <c r="H531" s="10">
        <f>INDEX(Products!$C$2:$C$101,MATCH(C531,Products!$A$2:$A$101,0))</f>
        <v>5</v>
      </c>
      <c r="I531" s="10" t="str">
        <f>INDEX(Categories!$B$2:$B$11,MATCH(H531,Categories!$A$2:$A$11,0))</f>
        <v>Home &amp; Kitchen</v>
      </c>
      <c r="J531" s="19">
        <f>INDEX(Products!$E$2:$E$101,MATCH(C531,Products!$A$2:$A$101,0))</f>
        <v>17.88</v>
      </c>
      <c r="K531" s="19">
        <f t="shared" si="25"/>
        <v>89.399999999999991</v>
      </c>
      <c r="L531" s="19">
        <f t="shared" si="26"/>
        <v>110.71750000000002</v>
      </c>
    </row>
    <row r="532" spans="1:12" ht="15" customHeight="1" x14ac:dyDescent="0.25">
      <c r="A532" s="10">
        <v>531</v>
      </c>
      <c r="B532" s="10">
        <v>168</v>
      </c>
      <c r="C532" s="10">
        <v>48</v>
      </c>
      <c r="D532" s="10">
        <v>2</v>
      </c>
      <c r="E532" s="19">
        <v>205.11</v>
      </c>
      <c r="F532" s="10">
        <v>0.05</v>
      </c>
      <c r="G532" s="19">
        <f t="shared" si="24"/>
        <v>389.709</v>
      </c>
      <c r="H532" s="10">
        <f>INDEX(Products!$C$2:$C$101,MATCH(C532,Products!$A$2:$A$101,0))</f>
        <v>5</v>
      </c>
      <c r="I532" s="10" t="str">
        <f>INDEX(Categories!$B$2:$B$11,MATCH(H532,Categories!$A$2:$A$11,0))</f>
        <v>Home &amp; Kitchen</v>
      </c>
      <c r="J532" s="19">
        <f>INDEX(Products!$E$2:$E$101,MATCH(C532,Products!$A$2:$A$101,0))</f>
        <v>108.01</v>
      </c>
      <c r="K532" s="19">
        <f t="shared" si="25"/>
        <v>216.02</v>
      </c>
      <c r="L532" s="19">
        <f t="shared" si="26"/>
        <v>173.68899999999999</v>
      </c>
    </row>
    <row r="533" spans="1:12" ht="15" customHeight="1" x14ac:dyDescent="0.25">
      <c r="A533" s="10">
        <v>532</v>
      </c>
      <c r="B533" s="10">
        <v>169</v>
      </c>
      <c r="C533" s="10">
        <v>53</v>
      </c>
      <c r="D533" s="10">
        <v>3</v>
      </c>
      <c r="E533" s="19">
        <v>534</v>
      </c>
      <c r="F533" s="10">
        <v>0</v>
      </c>
      <c r="G533" s="19">
        <f t="shared" si="24"/>
        <v>1602</v>
      </c>
      <c r="H533" s="10">
        <f>INDEX(Products!$C$2:$C$101,MATCH(C533,Products!$A$2:$A$101,0))</f>
        <v>6</v>
      </c>
      <c r="I533" s="10" t="str">
        <f>INDEX(Categories!$B$2:$B$11,MATCH(H533,Categories!$A$2:$A$11,0))</f>
        <v>Sporting Goods</v>
      </c>
      <c r="J533" s="19">
        <f>INDEX(Products!$E$2:$E$101,MATCH(C533,Products!$A$2:$A$101,0))</f>
        <v>240.59</v>
      </c>
      <c r="K533" s="19">
        <f t="shared" si="25"/>
        <v>721.77</v>
      </c>
      <c r="L533" s="19">
        <f t="shared" si="26"/>
        <v>880.23</v>
      </c>
    </row>
    <row r="534" spans="1:12" ht="15" customHeight="1" x14ac:dyDescent="0.25">
      <c r="A534" s="10">
        <v>533</v>
      </c>
      <c r="B534" s="10">
        <v>169</v>
      </c>
      <c r="C534" s="10">
        <v>7</v>
      </c>
      <c r="D534" s="10">
        <v>6</v>
      </c>
      <c r="E534" s="19">
        <v>150.96</v>
      </c>
      <c r="F534" s="10">
        <v>0.05</v>
      </c>
      <c r="G534" s="19">
        <f t="shared" si="24"/>
        <v>860.47199999999998</v>
      </c>
      <c r="H534" s="10">
        <f>INDEX(Products!$C$2:$C$101,MATCH(C534,Products!$A$2:$A$101,0))</f>
        <v>1</v>
      </c>
      <c r="I534" s="10" t="str">
        <f>INDEX(Categories!$B$2:$B$11,MATCH(H534,Categories!$A$2:$A$11,0))</f>
        <v>Electronics</v>
      </c>
      <c r="J534" s="19">
        <f>INDEX(Products!$E$2:$E$101,MATCH(C534,Products!$A$2:$A$101,0))</f>
        <v>83.86</v>
      </c>
      <c r="K534" s="19">
        <f t="shared" si="25"/>
        <v>503.15999999999997</v>
      </c>
      <c r="L534" s="19">
        <f t="shared" si="26"/>
        <v>357.31200000000001</v>
      </c>
    </row>
    <row r="535" spans="1:12" ht="15" customHeight="1" x14ac:dyDescent="0.25">
      <c r="A535" s="10">
        <v>534</v>
      </c>
      <c r="B535" s="10">
        <v>169</v>
      </c>
      <c r="C535" s="10">
        <v>20</v>
      </c>
      <c r="D535" s="10">
        <v>10</v>
      </c>
      <c r="E535" s="19">
        <v>316.14999999999998</v>
      </c>
      <c r="F535" s="10">
        <v>0.05</v>
      </c>
      <c r="G535" s="19">
        <f t="shared" si="24"/>
        <v>3003.4249999999997</v>
      </c>
      <c r="H535" s="10">
        <f>INDEX(Products!$C$2:$C$101,MATCH(C535,Products!$A$2:$A$101,0))</f>
        <v>2</v>
      </c>
      <c r="I535" s="10" t="str">
        <f>INDEX(Categories!$B$2:$B$11,MATCH(H535,Categories!$A$2:$A$11,0))</f>
        <v>Office Supplies</v>
      </c>
      <c r="J535" s="19">
        <f>INDEX(Products!$E$2:$E$101,MATCH(C535,Products!$A$2:$A$101,0))</f>
        <v>177.71</v>
      </c>
      <c r="K535" s="19">
        <f t="shared" si="25"/>
        <v>1777.1000000000001</v>
      </c>
      <c r="L535" s="19">
        <f t="shared" si="26"/>
        <v>1226.3249999999996</v>
      </c>
    </row>
    <row r="536" spans="1:12" ht="15" customHeight="1" x14ac:dyDescent="0.25">
      <c r="A536" s="10">
        <v>535</v>
      </c>
      <c r="B536" s="10">
        <v>170</v>
      </c>
      <c r="C536" s="10">
        <v>82</v>
      </c>
      <c r="D536" s="10">
        <v>8</v>
      </c>
      <c r="E536" s="19">
        <v>390.74</v>
      </c>
      <c r="F536" s="10">
        <v>0</v>
      </c>
      <c r="G536" s="19">
        <f t="shared" si="24"/>
        <v>3125.92</v>
      </c>
      <c r="H536" s="10">
        <f>INDEX(Products!$C$2:$C$101,MATCH(C536,Products!$A$2:$A$101,0))</f>
        <v>9</v>
      </c>
      <c r="I536" s="10" t="str">
        <f>INDEX(Categories!$B$2:$B$11,MATCH(H536,Categories!$A$2:$A$11,0))</f>
        <v>Automotive Parts</v>
      </c>
      <c r="J536" s="19">
        <f>INDEX(Products!$E$2:$E$101,MATCH(C536,Products!$A$2:$A$101,0))</f>
        <v>218.53</v>
      </c>
      <c r="K536" s="19">
        <f t="shared" si="25"/>
        <v>1748.24</v>
      </c>
      <c r="L536" s="19">
        <f t="shared" si="26"/>
        <v>1377.68</v>
      </c>
    </row>
    <row r="537" spans="1:12" ht="15" customHeight="1" x14ac:dyDescent="0.25">
      <c r="A537" s="10">
        <v>536</v>
      </c>
      <c r="B537" s="10">
        <v>170</v>
      </c>
      <c r="C537" s="10">
        <v>8</v>
      </c>
      <c r="D537" s="10">
        <v>4</v>
      </c>
      <c r="E537" s="19">
        <v>418.1</v>
      </c>
      <c r="F537" s="10">
        <v>0.2</v>
      </c>
      <c r="G537" s="19">
        <f t="shared" si="24"/>
        <v>1337.92</v>
      </c>
      <c r="H537" s="10">
        <f>INDEX(Products!$C$2:$C$101,MATCH(C537,Products!$A$2:$A$101,0))</f>
        <v>1</v>
      </c>
      <c r="I537" s="10" t="str">
        <f>INDEX(Categories!$B$2:$B$11,MATCH(H537,Categories!$A$2:$A$11,0))</f>
        <v>Electronics</v>
      </c>
      <c r="J537" s="19">
        <f>INDEX(Products!$E$2:$E$101,MATCH(C537,Products!$A$2:$A$101,0))</f>
        <v>188.75</v>
      </c>
      <c r="K537" s="19">
        <f t="shared" si="25"/>
        <v>755</v>
      </c>
      <c r="L537" s="19">
        <f t="shared" si="26"/>
        <v>582.92000000000007</v>
      </c>
    </row>
    <row r="538" spans="1:12" ht="15" customHeight="1" x14ac:dyDescent="0.25">
      <c r="A538" s="10">
        <v>537</v>
      </c>
      <c r="B538" s="10">
        <v>170</v>
      </c>
      <c r="C538" s="10">
        <v>1</v>
      </c>
      <c r="D538" s="10">
        <v>3</v>
      </c>
      <c r="E538" s="19">
        <v>384.09</v>
      </c>
      <c r="F538" s="10">
        <v>0.1</v>
      </c>
      <c r="G538" s="19">
        <f t="shared" si="24"/>
        <v>1037.0430000000001</v>
      </c>
      <c r="H538" s="10">
        <f>INDEX(Products!$C$2:$C$101,MATCH(C538,Products!$A$2:$A$101,0))</f>
        <v>1</v>
      </c>
      <c r="I538" s="10" t="str">
        <f>INDEX(Categories!$B$2:$B$11,MATCH(H538,Categories!$A$2:$A$11,0))</f>
        <v>Electronics</v>
      </c>
      <c r="J538" s="19">
        <f>INDEX(Products!$E$2:$E$101,MATCH(C538,Products!$A$2:$A$101,0))</f>
        <v>235.86</v>
      </c>
      <c r="K538" s="19">
        <f t="shared" si="25"/>
        <v>707.58</v>
      </c>
      <c r="L538" s="19">
        <f t="shared" si="26"/>
        <v>329.46300000000008</v>
      </c>
    </row>
    <row r="539" spans="1:12" ht="15" customHeight="1" x14ac:dyDescent="0.25">
      <c r="A539" s="10">
        <v>538</v>
      </c>
      <c r="B539" s="10">
        <v>171</v>
      </c>
      <c r="C539" s="10">
        <v>50</v>
      </c>
      <c r="D539" s="10">
        <v>4</v>
      </c>
      <c r="E539" s="19">
        <v>411.05</v>
      </c>
      <c r="F539" s="10">
        <v>0.15</v>
      </c>
      <c r="G539" s="19">
        <f t="shared" si="24"/>
        <v>1397.57</v>
      </c>
      <c r="H539" s="10">
        <f>INDEX(Products!$C$2:$C$101,MATCH(C539,Products!$A$2:$A$101,0))</f>
        <v>5</v>
      </c>
      <c r="I539" s="10" t="str">
        <f>INDEX(Categories!$B$2:$B$11,MATCH(H539,Categories!$A$2:$A$11,0))</f>
        <v>Home &amp; Kitchen</v>
      </c>
      <c r="J539" s="19">
        <f>INDEX(Products!$E$2:$E$101,MATCH(C539,Products!$A$2:$A$101,0))</f>
        <v>230.53</v>
      </c>
      <c r="K539" s="19">
        <f t="shared" si="25"/>
        <v>922.12</v>
      </c>
      <c r="L539" s="19">
        <f t="shared" si="26"/>
        <v>475.44999999999993</v>
      </c>
    </row>
    <row r="540" spans="1:12" ht="15" customHeight="1" x14ac:dyDescent="0.25">
      <c r="A540" s="10">
        <v>539</v>
      </c>
      <c r="B540" s="10">
        <v>171</v>
      </c>
      <c r="C540" s="10">
        <v>1</v>
      </c>
      <c r="D540" s="10">
        <v>6</v>
      </c>
      <c r="E540" s="19">
        <v>384.09</v>
      </c>
      <c r="F540" s="10">
        <v>0</v>
      </c>
      <c r="G540" s="19">
        <f t="shared" si="24"/>
        <v>2304.54</v>
      </c>
      <c r="H540" s="10">
        <f>INDEX(Products!$C$2:$C$101,MATCH(C540,Products!$A$2:$A$101,0))</f>
        <v>1</v>
      </c>
      <c r="I540" s="10" t="str">
        <f>INDEX(Categories!$B$2:$B$11,MATCH(H540,Categories!$A$2:$A$11,0))</f>
        <v>Electronics</v>
      </c>
      <c r="J540" s="19">
        <f>INDEX(Products!$E$2:$E$101,MATCH(C540,Products!$A$2:$A$101,0))</f>
        <v>235.86</v>
      </c>
      <c r="K540" s="19">
        <f t="shared" si="25"/>
        <v>1415.16</v>
      </c>
      <c r="L540" s="19">
        <f t="shared" si="26"/>
        <v>889.37999999999988</v>
      </c>
    </row>
    <row r="541" spans="1:12" ht="15" customHeight="1" x14ac:dyDescent="0.25">
      <c r="A541" s="10">
        <v>540</v>
      </c>
      <c r="B541" s="10">
        <v>171</v>
      </c>
      <c r="C541" s="10">
        <v>5</v>
      </c>
      <c r="D541" s="10">
        <v>6</v>
      </c>
      <c r="E541" s="19">
        <v>310.02</v>
      </c>
      <c r="F541" s="10">
        <v>0.2</v>
      </c>
      <c r="G541" s="19">
        <f t="shared" si="24"/>
        <v>1488.096</v>
      </c>
      <c r="H541" s="10">
        <f>INDEX(Products!$C$2:$C$101,MATCH(C541,Products!$A$2:$A$101,0))</f>
        <v>1</v>
      </c>
      <c r="I541" s="10" t="str">
        <f>INDEX(Categories!$B$2:$B$11,MATCH(H541,Categories!$A$2:$A$11,0))</f>
        <v>Electronics</v>
      </c>
      <c r="J541" s="19">
        <f>INDEX(Products!$E$2:$E$101,MATCH(C541,Products!$A$2:$A$101,0))</f>
        <v>134.93</v>
      </c>
      <c r="K541" s="19">
        <f t="shared" si="25"/>
        <v>809.58</v>
      </c>
      <c r="L541" s="19">
        <f t="shared" si="26"/>
        <v>678.51599999999996</v>
      </c>
    </row>
    <row r="542" spans="1:12" ht="15" customHeight="1" x14ac:dyDescent="0.25">
      <c r="A542" s="10">
        <v>541</v>
      </c>
      <c r="B542" s="10">
        <v>171</v>
      </c>
      <c r="C542" s="10">
        <v>69</v>
      </c>
      <c r="D542" s="10">
        <v>9</v>
      </c>
      <c r="E542" s="19">
        <v>188.38</v>
      </c>
      <c r="F542" s="10">
        <v>0</v>
      </c>
      <c r="G542" s="19">
        <f t="shared" si="24"/>
        <v>1695.42</v>
      </c>
      <c r="H542" s="10">
        <f>INDEX(Products!$C$2:$C$101,MATCH(C542,Products!$A$2:$A$101,0))</f>
        <v>7</v>
      </c>
      <c r="I542" s="10" t="str">
        <f>INDEX(Categories!$B$2:$B$11,MATCH(H542,Categories!$A$2:$A$11,0))</f>
        <v>Toys &amp; Games</v>
      </c>
      <c r="J542" s="19">
        <f>INDEX(Products!$E$2:$E$101,MATCH(C542,Products!$A$2:$A$101,0))</f>
        <v>86.95</v>
      </c>
      <c r="K542" s="19">
        <f t="shared" si="25"/>
        <v>782.55000000000007</v>
      </c>
      <c r="L542" s="19">
        <f t="shared" si="26"/>
        <v>912.87</v>
      </c>
    </row>
    <row r="543" spans="1:12" ht="15" customHeight="1" x14ac:dyDescent="0.25">
      <c r="A543" s="10">
        <v>542</v>
      </c>
      <c r="B543" s="10">
        <v>172</v>
      </c>
      <c r="C543" s="10">
        <v>14</v>
      </c>
      <c r="D543" s="10">
        <v>9</v>
      </c>
      <c r="E543" s="19">
        <v>342.37</v>
      </c>
      <c r="F543" s="10">
        <v>0.1</v>
      </c>
      <c r="G543" s="19">
        <f t="shared" si="24"/>
        <v>2773.1970000000001</v>
      </c>
      <c r="H543" s="10">
        <f>INDEX(Products!$C$2:$C$101,MATCH(C543,Products!$A$2:$A$101,0))</f>
        <v>2</v>
      </c>
      <c r="I543" s="10" t="str">
        <f>INDEX(Categories!$B$2:$B$11,MATCH(H543,Categories!$A$2:$A$11,0))</f>
        <v>Office Supplies</v>
      </c>
      <c r="J543" s="19">
        <f>INDEX(Products!$E$2:$E$101,MATCH(C543,Products!$A$2:$A$101,0))</f>
        <v>241.29</v>
      </c>
      <c r="K543" s="19">
        <f t="shared" si="25"/>
        <v>2171.61</v>
      </c>
      <c r="L543" s="19">
        <f t="shared" si="26"/>
        <v>601.58699999999999</v>
      </c>
    </row>
    <row r="544" spans="1:12" ht="15" customHeight="1" x14ac:dyDescent="0.25">
      <c r="A544" s="10">
        <v>543</v>
      </c>
      <c r="B544" s="10">
        <v>172</v>
      </c>
      <c r="C544" s="10">
        <v>50</v>
      </c>
      <c r="D544" s="10">
        <v>5</v>
      </c>
      <c r="E544" s="19">
        <v>411.05</v>
      </c>
      <c r="F544" s="10">
        <v>0</v>
      </c>
      <c r="G544" s="19">
        <f t="shared" si="24"/>
        <v>2055.25</v>
      </c>
      <c r="H544" s="10">
        <f>INDEX(Products!$C$2:$C$101,MATCH(C544,Products!$A$2:$A$101,0))</f>
        <v>5</v>
      </c>
      <c r="I544" s="10" t="str">
        <f>INDEX(Categories!$B$2:$B$11,MATCH(H544,Categories!$A$2:$A$11,0))</f>
        <v>Home &amp; Kitchen</v>
      </c>
      <c r="J544" s="19">
        <f>INDEX(Products!$E$2:$E$101,MATCH(C544,Products!$A$2:$A$101,0))</f>
        <v>230.53</v>
      </c>
      <c r="K544" s="19">
        <f t="shared" si="25"/>
        <v>1152.6500000000001</v>
      </c>
      <c r="L544" s="19">
        <f t="shared" si="26"/>
        <v>902.59999999999991</v>
      </c>
    </row>
    <row r="545" spans="1:12" ht="15" customHeight="1" x14ac:dyDescent="0.25">
      <c r="A545" s="10">
        <v>544</v>
      </c>
      <c r="B545" s="10">
        <v>173</v>
      </c>
      <c r="C545" s="10">
        <v>44</v>
      </c>
      <c r="D545" s="10">
        <v>6</v>
      </c>
      <c r="E545" s="19">
        <v>111.7</v>
      </c>
      <c r="F545" s="10">
        <v>0.2</v>
      </c>
      <c r="G545" s="19">
        <f t="shared" si="24"/>
        <v>536.16000000000008</v>
      </c>
      <c r="H545" s="10">
        <f>INDEX(Products!$C$2:$C$101,MATCH(C545,Products!$A$2:$A$101,0))</f>
        <v>5</v>
      </c>
      <c r="I545" s="10" t="str">
        <f>INDEX(Categories!$B$2:$B$11,MATCH(H545,Categories!$A$2:$A$11,0))</f>
        <v>Home &amp; Kitchen</v>
      </c>
      <c r="J545" s="19">
        <f>INDEX(Products!$E$2:$E$101,MATCH(C545,Products!$A$2:$A$101,0))</f>
        <v>55.12</v>
      </c>
      <c r="K545" s="19">
        <f t="shared" si="25"/>
        <v>330.71999999999997</v>
      </c>
      <c r="L545" s="19">
        <f t="shared" si="26"/>
        <v>205.44000000000011</v>
      </c>
    </row>
    <row r="546" spans="1:12" ht="15" customHeight="1" x14ac:dyDescent="0.25">
      <c r="A546" s="10">
        <v>545</v>
      </c>
      <c r="B546" s="10">
        <v>173</v>
      </c>
      <c r="C546" s="10">
        <v>63</v>
      </c>
      <c r="D546" s="10">
        <v>4</v>
      </c>
      <c r="E546" s="19">
        <v>20.190000000000001</v>
      </c>
      <c r="F546" s="10">
        <v>0</v>
      </c>
      <c r="G546" s="19">
        <f t="shared" si="24"/>
        <v>80.760000000000005</v>
      </c>
      <c r="H546" s="10">
        <f>INDEX(Products!$C$2:$C$101,MATCH(C546,Products!$A$2:$A$101,0))</f>
        <v>7</v>
      </c>
      <c r="I546" s="10" t="str">
        <f>INDEX(Categories!$B$2:$B$11,MATCH(H546,Categories!$A$2:$A$11,0))</f>
        <v>Toys &amp; Games</v>
      </c>
      <c r="J546" s="19">
        <f>INDEX(Products!$E$2:$E$101,MATCH(C546,Products!$A$2:$A$101,0))</f>
        <v>10.130000000000001</v>
      </c>
      <c r="K546" s="19">
        <f t="shared" si="25"/>
        <v>40.520000000000003</v>
      </c>
      <c r="L546" s="19">
        <f t="shared" si="26"/>
        <v>40.24</v>
      </c>
    </row>
    <row r="547" spans="1:12" ht="15" customHeight="1" x14ac:dyDescent="0.25">
      <c r="A547" s="10">
        <v>546</v>
      </c>
      <c r="B547" s="10">
        <v>174</v>
      </c>
      <c r="C547" s="10">
        <v>16</v>
      </c>
      <c r="D547" s="10">
        <v>1</v>
      </c>
      <c r="E547" s="19">
        <v>345.42</v>
      </c>
      <c r="F547" s="10">
        <v>0.05</v>
      </c>
      <c r="G547" s="19">
        <f t="shared" si="24"/>
        <v>328.149</v>
      </c>
      <c r="H547" s="10">
        <f>INDEX(Products!$C$2:$C$101,MATCH(C547,Products!$A$2:$A$101,0))</f>
        <v>2</v>
      </c>
      <c r="I547" s="10" t="str">
        <f>INDEX(Categories!$B$2:$B$11,MATCH(H547,Categories!$A$2:$A$11,0))</f>
        <v>Office Supplies</v>
      </c>
      <c r="J547" s="19">
        <f>INDEX(Products!$E$2:$E$101,MATCH(C547,Products!$A$2:$A$101,0))</f>
        <v>173.58</v>
      </c>
      <c r="K547" s="19">
        <f t="shared" si="25"/>
        <v>173.58</v>
      </c>
      <c r="L547" s="19">
        <f t="shared" si="26"/>
        <v>154.56899999999999</v>
      </c>
    </row>
    <row r="548" spans="1:12" ht="15" customHeight="1" x14ac:dyDescent="0.25">
      <c r="A548" s="10">
        <v>547</v>
      </c>
      <c r="B548" s="10">
        <v>174</v>
      </c>
      <c r="C548" s="10">
        <v>47</v>
      </c>
      <c r="D548" s="10">
        <v>5</v>
      </c>
      <c r="E548" s="19">
        <v>96.51</v>
      </c>
      <c r="F548" s="10">
        <v>0.2</v>
      </c>
      <c r="G548" s="19">
        <f t="shared" si="24"/>
        <v>386.04</v>
      </c>
      <c r="H548" s="10">
        <f>INDEX(Products!$C$2:$C$101,MATCH(C548,Products!$A$2:$A$101,0))</f>
        <v>5</v>
      </c>
      <c r="I548" s="10" t="str">
        <f>INDEX(Categories!$B$2:$B$11,MATCH(H548,Categories!$A$2:$A$11,0))</f>
        <v>Home &amp; Kitchen</v>
      </c>
      <c r="J548" s="19">
        <f>INDEX(Products!$E$2:$E$101,MATCH(C548,Products!$A$2:$A$101,0))</f>
        <v>60.66</v>
      </c>
      <c r="K548" s="19">
        <f t="shared" si="25"/>
        <v>303.29999999999995</v>
      </c>
      <c r="L548" s="19">
        <f t="shared" si="26"/>
        <v>82.740000000000066</v>
      </c>
    </row>
    <row r="549" spans="1:12" ht="15" customHeight="1" x14ac:dyDescent="0.25">
      <c r="A549" s="10">
        <v>548</v>
      </c>
      <c r="B549" s="10">
        <v>175</v>
      </c>
      <c r="C549" s="10">
        <v>57</v>
      </c>
      <c r="D549" s="10">
        <v>5</v>
      </c>
      <c r="E549" s="19">
        <v>357.27</v>
      </c>
      <c r="F549" s="10">
        <v>0.05</v>
      </c>
      <c r="G549" s="19">
        <f t="shared" si="24"/>
        <v>1697.0324999999998</v>
      </c>
      <c r="H549" s="10">
        <f>INDEX(Products!$C$2:$C$101,MATCH(C549,Products!$A$2:$A$101,0))</f>
        <v>6</v>
      </c>
      <c r="I549" s="10" t="str">
        <f>INDEX(Categories!$B$2:$B$11,MATCH(H549,Categories!$A$2:$A$11,0))</f>
        <v>Sporting Goods</v>
      </c>
      <c r="J549" s="19">
        <f>INDEX(Products!$E$2:$E$101,MATCH(C549,Products!$A$2:$A$101,0))</f>
        <v>214.86</v>
      </c>
      <c r="K549" s="19">
        <f t="shared" si="25"/>
        <v>1074.3000000000002</v>
      </c>
      <c r="L549" s="19">
        <f t="shared" si="26"/>
        <v>622.73249999999962</v>
      </c>
    </row>
    <row r="550" spans="1:12" ht="15" customHeight="1" x14ac:dyDescent="0.25">
      <c r="A550" s="10">
        <v>549</v>
      </c>
      <c r="B550" s="10">
        <v>175</v>
      </c>
      <c r="C550" s="10">
        <v>49</v>
      </c>
      <c r="D550" s="10">
        <v>3</v>
      </c>
      <c r="E550" s="19">
        <v>30.6</v>
      </c>
      <c r="F550" s="10">
        <v>0</v>
      </c>
      <c r="G550" s="19">
        <f t="shared" si="24"/>
        <v>91.800000000000011</v>
      </c>
      <c r="H550" s="10">
        <f>INDEX(Products!$C$2:$C$101,MATCH(C550,Products!$A$2:$A$101,0))</f>
        <v>5</v>
      </c>
      <c r="I550" s="10" t="str">
        <f>INDEX(Categories!$B$2:$B$11,MATCH(H550,Categories!$A$2:$A$11,0))</f>
        <v>Home &amp; Kitchen</v>
      </c>
      <c r="J550" s="19">
        <f>INDEX(Products!$E$2:$E$101,MATCH(C550,Products!$A$2:$A$101,0))</f>
        <v>20.64</v>
      </c>
      <c r="K550" s="19">
        <f t="shared" si="25"/>
        <v>61.92</v>
      </c>
      <c r="L550" s="19">
        <f t="shared" si="26"/>
        <v>29.88000000000001</v>
      </c>
    </row>
    <row r="551" spans="1:12" ht="15" customHeight="1" x14ac:dyDescent="0.25">
      <c r="A551" s="10">
        <v>550</v>
      </c>
      <c r="B551" s="10">
        <v>175</v>
      </c>
      <c r="C551" s="10">
        <v>16</v>
      </c>
      <c r="D551" s="10">
        <v>1</v>
      </c>
      <c r="E551" s="19">
        <v>345.42</v>
      </c>
      <c r="F551" s="10">
        <v>0</v>
      </c>
      <c r="G551" s="19">
        <f t="shared" si="24"/>
        <v>345.42</v>
      </c>
      <c r="H551" s="10">
        <f>INDEX(Products!$C$2:$C$101,MATCH(C551,Products!$A$2:$A$101,0))</f>
        <v>2</v>
      </c>
      <c r="I551" s="10" t="str">
        <f>INDEX(Categories!$B$2:$B$11,MATCH(H551,Categories!$A$2:$A$11,0))</f>
        <v>Office Supplies</v>
      </c>
      <c r="J551" s="19">
        <f>INDEX(Products!$E$2:$E$101,MATCH(C551,Products!$A$2:$A$101,0))</f>
        <v>173.58</v>
      </c>
      <c r="K551" s="19">
        <f t="shared" si="25"/>
        <v>173.58</v>
      </c>
      <c r="L551" s="19">
        <f t="shared" si="26"/>
        <v>171.84</v>
      </c>
    </row>
    <row r="552" spans="1:12" ht="15" customHeight="1" x14ac:dyDescent="0.25">
      <c r="A552" s="10">
        <v>551</v>
      </c>
      <c r="B552" s="10">
        <v>175</v>
      </c>
      <c r="C552" s="10">
        <v>71</v>
      </c>
      <c r="D552" s="10">
        <v>7</v>
      </c>
      <c r="E552" s="19">
        <v>228.48</v>
      </c>
      <c r="F552" s="10">
        <v>0.15</v>
      </c>
      <c r="G552" s="19">
        <f t="shared" si="24"/>
        <v>1359.4559999999999</v>
      </c>
      <c r="H552" s="10">
        <f>INDEX(Products!$C$2:$C$101,MATCH(C552,Products!$A$2:$A$101,0))</f>
        <v>8</v>
      </c>
      <c r="I552" s="10" t="str">
        <f>INDEX(Categories!$B$2:$B$11,MATCH(H552,Categories!$A$2:$A$11,0))</f>
        <v>Health &amp; Beauty</v>
      </c>
      <c r="J552" s="19">
        <f>INDEX(Products!$E$2:$E$101,MATCH(C552,Products!$A$2:$A$101,0))</f>
        <v>136.03</v>
      </c>
      <c r="K552" s="19">
        <f t="shared" si="25"/>
        <v>952.21</v>
      </c>
      <c r="L552" s="19">
        <f t="shared" si="26"/>
        <v>407.24599999999987</v>
      </c>
    </row>
    <row r="553" spans="1:12" ht="15" customHeight="1" x14ac:dyDescent="0.25">
      <c r="A553" s="10">
        <v>552</v>
      </c>
      <c r="B553" s="10">
        <v>176</v>
      </c>
      <c r="C553" s="10">
        <v>37</v>
      </c>
      <c r="D553" s="10">
        <v>2</v>
      </c>
      <c r="E553" s="19">
        <v>262.99</v>
      </c>
      <c r="F553" s="10">
        <v>0.2</v>
      </c>
      <c r="G553" s="19">
        <f t="shared" si="24"/>
        <v>420.78400000000005</v>
      </c>
      <c r="H553" s="10">
        <f>INDEX(Products!$C$2:$C$101,MATCH(C553,Products!$A$2:$A$101,0))</f>
        <v>4</v>
      </c>
      <c r="I553" s="10" t="str">
        <f>INDEX(Categories!$B$2:$B$11,MATCH(H553,Categories!$A$2:$A$11,0))</f>
        <v>Apparel</v>
      </c>
      <c r="J553" s="19">
        <f>INDEX(Products!$E$2:$E$101,MATCH(C553,Products!$A$2:$A$101,0))</f>
        <v>144.79</v>
      </c>
      <c r="K553" s="19">
        <f t="shared" si="25"/>
        <v>289.58</v>
      </c>
      <c r="L553" s="19">
        <f t="shared" si="26"/>
        <v>131.20400000000006</v>
      </c>
    </row>
    <row r="554" spans="1:12" ht="15" customHeight="1" x14ac:dyDescent="0.25">
      <c r="A554" s="10">
        <v>553</v>
      </c>
      <c r="B554" s="10">
        <v>177</v>
      </c>
      <c r="C554" s="10">
        <v>21</v>
      </c>
      <c r="D554" s="10">
        <v>8</v>
      </c>
      <c r="E554" s="19">
        <v>358.6</v>
      </c>
      <c r="F554" s="10">
        <v>0</v>
      </c>
      <c r="G554" s="19">
        <f t="shared" si="24"/>
        <v>2868.8</v>
      </c>
      <c r="H554" s="10">
        <f>INDEX(Products!$C$2:$C$101,MATCH(C554,Products!$A$2:$A$101,0))</f>
        <v>3</v>
      </c>
      <c r="I554" s="10" t="str">
        <f>INDEX(Categories!$B$2:$B$11,MATCH(H554,Categories!$A$2:$A$11,0))</f>
        <v>Furniture</v>
      </c>
      <c r="J554" s="19">
        <f>INDEX(Products!$E$2:$E$101,MATCH(C554,Products!$A$2:$A$101,0))</f>
        <v>155.13</v>
      </c>
      <c r="K554" s="19">
        <f t="shared" si="25"/>
        <v>1241.04</v>
      </c>
      <c r="L554" s="19">
        <f t="shared" si="26"/>
        <v>1627.7600000000002</v>
      </c>
    </row>
    <row r="555" spans="1:12" ht="15" customHeight="1" x14ac:dyDescent="0.25">
      <c r="A555" s="10">
        <v>554</v>
      </c>
      <c r="B555" s="10">
        <v>177</v>
      </c>
      <c r="C555" s="10">
        <v>6</v>
      </c>
      <c r="D555" s="10">
        <v>8</v>
      </c>
      <c r="E555" s="19">
        <v>234.43</v>
      </c>
      <c r="F555" s="10">
        <v>0</v>
      </c>
      <c r="G555" s="19">
        <f t="shared" si="24"/>
        <v>1875.44</v>
      </c>
      <c r="H555" s="10">
        <f>INDEX(Products!$C$2:$C$101,MATCH(C555,Products!$A$2:$A$101,0))</f>
        <v>1</v>
      </c>
      <c r="I555" s="10" t="str">
        <f>INDEX(Categories!$B$2:$B$11,MATCH(H555,Categories!$A$2:$A$11,0))</f>
        <v>Electronics</v>
      </c>
      <c r="J555" s="19">
        <f>INDEX(Products!$E$2:$E$101,MATCH(C555,Products!$A$2:$A$101,0))</f>
        <v>161.76</v>
      </c>
      <c r="K555" s="19">
        <f t="shared" si="25"/>
        <v>1294.08</v>
      </c>
      <c r="L555" s="19">
        <f t="shared" si="26"/>
        <v>581.36000000000013</v>
      </c>
    </row>
    <row r="556" spans="1:12" ht="15" customHeight="1" x14ac:dyDescent="0.25">
      <c r="A556" s="10">
        <v>555</v>
      </c>
      <c r="B556" s="10">
        <v>177</v>
      </c>
      <c r="C556" s="10">
        <v>71</v>
      </c>
      <c r="D556" s="10">
        <v>4</v>
      </c>
      <c r="E556" s="19">
        <v>228.48</v>
      </c>
      <c r="F556" s="10">
        <v>0</v>
      </c>
      <c r="G556" s="19">
        <f t="shared" si="24"/>
        <v>913.92</v>
      </c>
      <c r="H556" s="10">
        <f>INDEX(Products!$C$2:$C$101,MATCH(C556,Products!$A$2:$A$101,0))</f>
        <v>8</v>
      </c>
      <c r="I556" s="10" t="str">
        <f>INDEX(Categories!$B$2:$B$11,MATCH(H556,Categories!$A$2:$A$11,0))</f>
        <v>Health &amp; Beauty</v>
      </c>
      <c r="J556" s="19">
        <f>INDEX(Products!$E$2:$E$101,MATCH(C556,Products!$A$2:$A$101,0))</f>
        <v>136.03</v>
      </c>
      <c r="K556" s="19">
        <f t="shared" si="25"/>
        <v>544.12</v>
      </c>
      <c r="L556" s="19">
        <f t="shared" si="26"/>
        <v>369.79999999999995</v>
      </c>
    </row>
    <row r="557" spans="1:12" ht="15" customHeight="1" x14ac:dyDescent="0.25">
      <c r="A557" s="10">
        <v>556</v>
      </c>
      <c r="B557" s="10">
        <v>178</v>
      </c>
      <c r="C557" s="10">
        <v>93</v>
      </c>
      <c r="D557" s="10">
        <v>2</v>
      </c>
      <c r="E557" s="19">
        <v>288.39999999999998</v>
      </c>
      <c r="F557" s="10">
        <v>0</v>
      </c>
      <c r="G557" s="19">
        <f t="shared" si="24"/>
        <v>576.79999999999995</v>
      </c>
      <c r="H557" s="10">
        <f>INDEX(Products!$C$2:$C$101,MATCH(C557,Products!$A$2:$A$101,0))</f>
        <v>10</v>
      </c>
      <c r="I557" s="10" t="str">
        <f>INDEX(Categories!$B$2:$B$11,MATCH(H557,Categories!$A$2:$A$11,0))</f>
        <v>Groceries</v>
      </c>
      <c r="J557" s="19">
        <f>INDEX(Products!$E$2:$E$101,MATCH(C557,Products!$A$2:$A$101,0))</f>
        <v>125.69</v>
      </c>
      <c r="K557" s="19">
        <f t="shared" si="25"/>
        <v>251.38</v>
      </c>
      <c r="L557" s="19">
        <f t="shared" si="26"/>
        <v>325.41999999999996</v>
      </c>
    </row>
    <row r="558" spans="1:12" ht="15" customHeight="1" x14ac:dyDescent="0.25">
      <c r="A558" s="10">
        <v>557</v>
      </c>
      <c r="B558" s="10">
        <v>179</v>
      </c>
      <c r="C558" s="10">
        <v>6</v>
      </c>
      <c r="D558" s="10">
        <v>6</v>
      </c>
      <c r="E558" s="19">
        <v>234.43</v>
      </c>
      <c r="F558" s="10">
        <v>0.2</v>
      </c>
      <c r="G558" s="19">
        <f t="shared" si="24"/>
        <v>1125.2639999999999</v>
      </c>
      <c r="H558" s="10">
        <f>INDEX(Products!$C$2:$C$101,MATCH(C558,Products!$A$2:$A$101,0))</f>
        <v>1</v>
      </c>
      <c r="I558" s="10" t="str">
        <f>INDEX(Categories!$B$2:$B$11,MATCH(H558,Categories!$A$2:$A$11,0))</f>
        <v>Electronics</v>
      </c>
      <c r="J558" s="19">
        <f>INDEX(Products!$E$2:$E$101,MATCH(C558,Products!$A$2:$A$101,0))</f>
        <v>161.76</v>
      </c>
      <c r="K558" s="19">
        <f t="shared" si="25"/>
        <v>970.56</v>
      </c>
      <c r="L558" s="19">
        <f t="shared" si="26"/>
        <v>154.70399999999995</v>
      </c>
    </row>
    <row r="559" spans="1:12" ht="15" customHeight="1" x14ac:dyDescent="0.25">
      <c r="A559" s="10">
        <v>558</v>
      </c>
      <c r="B559" s="10">
        <v>179</v>
      </c>
      <c r="C559" s="10">
        <v>38</v>
      </c>
      <c r="D559" s="10">
        <v>6</v>
      </c>
      <c r="E559" s="19">
        <v>146.91999999999999</v>
      </c>
      <c r="F559" s="10">
        <v>0.05</v>
      </c>
      <c r="G559" s="19">
        <f t="shared" si="24"/>
        <v>837.44399999999996</v>
      </c>
      <c r="H559" s="10">
        <f>INDEX(Products!$C$2:$C$101,MATCH(C559,Products!$A$2:$A$101,0))</f>
        <v>4</v>
      </c>
      <c r="I559" s="10" t="str">
        <f>INDEX(Categories!$B$2:$B$11,MATCH(H559,Categories!$A$2:$A$11,0))</f>
        <v>Apparel</v>
      </c>
      <c r="J559" s="19">
        <f>INDEX(Products!$E$2:$E$101,MATCH(C559,Products!$A$2:$A$101,0))</f>
        <v>65.36</v>
      </c>
      <c r="K559" s="19">
        <f t="shared" si="25"/>
        <v>392.15999999999997</v>
      </c>
      <c r="L559" s="19">
        <f t="shared" si="26"/>
        <v>445.28399999999999</v>
      </c>
    </row>
    <row r="560" spans="1:12" ht="15" customHeight="1" x14ac:dyDescent="0.25">
      <c r="A560" s="10">
        <v>559</v>
      </c>
      <c r="B560" s="10">
        <v>180</v>
      </c>
      <c r="C560" s="10">
        <v>80</v>
      </c>
      <c r="D560" s="10">
        <v>6</v>
      </c>
      <c r="E560" s="19">
        <v>292.64999999999998</v>
      </c>
      <c r="F560" s="10">
        <v>0.2</v>
      </c>
      <c r="G560" s="19">
        <f t="shared" si="24"/>
        <v>1404.72</v>
      </c>
      <c r="H560" s="10">
        <f>INDEX(Products!$C$2:$C$101,MATCH(C560,Products!$A$2:$A$101,0))</f>
        <v>8</v>
      </c>
      <c r="I560" s="10" t="str">
        <f>INDEX(Categories!$B$2:$B$11,MATCH(H560,Categories!$A$2:$A$11,0))</f>
        <v>Health &amp; Beauty</v>
      </c>
      <c r="J560" s="19">
        <f>INDEX(Products!$E$2:$E$101,MATCH(C560,Products!$A$2:$A$101,0))</f>
        <v>218.48</v>
      </c>
      <c r="K560" s="19">
        <f t="shared" si="25"/>
        <v>1310.8799999999999</v>
      </c>
      <c r="L560" s="19">
        <f t="shared" si="26"/>
        <v>93.840000000000146</v>
      </c>
    </row>
    <row r="561" spans="1:12" ht="15" customHeight="1" x14ac:dyDescent="0.25">
      <c r="A561" s="10">
        <v>560</v>
      </c>
      <c r="B561" s="10">
        <v>180</v>
      </c>
      <c r="C561" s="10">
        <v>35</v>
      </c>
      <c r="D561" s="10">
        <v>6</v>
      </c>
      <c r="E561" s="19">
        <v>216.12</v>
      </c>
      <c r="F561" s="10">
        <v>0</v>
      </c>
      <c r="G561" s="19">
        <f t="shared" si="24"/>
        <v>1296.72</v>
      </c>
      <c r="H561" s="10">
        <f>INDEX(Products!$C$2:$C$101,MATCH(C561,Products!$A$2:$A$101,0))</f>
        <v>4</v>
      </c>
      <c r="I561" s="10" t="str">
        <f>INDEX(Categories!$B$2:$B$11,MATCH(H561,Categories!$A$2:$A$11,0))</f>
        <v>Apparel</v>
      </c>
      <c r="J561" s="19">
        <f>INDEX(Products!$E$2:$E$101,MATCH(C561,Products!$A$2:$A$101,0))</f>
        <v>134.93</v>
      </c>
      <c r="K561" s="19">
        <f t="shared" si="25"/>
        <v>809.58</v>
      </c>
      <c r="L561" s="19">
        <f t="shared" si="26"/>
        <v>487.14</v>
      </c>
    </row>
    <row r="562" spans="1:12" ht="15" customHeight="1" x14ac:dyDescent="0.25">
      <c r="A562" s="10">
        <v>561</v>
      </c>
      <c r="B562" s="10">
        <v>180</v>
      </c>
      <c r="C562" s="10">
        <v>94</v>
      </c>
      <c r="D562" s="10">
        <v>2</v>
      </c>
      <c r="E562" s="19">
        <v>309.85000000000002</v>
      </c>
      <c r="F562" s="10">
        <v>0.05</v>
      </c>
      <c r="G562" s="19">
        <f t="shared" si="24"/>
        <v>588.71500000000003</v>
      </c>
      <c r="H562" s="10">
        <f>INDEX(Products!$C$2:$C$101,MATCH(C562,Products!$A$2:$A$101,0))</f>
        <v>10</v>
      </c>
      <c r="I562" s="10" t="str">
        <f>INDEX(Categories!$B$2:$B$11,MATCH(H562,Categories!$A$2:$A$11,0))</f>
        <v>Groceries</v>
      </c>
      <c r="J562" s="19">
        <f>INDEX(Products!$E$2:$E$101,MATCH(C562,Products!$A$2:$A$101,0))</f>
        <v>201.08</v>
      </c>
      <c r="K562" s="19">
        <f t="shared" si="25"/>
        <v>402.16</v>
      </c>
      <c r="L562" s="19">
        <f t="shared" si="26"/>
        <v>186.55500000000001</v>
      </c>
    </row>
    <row r="563" spans="1:12" ht="15" customHeight="1" x14ac:dyDescent="0.25">
      <c r="A563" s="10">
        <v>562</v>
      </c>
      <c r="B563" s="10">
        <v>180</v>
      </c>
      <c r="C563" s="10">
        <v>12</v>
      </c>
      <c r="D563" s="10">
        <v>7</v>
      </c>
      <c r="E563" s="19">
        <v>219.11</v>
      </c>
      <c r="F563" s="10">
        <v>0.05</v>
      </c>
      <c r="G563" s="19">
        <f t="shared" si="24"/>
        <v>1457.0815</v>
      </c>
      <c r="H563" s="10">
        <f>INDEX(Products!$C$2:$C$101,MATCH(C563,Products!$A$2:$A$101,0))</f>
        <v>2</v>
      </c>
      <c r="I563" s="10" t="str">
        <f>INDEX(Categories!$B$2:$B$11,MATCH(H563,Categories!$A$2:$A$11,0))</f>
        <v>Office Supplies</v>
      </c>
      <c r="J563" s="19">
        <f>INDEX(Products!$E$2:$E$101,MATCH(C563,Products!$A$2:$A$101,0))</f>
        <v>142.30000000000001</v>
      </c>
      <c r="K563" s="19">
        <f t="shared" si="25"/>
        <v>996.10000000000014</v>
      </c>
      <c r="L563" s="19">
        <f t="shared" si="26"/>
        <v>460.98149999999987</v>
      </c>
    </row>
    <row r="564" spans="1:12" ht="15" customHeight="1" x14ac:dyDescent="0.25">
      <c r="A564" s="10">
        <v>563</v>
      </c>
      <c r="B564" s="10">
        <v>181</v>
      </c>
      <c r="C564" s="10">
        <v>14</v>
      </c>
      <c r="D564" s="10">
        <v>10</v>
      </c>
      <c r="E564" s="19">
        <v>342.37</v>
      </c>
      <c r="F564" s="10">
        <v>0.05</v>
      </c>
      <c r="G564" s="19">
        <f t="shared" si="24"/>
        <v>3252.5149999999999</v>
      </c>
      <c r="H564" s="10">
        <f>INDEX(Products!$C$2:$C$101,MATCH(C564,Products!$A$2:$A$101,0))</f>
        <v>2</v>
      </c>
      <c r="I564" s="10" t="str">
        <f>INDEX(Categories!$B$2:$B$11,MATCH(H564,Categories!$A$2:$A$11,0))</f>
        <v>Office Supplies</v>
      </c>
      <c r="J564" s="19">
        <f>INDEX(Products!$E$2:$E$101,MATCH(C564,Products!$A$2:$A$101,0))</f>
        <v>241.29</v>
      </c>
      <c r="K564" s="19">
        <f t="shared" si="25"/>
        <v>2412.9</v>
      </c>
      <c r="L564" s="19">
        <f t="shared" si="26"/>
        <v>839.61499999999978</v>
      </c>
    </row>
    <row r="565" spans="1:12" ht="15" customHeight="1" x14ac:dyDescent="0.25">
      <c r="A565" s="10">
        <v>564</v>
      </c>
      <c r="B565" s="10">
        <v>181</v>
      </c>
      <c r="C565" s="10">
        <v>54</v>
      </c>
      <c r="D565" s="10">
        <v>10</v>
      </c>
      <c r="E565" s="19">
        <v>398.16</v>
      </c>
      <c r="F565" s="10">
        <v>0.15</v>
      </c>
      <c r="G565" s="19">
        <f t="shared" si="24"/>
        <v>3384.36</v>
      </c>
      <c r="H565" s="10">
        <f>INDEX(Products!$C$2:$C$101,MATCH(C565,Products!$A$2:$A$101,0))</f>
        <v>6</v>
      </c>
      <c r="I565" s="10" t="str">
        <f>INDEX(Categories!$B$2:$B$11,MATCH(H565,Categories!$A$2:$A$11,0))</f>
        <v>Sporting Goods</v>
      </c>
      <c r="J565" s="19">
        <f>INDEX(Products!$E$2:$E$101,MATCH(C565,Products!$A$2:$A$101,0))</f>
        <v>205.89</v>
      </c>
      <c r="K565" s="19">
        <f t="shared" si="25"/>
        <v>2058.8999999999996</v>
      </c>
      <c r="L565" s="19">
        <f t="shared" si="26"/>
        <v>1325.4600000000005</v>
      </c>
    </row>
    <row r="566" spans="1:12" ht="15" customHeight="1" x14ac:dyDescent="0.25">
      <c r="A566" s="10">
        <v>565</v>
      </c>
      <c r="B566" s="10">
        <v>182</v>
      </c>
      <c r="C566" s="10">
        <v>15</v>
      </c>
      <c r="D566" s="10">
        <v>2</v>
      </c>
      <c r="E566" s="19">
        <v>389.29</v>
      </c>
      <c r="F566" s="10">
        <v>0</v>
      </c>
      <c r="G566" s="19">
        <f t="shared" si="24"/>
        <v>778.58</v>
      </c>
      <c r="H566" s="10">
        <f>INDEX(Products!$C$2:$C$101,MATCH(C566,Products!$A$2:$A$101,0))</f>
        <v>2</v>
      </c>
      <c r="I566" s="10" t="str">
        <f>INDEX(Categories!$B$2:$B$11,MATCH(H566,Categories!$A$2:$A$11,0))</f>
        <v>Office Supplies</v>
      </c>
      <c r="J566" s="19">
        <f>INDEX(Products!$E$2:$E$101,MATCH(C566,Products!$A$2:$A$101,0))</f>
        <v>227.28</v>
      </c>
      <c r="K566" s="19">
        <f t="shared" si="25"/>
        <v>454.56</v>
      </c>
      <c r="L566" s="19">
        <f t="shared" si="26"/>
        <v>324.02000000000004</v>
      </c>
    </row>
    <row r="567" spans="1:12" ht="15" customHeight="1" x14ac:dyDescent="0.25">
      <c r="A567" s="10">
        <v>566</v>
      </c>
      <c r="B567" s="10">
        <v>182</v>
      </c>
      <c r="C567" s="10">
        <v>53</v>
      </c>
      <c r="D567" s="10">
        <v>6</v>
      </c>
      <c r="E567" s="19">
        <v>534</v>
      </c>
      <c r="F567" s="10">
        <v>0</v>
      </c>
      <c r="G567" s="19">
        <f t="shared" si="24"/>
        <v>3204</v>
      </c>
      <c r="H567" s="10">
        <f>INDEX(Products!$C$2:$C$101,MATCH(C567,Products!$A$2:$A$101,0))</f>
        <v>6</v>
      </c>
      <c r="I567" s="10" t="str">
        <f>INDEX(Categories!$B$2:$B$11,MATCH(H567,Categories!$A$2:$A$11,0))</f>
        <v>Sporting Goods</v>
      </c>
      <c r="J567" s="19">
        <f>INDEX(Products!$E$2:$E$101,MATCH(C567,Products!$A$2:$A$101,0))</f>
        <v>240.59</v>
      </c>
      <c r="K567" s="19">
        <f t="shared" si="25"/>
        <v>1443.54</v>
      </c>
      <c r="L567" s="19">
        <f t="shared" si="26"/>
        <v>1760.46</v>
      </c>
    </row>
    <row r="568" spans="1:12" ht="15" customHeight="1" x14ac:dyDescent="0.25">
      <c r="A568" s="10">
        <v>567</v>
      </c>
      <c r="B568" s="10">
        <v>182</v>
      </c>
      <c r="C568" s="10">
        <v>57</v>
      </c>
      <c r="D568" s="10">
        <v>9</v>
      </c>
      <c r="E568" s="19">
        <v>357.27</v>
      </c>
      <c r="F568" s="10">
        <v>0.2</v>
      </c>
      <c r="G568" s="19">
        <f t="shared" si="24"/>
        <v>2572.3440000000001</v>
      </c>
      <c r="H568" s="10">
        <f>INDEX(Products!$C$2:$C$101,MATCH(C568,Products!$A$2:$A$101,0))</f>
        <v>6</v>
      </c>
      <c r="I568" s="10" t="str">
        <f>INDEX(Categories!$B$2:$B$11,MATCH(H568,Categories!$A$2:$A$11,0))</f>
        <v>Sporting Goods</v>
      </c>
      <c r="J568" s="19">
        <f>INDEX(Products!$E$2:$E$101,MATCH(C568,Products!$A$2:$A$101,0))</f>
        <v>214.86</v>
      </c>
      <c r="K568" s="19">
        <f t="shared" si="25"/>
        <v>1933.7400000000002</v>
      </c>
      <c r="L568" s="19">
        <f t="shared" si="26"/>
        <v>638.60399999999981</v>
      </c>
    </row>
    <row r="569" spans="1:12" ht="15" customHeight="1" x14ac:dyDescent="0.25">
      <c r="A569" s="10">
        <v>568</v>
      </c>
      <c r="B569" s="10">
        <v>182</v>
      </c>
      <c r="C569" s="10">
        <v>6</v>
      </c>
      <c r="D569" s="10">
        <v>10</v>
      </c>
      <c r="E569" s="19">
        <v>234.43</v>
      </c>
      <c r="F569" s="10">
        <v>0.15</v>
      </c>
      <c r="G569" s="19">
        <f t="shared" si="24"/>
        <v>1992.6550000000002</v>
      </c>
      <c r="H569" s="10">
        <f>INDEX(Products!$C$2:$C$101,MATCH(C569,Products!$A$2:$A$101,0))</f>
        <v>1</v>
      </c>
      <c r="I569" s="10" t="str">
        <f>INDEX(Categories!$B$2:$B$11,MATCH(H569,Categories!$A$2:$A$11,0))</f>
        <v>Electronics</v>
      </c>
      <c r="J569" s="19">
        <f>INDEX(Products!$E$2:$E$101,MATCH(C569,Products!$A$2:$A$101,0))</f>
        <v>161.76</v>
      </c>
      <c r="K569" s="19">
        <f t="shared" si="25"/>
        <v>1617.6</v>
      </c>
      <c r="L569" s="19">
        <f t="shared" si="26"/>
        <v>375.05500000000029</v>
      </c>
    </row>
    <row r="570" spans="1:12" ht="15" customHeight="1" x14ac:dyDescent="0.25">
      <c r="A570" s="10">
        <v>569</v>
      </c>
      <c r="B570" s="10">
        <v>183</v>
      </c>
      <c r="C570" s="10">
        <v>45</v>
      </c>
      <c r="D570" s="10">
        <v>7</v>
      </c>
      <c r="E570" s="19">
        <v>72.88</v>
      </c>
      <c r="F570" s="10">
        <v>0</v>
      </c>
      <c r="G570" s="19">
        <f t="shared" si="24"/>
        <v>510.15999999999997</v>
      </c>
      <c r="H570" s="10">
        <f>INDEX(Products!$C$2:$C$101,MATCH(C570,Products!$A$2:$A$101,0))</f>
        <v>5</v>
      </c>
      <c r="I570" s="10" t="str">
        <f>INDEX(Categories!$B$2:$B$11,MATCH(H570,Categories!$A$2:$A$11,0))</f>
        <v>Home &amp; Kitchen</v>
      </c>
      <c r="J570" s="19">
        <f>INDEX(Products!$E$2:$E$101,MATCH(C570,Products!$A$2:$A$101,0))</f>
        <v>41.66</v>
      </c>
      <c r="K570" s="19">
        <f t="shared" si="25"/>
        <v>291.62</v>
      </c>
      <c r="L570" s="19">
        <f t="shared" si="26"/>
        <v>218.53999999999996</v>
      </c>
    </row>
    <row r="571" spans="1:12" ht="15" customHeight="1" x14ac:dyDescent="0.25">
      <c r="A571" s="10">
        <v>570</v>
      </c>
      <c r="B571" s="10">
        <v>183</v>
      </c>
      <c r="C571" s="10">
        <v>85</v>
      </c>
      <c r="D571" s="10">
        <v>9</v>
      </c>
      <c r="E571" s="19">
        <v>264.20999999999998</v>
      </c>
      <c r="F571" s="10">
        <v>0.1</v>
      </c>
      <c r="G571" s="19">
        <f t="shared" si="24"/>
        <v>2140.1010000000001</v>
      </c>
      <c r="H571" s="10">
        <f>INDEX(Products!$C$2:$C$101,MATCH(C571,Products!$A$2:$A$101,0))</f>
        <v>9</v>
      </c>
      <c r="I571" s="10" t="str">
        <f>INDEX(Categories!$B$2:$B$11,MATCH(H571,Categories!$A$2:$A$11,0))</f>
        <v>Automotive Parts</v>
      </c>
      <c r="J571" s="19">
        <f>INDEX(Products!$E$2:$E$101,MATCH(C571,Products!$A$2:$A$101,0))</f>
        <v>153.54</v>
      </c>
      <c r="K571" s="19">
        <f t="shared" si="25"/>
        <v>1381.86</v>
      </c>
      <c r="L571" s="19">
        <f t="shared" si="26"/>
        <v>758.24100000000021</v>
      </c>
    </row>
    <row r="572" spans="1:12" ht="15" customHeight="1" x14ac:dyDescent="0.25">
      <c r="A572" s="10">
        <v>571</v>
      </c>
      <c r="B572" s="10">
        <v>183</v>
      </c>
      <c r="C572" s="10">
        <v>87</v>
      </c>
      <c r="D572" s="10">
        <v>1</v>
      </c>
      <c r="E572" s="19">
        <v>407.7</v>
      </c>
      <c r="F572" s="10">
        <v>0</v>
      </c>
      <c r="G572" s="19">
        <f t="shared" si="24"/>
        <v>407.7</v>
      </c>
      <c r="H572" s="10">
        <f>INDEX(Products!$C$2:$C$101,MATCH(C572,Products!$A$2:$A$101,0))</f>
        <v>9</v>
      </c>
      <c r="I572" s="10" t="str">
        <f>INDEX(Categories!$B$2:$B$11,MATCH(H572,Categories!$A$2:$A$11,0))</f>
        <v>Automotive Parts</v>
      </c>
      <c r="J572" s="19">
        <f>INDEX(Products!$E$2:$E$101,MATCH(C572,Products!$A$2:$A$101,0))</f>
        <v>225.03</v>
      </c>
      <c r="K572" s="19">
        <f t="shared" si="25"/>
        <v>225.03</v>
      </c>
      <c r="L572" s="19">
        <f t="shared" si="26"/>
        <v>182.67</v>
      </c>
    </row>
    <row r="573" spans="1:12" ht="15" customHeight="1" x14ac:dyDescent="0.25">
      <c r="A573" s="10">
        <v>572</v>
      </c>
      <c r="B573" s="10">
        <v>183</v>
      </c>
      <c r="C573" s="10">
        <v>83</v>
      </c>
      <c r="D573" s="10">
        <v>3</v>
      </c>
      <c r="E573" s="19">
        <v>113.19</v>
      </c>
      <c r="F573" s="10">
        <v>0.1</v>
      </c>
      <c r="G573" s="19">
        <f t="shared" si="24"/>
        <v>305.613</v>
      </c>
      <c r="H573" s="10">
        <f>INDEX(Products!$C$2:$C$101,MATCH(C573,Products!$A$2:$A$101,0))</f>
        <v>9</v>
      </c>
      <c r="I573" s="10" t="str">
        <f>INDEX(Categories!$B$2:$B$11,MATCH(H573,Categories!$A$2:$A$11,0))</f>
        <v>Automotive Parts</v>
      </c>
      <c r="J573" s="19">
        <f>INDEX(Products!$E$2:$E$101,MATCH(C573,Products!$A$2:$A$101,0))</f>
        <v>83.12</v>
      </c>
      <c r="K573" s="19">
        <f t="shared" si="25"/>
        <v>249.36</v>
      </c>
      <c r="L573" s="19">
        <f t="shared" si="26"/>
        <v>56.252999999999986</v>
      </c>
    </row>
    <row r="574" spans="1:12" ht="15" customHeight="1" x14ac:dyDescent="0.25">
      <c r="A574" s="10">
        <v>573</v>
      </c>
      <c r="B574" s="10">
        <v>184</v>
      </c>
      <c r="C574" s="10">
        <v>36</v>
      </c>
      <c r="D574" s="10">
        <v>4</v>
      </c>
      <c r="E574" s="19">
        <v>472.77</v>
      </c>
      <c r="F574" s="10">
        <v>0.1</v>
      </c>
      <c r="G574" s="19">
        <f t="shared" si="24"/>
        <v>1701.972</v>
      </c>
      <c r="H574" s="10">
        <f>INDEX(Products!$C$2:$C$101,MATCH(C574,Products!$A$2:$A$101,0))</f>
        <v>4</v>
      </c>
      <c r="I574" s="10" t="str">
        <f>INDEX(Categories!$B$2:$B$11,MATCH(H574,Categories!$A$2:$A$11,0))</f>
        <v>Apparel</v>
      </c>
      <c r="J574" s="19">
        <f>INDEX(Products!$E$2:$E$101,MATCH(C574,Products!$A$2:$A$101,0))</f>
        <v>236.19</v>
      </c>
      <c r="K574" s="19">
        <f t="shared" si="25"/>
        <v>944.76</v>
      </c>
      <c r="L574" s="19">
        <f t="shared" si="26"/>
        <v>757.21199999999999</v>
      </c>
    </row>
    <row r="575" spans="1:12" ht="15" customHeight="1" x14ac:dyDescent="0.25">
      <c r="A575" s="10">
        <v>574</v>
      </c>
      <c r="B575" s="10">
        <v>184</v>
      </c>
      <c r="C575" s="10">
        <v>7</v>
      </c>
      <c r="D575" s="10">
        <v>7</v>
      </c>
      <c r="E575" s="19">
        <v>150.96</v>
      </c>
      <c r="F575" s="10">
        <v>0.05</v>
      </c>
      <c r="G575" s="19">
        <f t="shared" si="24"/>
        <v>1003.884</v>
      </c>
      <c r="H575" s="10">
        <f>INDEX(Products!$C$2:$C$101,MATCH(C575,Products!$A$2:$A$101,0))</f>
        <v>1</v>
      </c>
      <c r="I575" s="10" t="str">
        <f>INDEX(Categories!$B$2:$B$11,MATCH(H575,Categories!$A$2:$A$11,0))</f>
        <v>Electronics</v>
      </c>
      <c r="J575" s="19">
        <f>INDEX(Products!$E$2:$E$101,MATCH(C575,Products!$A$2:$A$101,0))</f>
        <v>83.86</v>
      </c>
      <c r="K575" s="19">
        <f t="shared" si="25"/>
        <v>587.02</v>
      </c>
      <c r="L575" s="19">
        <f t="shared" si="26"/>
        <v>416.86400000000003</v>
      </c>
    </row>
    <row r="576" spans="1:12" ht="15" customHeight="1" x14ac:dyDescent="0.25">
      <c r="A576" s="10">
        <v>575</v>
      </c>
      <c r="B576" s="10">
        <v>184</v>
      </c>
      <c r="C576" s="10">
        <v>65</v>
      </c>
      <c r="D576" s="10">
        <v>4</v>
      </c>
      <c r="E576" s="19">
        <v>167.19</v>
      </c>
      <c r="F576" s="10">
        <v>0</v>
      </c>
      <c r="G576" s="19">
        <f t="shared" si="24"/>
        <v>668.76</v>
      </c>
      <c r="H576" s="10">
        <f>INDEX(Products!$C$2:$C$101,MATCH(C576,Products!$A$2:$A$101,0))</f>
        <v>7</v>
      </c>
      <c r="I576" s="10" t="str">
        <f>INDEX(Categories!$B$2:$B$11,MATCH(H576,Categories!$A$2:$A$11,0))</f>
        <v>Toys &amp; Games</v>
      </c>
      <c r="J576" s="19">
        <f>INDEX(Products!$E$2:$E$101,MATCH(C576,Products!$A$2:$A$101,0))</f>
        <v>116.98</v>
      </c>
      <c r="K576" s="19">
        <f t="shared" si="25"/>
        <v>467.92</v>
      </c>
      <c r="L576" s="19">
        <f t="shared" si="26"/>
        <v>200.83999999999997</v>
      </c>
    </row>
    <row r="577" spans="1:12" ht="15" customHeight="1" x14ac:dyDescent="0.25">
      <c r="A577" s="10">
        <v>576</v>
      </c>
      <c r="B577" s="10">
        <v>185</v>
      </c>
      <c r="C577" s="10">
        <v>96</v>
      </c>
      <c r="D577" s="10">
        <v>7</v>
      </c>
      <c r="E577" s="19">
        <v>266.72000000000003</v>
      </c>
      <c r="F577" s="10">
        <v>0.05</v>
      </c>
      <c r="G577" s="19">
        <f t="shared" si="24"/>
        <v>1773.6880000000001</v>
      </c>
      <c r="H577" s="10">
        <f>INDEX(Products!$C$2:$C$101,MATCH(C577,Products!$A$2:$A$101,0))</f>
        <v>10</v>
      </c>
      <c r="I577" s="10" t="str">
        <f>INDEX(Categories!$B$2:$B$11,MATCH(H577,Categories!$A$2:$A$11,0))</f>
        <v>Groceries</v>
      </c>
      <c r="J577" s="19">
        <f>INDEX(Products!$E$2:$E$101,MATCH(C577,Products!$A$2:$A$101,0))</f>
        <v>162.65</v>
      </c>
      <c r="K577" s="19">
        <f t="shared" si="25"/>
        <v>1138.55</v>
      </c>
      <c r="L577" s="19">
        <f t="shared" si="26"/>
        <v>635.13800000000015</v>
      </c>
    </row>
    <row r="578" spans="1:12" ht="15" customHeight="1" x14ac:dyDescent="0.25">
      <c r="A578" s="10">
        <v>577</v>
      </c>
      <c r="B578" s="10">
        <v>185</v>
      </c>
      <c r="C578" s="10">
        <v>84</v>
      </c>
      <c r="D578" s="10">
        <v>1</v>
      </c>
      <c r="E578" s="19">
        <v>258</v>
      </c>
      <c r="F578" s="10">
        <v>0.1</v>
      </c>
      <c r="G578" s="19">
        <f t="shared" ref="G578:G641" si="27">D578*E578*(1-F578)</f>
        <v>232.20000000000002</v>
      </c>
      <c r="H578" s="10">
        <f>INDEX(Products!$C$2:$C$101,MATCH(C578,Products!$A$2:$A$101,0))</f>
        <v>9</v>
      </c>
      <c r="I578" s="10" t="str">
        <f>INDEX(Categories!$B$2:$B$11,MATCH(H578,Categories!$A$2:$A$11,0))</f>
        <v>Automotive Parts</v>
      </c>
      <c r="J578" s="19">
        <f>INDEX(Products!$E$2:$E$101,MATCH(C578,Products!$A$2:$A$101,0))</f>
        <v>134.19999999999999</v>
      </c>
      <c r="K578" s="19">
        <f t="shared" ref="K578:K641" si="28">D578*J578</f>
        <v>134.19999999999999</v>
      </c>
      <c r="L578" s="19">
        <f t="shared" ref="L578:L641" si="29">G578-K578</f>
        <v>98.000000000000028</v>
      </c>
    </row>
    <row r="579" spans="1:12" ht="15" customHeight="1" x14ac:dyDescent="0.25">
      <c r="A579" s="10">
        <v>578</v>
      </c>
      <c r="B579" s="10">
        <v>185</v>
      </c>
      <c r="C579" s="10">
        <v>3</v>
      </c>
      <c r="D579" s="10">
        <v>9</v>
      </c>
      <c r="E579" s="19">
        <v>101.78</v>
      </c>
      <c r="F579" s="10">
        <v>0</v>
      </c>
      <c r="G579" s="19">
        <f t="shared" si="27"/>
        <v>916.02</v>
      </c>
      <c r="H579" s="10">
        <f>INDEX(Products!$C$2:$C$101,MATCH(C579,Products!$A$2:$A$101,0))</f>
        <v>1</v>
      </c>
      <c r="I579" s="10" t="str">
        <f>INDEX(Categories!$B$2:$B$11,MATCH(H579,Categories!$A$2:$A$11,0))</f>
        <v>Electronics</v>
      </c>
      <c r="J579" s="19">
        <f>INDEX(Products!$E$2:$E$101,MATCH(C579,Products!$A$2:$A$101,0))</f>
        <v>57.2</v>
      </c>
      <c r="K579" s="19">
        <f t="shared" si="28"/>
        <v>514.80000000000007</v>
      </c>
      <c r="L579" s="19">
        <f t="shared" si="29"/>
        <v>401.21999999999991</v>
      </c>
    </row>
    <row r="580" spans="1:12" ht="15" customHeight="1" x14ac:dyDescent="0.25">
      <c r="A580" s="10">
        <v>579</v>
      </c>
      <c r="B580" s="10">
        <v>185</v>
      </c>
      <c r="C580" s="10">
        <v>14</v>
      </c>
      <c r="D580" s="10">
        <v>2</v>
      </c>
      <c r="E580" s="19">
        <v>342.37</v>
      </c>
      <c r="F580" s="10">
        <v>0.2</v>
      </c>
      <c r="G580" s="19">
        <f t="shared" si="27"/>
        <v>547.79200000000003</v>
      </c>
      <c r="H580" s="10">
        <f>INDEX(Products!$C$2:$C$101,MATCH(C580,Products!$A$2:$A$101,0))</f>
        <v>2</v>
      </c>
      <c r="I580" s="10" t="str">
        <f>INDEX(Categories!$B$2:$B$11,MATCH(H580,Categories!$A$2:$A$11,0))</f>
        <v>Office Supplies</v>
      </c>
      <c r="J580" s="19">
        <f>INDEX(Products!$E$2:$E$101,MATCH(C580,Products!$A$2:$A$101,0))</f>
        <v>241.29</v>
      </c>
      <c r="K580" s="19">
        <f t="shared" si="28"/>
        <v>482.58</v>
      </c>
      <c r="L580" s="19">
        <f t="shared" si="29"/>
        <v>65.212000000000046</v>
      </c>
    </row>
    <row r="581" spans="1:12" ht="15" customHeight="1" x14ac:dyDescent="0.25">
      <c r="A581" s="10">
        <v>580</v>
      </c>
      <c r="B581" s="10">
        <v>186</v>
      </c>
      <c r="C581" s="10">
        <v>59</v>
      </c>
      <c r="D581" s="10">
        <v>9</v>
      </c>
      <c r="E581" s="19">
        <v>68</v>
      </c>
      <c r="F581" s="10">
        <v>0.2</v>
      </c>
      <c r="G581" s="19">
        <f t="shared" si="27"/>
        <v>489.6</v>
      </c>
      <c r="H581" s="10">
        <f>INDEX(Products!$C$2:$C$101,MATCH(C581,Products!$A$2:$A$101,0))</f>
        <v>6</v>
      </c>
      <c r="I581" s="10" t="str">
        <f>INDEX(Categories!$B$2:$B$11,MATCH(H581,Categories!$A$2:$A$11,0))</f>
        <v>Sporting Goods</v>
      </c>
      <c r="J581" s="19">
        <f>INDEX(Products!$E$2:$E$101,MATCH(C581,Products!$A$2:$A$101,0))</f>
        <v>31.63</v>
      </c>
      <c r="K581" s="19">
        <f t="shared" si="28"/>
        <v>284.67</v>
      </c>
      <c r="L581" s="19">
        <f t="shared" si="29"/>
        <v>204.93</v>
      </c>
    </row>
    <row r="582" spans="1:12" ht="15" customHeight="1" x14ac:dyDescent="0.25">
      <c r="A582" s="10">
        <v>581</v>
      </c>
      <c r="B582" s="10">
        <v>186</v>
      </c>
      <c r="C582" s="10">
        <v>43</v>
      </c>
      <c r="D582" s="10">
        <v>10</v>
      </c>
      <c r="E582" s="19">
        <v>42.13</v>
      </c>
      <c r="F582" s="10">
        <v>0.1</v>
      </c>
      <c r="G582" s="19">
        <f t="shared" si="27"/>
        <v>379.17</v>
      </c>
      <c r="H582" s="10">
        <f>INDEX(Products!$C$2:$C$101,MATCH(C582,Products!$A$2:$A$101,0))</f>
        <v>5</v>
      </c>
      <c r="I582" s="10" t="str">
        <f>INDEX(Categories!$B$2:$B$11,MATCH(H582,Categories!$A$2:$A$11,0))</f>
        <v>Home &amp; Kitchen</v>
      </c>
      <c r="J582" s="19">
        <f>INDEX(Products!$E$2:$E$101,MATCH(C582,Products!$A$2:$A$101,0))</f>
        <v>17.88</v>
      </c>
      <c r="K582" s="19">
        <f t="shared" si="28"/>
        <v>178.79999999999998</v>
      </c>
      <c r="L582" s="19">
        <f t="shared" si="29"/>
        <v>200.37000000000003</v>
      </c>
    </row>
    <row r="583" spans="1:12" ht="15" customHeight="1" x14ac:dyDescent="0.25">
      <c r="A583" s="10">
        <v>582</v>
      </c>
      <c r="B583" s="10">
        <v>187</v>
      </c>
      <c r="C583" s="10">
        <v>46</v>
      </c>
      <c r="D583" s="10">
        <v>9</v>
      </c>
      <c r="E583" s="19">
        <v>125.01</v>
      </c>
      <c r="F583" s="10">
        <v>0.1</v>
      </c>
      <c r="G583" s="19">
        <f t="shared" si="27"/>
        <v>1012.5810000000001</v>
      </c>
      <c r="H583" s="10">
        <f>INDEX(Products!$C$2:$C$101,MATCH(C583,Products!$A$2:$A$101,0))</f>
        <v>5</v>
      </c>
      <c r="I583" s="10" t="str">
        <f>INDEX(Categories!$B$2:$B$11,MATCH(H583,Categories!$A$2:$A$11,0))</f>
        <v>Home &amp; Kitchen</v>
      </c>
      <c r="J583" s="19">
        <f>INDEX(Products!$E$2:$E$101,MATCH(C583,Products!$A$2:$A$101,0))</f>
        <v>60.17</v>
      </c>
      <c r="K583" s="19">
        <f t="shared" si="28"/>
        <v>541.53</v>
      </c>
      <c r="L583" s="19">
        <f t="shared" si="29"/>
        <v>471.05100000000016</v>
      </c>
    </row>
    <row r="584" spans="1:12" ht="15" customHeight="1" x14ac:dyDescent="0.25">
      <c r="A584" s="10">
        <v>583</v>
      </c>
      <c r="B584" s="10">
        <v>187</v>
      </c>
      <c r="C584" s="10">
        <v>82</v>
      </c>
      <c r="D584" s="10">
        <v>6</v>
      </c>
      <c r="E584" s="19">
        <v>390.74</v>
      </c>
      <c r="F584" s="10">
        <v>0.15</v>
      </c>
      <c r="G584" s="19">
        <f t="shared" si="27"/>
        <v>1992.7739999999999</v>
      </c>
      <c r="H584" s="10">
        <f>INDEX(Products!$C$2:$C$101,MATCH(C584,Products!$A$2:$A$101,0))</f>
        <v>9</v>
      </c>
      <c r="I584" s="10" t="str">
        <f>INDEX(Categories!$B$2:$B$11,MATCH(H584,Categories!$A$2:$A$11,0))</f>
        <v>Automotive Parts</v>
      </c>
      <c r="J584" s="19">
        <f>INDEX(Products!$E$2:$E$101,MATCH(C584,Products!$A$2:$A$101,0))</f>
        <v>218.53</v>
      </c>
      <c r="K584" s="19">
        <f t="shared" si="28"/>
        <v>1311.18</v>
      </c>
      <c r="L584" s="19">
        <f t="shared" si="29"/>
        <v>681.59399999999982</v>
      </c>
    </row>
    <row r="585" spans="1:12" ht="15" customHeight="1" x14ac:dyDescent="0.25">
      <c r="A585" s="10">
        <v>584</v>
      </c>
      <c r="B585" s="10">
        <v>187</v>
      </c>
      <c r="C585" s="10">
        <v>38</v>
      </c>
      <c r="D585" s="10">
        <v>2</v>
      </c>
      <c r="E585" s="19">
        <v>146.91999999999999</v>
      </c>
      <c r="F585" s="10">
        <v>0</v>
      </c>
      <c r="G585" s="19">
        <f t="shared" si="27"/>
        <v>293.83999999999997</v>
      </c>
      <c r="H585" s="10">
        <f>INDEX(Products!$C$2:$C$101,MATCH(C585,Products!$A$2:$A$101,0))</f>
        <v>4</v>
      </c>
      <c r="I585" s="10" t="str">
        <f>INDEX(Categories!$B$2:$B$11,MATCH(H585,Categories!$A$2:$A$11,0))</f>
        <v>Apparel</v>
      </c>
      <c r="J585" s="19">
        <f>INDEX(Products!$E$2:$E$101,MATCH(C585,Products!$A$2:$A$101,0))</f>
        <v>65.36</v>
      </c>
      <c r="K585" s="19">
        <f t="shared" si="28"/>
        <v>130.72</v>
      </c>
      <c r="L585" s="19">
        <f t="shared" si="29"/>
        <v>163.11999999999998</v>
      </c>
    </row>
    <row r="586" spans="1:12" ht="15" customHeight="1" x14ac:dyDescent="0.25">
      <c r="A586" s="10">
        <v>585</v>
      </c>
      <c r="B586" s="10">
        <v>188</v>
      </c>
      <c r="C586" s="10">
        <v>16</v>
      </c>
      <c r="D586" s="10">
        <v>4</v>
      </c>
      <c r="E586" s="19">
        <v>345.42</v>
      </c>
      <c r="F586" s="10">
        <v>0.05</v>
      </c>
      <c r="G586" s="19">
        <f t="shared" si="27"/>
        <v>1312.596</v>
      </c>
      <c r="H586" s="10">
        <f>INDEX(Products!$C$2:$C$101,MATCH(C586,Products!$A$2:$A$101,0))</f>
        <v>2</v>
      </c>
      <c r="I586" s="10" t="str">
        <f>INDEX(Categories!$B$2:$B$11,MATCH(H586,Categories!$A$2:$A$11,0))</f>
        <v>Office Supplies</v>
      </c>
      <c r="J586" s="19">
        <f>INDEX(Products!$E$2:$E$101,MATCH(C586,Products!$A$2:$A$101,0))</f>
        <v>173.58</v>
      </c>
      <c r="K586" s="19">
        <f t="shared" si="28"/>
        <v>694.32</v>
      </c>
      <c r="L586" s="19">
        <f t="shared" si="29"/>
        <v>618.27599999999995</v>
      </c>
    </row>
    <row r="587" spans="1:12" ht="15" customHeight="1" x14ac:dyDescent="0.25">
      <c r="A587" s="10">
        <v>586</v>
      </c>
      <c r="B587" s="10">
        <v>188</v>
      </c>
      <c r="C587" s="10">
        <v>51</v>
      </c>
      <c r="D587" s="10">
        <v>4</v>
      </c>
      <c r="E587" s="19">
        <v>436.43</v>
      </c>
      <c r="F587" s="10">
        <v>0.15</v>
      </c>
      <c r="G587" s="19">
        <f t="shared" si="27"/>
        <v>1483.8620000000001</v>
      </c>
      <c r="H587" s="10">
        <f>INDEX(Products!$C$2:$C$101,MATCH(C587,Products!$A$2:$A$101,0))</f>
        <v>6</v>
      </c>
      <c r="I587" s="10" t="str">
        <f>INDEX(Categories!$B$2:$B$11,MATCH(H587,Categories!$A$2:$A$11,0))</f>
        <v>Sporting Goods</v>
      </c>
      <c r="J587" s="19">
        <f>INDEX(Products!$E$2:$E$101,MATCH(C587,Products!$A$2:$A$101,0))</f>
        <v>235.84</v>
      </c>
      <c r="K587" s="19">
        <f t="shared" si="28"/>
        <v>943.36</v>
      </c>
      <c r="L587" s="19">
        <f t="shared" si="29"/>
        <v>540.50200000000007</v>
      </c>
    </row>
    <row r="588" spans="1:12" ht="15" customHeight="1" x14ac:dyDescent="0.25">
      <c r="A588" s="10">
        <v>587</v>
      </c>
      <c r="B588" s="10">
        <v>189</v>
      </c>
      <c r="C588" s="10">
        <v>65</v>
      </c>
      <c r="D588" s="10">
        <v>1</v>
      </c>
      <c r="E588" s="19">
        <v>167.19</v>
      </c>
      <c r="F588" s="10">
        <v>0.1</v>
      </c>
      <c r="G588" s="19">
        <f t="shared" si="27"/>
        <v>150.471</v>
      </c>
      <c r="H588" s="10">
        <f>INDEX(Products!$C$2:$C$101,MATCH(C588,Products!$A$2:$A$101,0))</f>
        <v>7</v>
      </c>
      <c r="I588" s="10" t="str">
        <f>INDEX(Categories!$B$2:$B$11,MATCH(H588,Categories!$A$2:$A$11,0))</f>
        <v>Toys &amp; Games</v>
      </c>
      <c r="J588" s="19">
        <f>INDEX(Products!$E$2:$E$101,MATCH(C588,Products!$A$2:$A$101,0))</f>
        <v>116.98</v>
      </c>
      <c r="K588" s="19">
        <f t="shared" si="28"/>
        <v>116.98</v>
      </c>
      <c r="L588" s="19">
        <f t="shared" si="29"/>
        <v>33.491</v>
      </c>
    </row>
    <row r="589" spans="1:12" ht="15" customHeight="1" x14ac:dyDescent="0.25">
      <c r="A589" s="10">
        <v>588</v>
      </c>
      <c r="B589" s="10">
        <v>189</v>
      </c>
      <c r="C589" s="10">
        <v>18</v>
      </c>
      <c r="D589" s="10">
        <v>7</v>
      </c>
      <c r="E589" s="19">
        <v>185.81</v>
      </c>
      <c r="F589" s="10">
        <v>0.2</v>
      </c>
      <c r="G589" s="19">
        <f t="shared" si="27"/>
        <v>1040.5360000000001</v>
      </c>
      <c r="H589" s="10">
        <f>INDEX(Products!$C$2:$C$101,MATCH(C589,Products!$A$2:$A$101,0))</f>
        <v>2</v>
      </c>
      <c r="I589" s="10" t="str">
        <f>INDEX(Categories!$B$2:$B$11,MATCH(H589,Categories!$A$2:$A$11,0))</f>
        <v>Office Supplies</v>
      </c>
      <c r="J589" s="19">
        <f>INDEX(Products!$E$2:$E$101,MATCH(C589,Products!$A$2:$A$101,0))</f>
        <v>108.81</v>
      </c>
      <c r="K589" s="19">
        <f t="shared" si="28"/>
        <v>761.67000000000007</v>
      </c>
      <c r="L589" s="19">
        <f t="shared" si="29"/>
        <v>278.86599999999999</v>
      </c>
    </row>
    <row r="590" spans="1:12" ht="15" customHeight="1" x14ac:dyDescent="0.25">
      <c r="A590" s="10">
        <v>589</v>
      </c>
      <c r="B590" s="10">
        <v>189</v>
      </c>
      <c r="C590" s="10">
        <v>64</v>
      </c>
      <c r="D590" s="10">
        <v>10</v>
      </c>
      <c r="E590" s="19">
        <v>265.25</v>
      </c>
      <c r="F590" s="10">
        <v>0.05</v>
      </c>
      <c r="G590" s="19">
        <f t="shared" si="27"/>
        <v>2519.875</v>
      </c>
      <c r="H590" s="10">
        <f>INDEX(Products!$C$2:$C$101,MATCH(C590,Products!$A$2:$A$101,0))</f>
        <v>7</v>
      </c>
      <c r="I590" s="10" t="str">
        <f>INDEX(Categories!$B$2:$B$11,MATCH(H590,Categories!$A$2:$A$11,0))</f>
        <v>Toys &amp; Games</v>
      </c>
      <c r="J590" s="19">
        <f>INDEX(Products!$E$2:$E$101,MATCH(C590,Products!$A$2:$A$101,0))</f>
        <v>139.06</v>
      </c>
      <c r="K590" s="19">
        <f t="shared" si="28"/>
        <v>1390.6</v>
      </c>
      <c r="L590" s="19">
        <f t="shared" si="29"/>
        <v>1129.2750000000001</v>
      </c>
    </row>
    <row r="591" spans="1:12" ht="15" customHeight="1" x14ac:dyDescent="0.25">
      <c r="A591" s="10">
        <v>590</v>
      </c>
      <c r="B591" s="10">
        <v>189</v>
      </c>
      <c r="C591" s="10">
        <v>1</v>
      </c>
      <c r="D591" s="10">
        <v>9</v>
      </c>
      <c r="E591" s="19">
        <v>384.09</v>
      </c>
      <c r="F591" s="10">
        <v>0.2</v>
      </c>
      <c r="G591" s="19">
        <f t="shared" si="27"/>
        <v>2765.4480000000003</v>
      </c>
      <c r="H591" s="10">
        <f>INDEX(Products!$C$2:$C$101,MATCH(C591,Products!$A$2:$A$101,0))</f>
        <v>1</v>
      </c>
      <c r="I591" s="10" t="str">
        <f>INDEX(Categories!$B$2:$B$11,MATCH(H591,Categories!$A$2:$A$11,0))</f>
        <v>Electronics</v>
      </c>
      <c r="J591" s="19">
        <f>INDEX(Products!$E$2:$E$101,MATCH(C591,Products!$A$2:$A$101,0))</f>
        <v>235.86</v>
      </c>
      <c r="K591" s="19">
        <f t="shared" si="28"/>
        <v>2122.7400000000002</v>
      </c>
      <c r="L591" s="19">
        <f t="shared" si="29"/>
        <v>642.70800000000008</v>
      </c>
    </row>
    <row r="592" spans="1:12" ht="15" customHeight="1" x14ac:dyDescent="0.25">
      <c r="A592" s="10">
        <v>591</v>
      </c>
      <c r="B592" s="10">
        <v>189</v>
      </c>
      <c r="C592" s="10">
        <v>68</v>
      </c>
      <c r="D592" s="10">
        <v>3</v>
      </c>
      <c r="E592" s="19">
        <v>271.66000000000003</v>
      </c>
      <c r="F592" s="10">
        <v>0.15</v>
      </c>
      <c r="G592" s="19">
        <f t="shared" si="27"/>
        <v>692.73299999999995</v>
      </c>
      <c r="H592" s="10">
        <f>INDEX(Products!$C$2:$C$101,MATCH(C592,Products!$A$2:$A$101,0))</f>
        <v>7</v>
      </c>
      <c r="I592" s="10" t="str">
        <f>INDEX(Categories!$B$2:$B$11,MATCH(H592,Categories!$A$2:$A$11,0))</f>
        <v>Toys &amp; Games</v>
      </c>
      <c r="J592" s="19">
        <f>INDEX(Products!$E$2:$E$101,MATCH(C592,Products!$A$2:$A$101,0))</f>
        <v>187.33</v>
      </c>
      <c r="K592" s="19">
        <f t="shared" si="28"/>
        <v>561.99</v>
      </c>
      <c r="L592" s="19">
        <f t="shared" si="29"/>
        <v>130.74299999999994</v>
      </c>
    </row>
    <row r="593" spans="1:12" ht="15" customHeight="1" x14ac:dyDescent="0.25">
      <c r="A593" s="10">
        <v>592</v>
      </c>
      <c r="B593" s="10">
        <v>190</v>
      </c>
      <c r="C593" s="10">
        <v>42</v>
      </c>
      <c r="D593" s="10">
        <v>4</v>
      </c>
      <c r="E593" s="19">
        <v>370</v>
      </c>
      <c r="F593" s="10">
        <v>0</v>
      </c>
      <c r="G593" s="19">
        <f t="shared" si="27"/>
        <v>1480</v>
      </c>
      <c r="H593" s="10">
        <f>INDEX(Products!$C$2:$C$101,MATCH(C593,Products!$A$2:$A$101,0))</f>
        <v>5</v>
      </c>
      <c r="I593" s="10" t="str">
        <f>INDEX(Categories!$B$2:$B$11,MATCH(H593,Categories!$A$2:$A$11,0))</f>
        <v>Home &amp; Kitchen</v>
      </c>
      <c r="J593" s="19">
        <f>INDEX(Products!$E$2:$E$101,MATCH(C593,Products!$A$2:$A$101,0))</f>
        <v>227.4</v>
      </c>
      <c r="K593" s="19">
        <f t="shared" si="28"/>
        <v>909.6</v>
      </c>
      <c r="L593" s="19">
        <f t="shared" si="29"/>
        <v>570.4</v>
      </c>
    </row>
    <row r="594" spans="1:12" ht="15" customHeight="1" x14ac:dyDescent="0.25">
      <c r="A594" s="10">
        <v>593</v>
      </c>
      <c r="B594" s="10">
        <v>190</v>
      </c>
      <c r="C594" s="10">
        <v>65</v>
      </c>
      <c r="D594" s="10">
        <v>7</v>
      </c>
      <c r="E594" s="19">
        <v>167.19</v>
      </c>
      <c r="F594" s="10">
        <v>0</v>
      </c>
      <c r="G594" s="19">
        <f t="shared" si="27"/>
        <v>1170.33</v>
      </c>
      <c r="H594" s="10">
        <f>INDEX(Products!$C$2:$C$101,MATCH(C594,Products!$A$2:$A$101,0))</f>
        <v>7</v>
      </c>
      <c r="I594" s="10" t="str">
        <f>INDEX(Categories!$B$2:$B$11,MATCH(H594,Categories!$A$2:$A$11,0))</f>
        <v>Toys &amp; Games</v>
      </c>
      <c r="J594" s="19">
        <f>INDEX(Products!$E$2:$E$101,MATCH(C594,Products!$A$2:$A$101,0))</f>
        <v>116.98</v>
      </c>
      <c r="K594" s="19">
        <f t="shared" si="28"/>
        <v>818.86</v>
      </c>
      <c r="L594" s="19">
        <f t="shared" si="29"/>
        <v>351.46999999999991</v>
      </c>
    </row>
    <row r="595" spans="1:12" ht="15" customHeight="1" x14ac:dyDescent="0.25">
      <c r="A595" s="10">
        <v>594</v>
      </c>
      <c r="B595" s="10">
        <v>190</v>
      </c>
      <c r="C595" s="10">
        <v>50</v>
      </c>
      <c r="D595" s="10">
        <v>5</v>
      </c>
      <c r="E595" s="19">
        <v>411.05</v>
      </c>
      <c r="F595" s="10">
        <v>0.05</v>
      </c>
      <c r="G595" s="19">
        <f t="shared" si="27"/>
        <v>1952.4875</v>
      </c>
      <c r="H595" s="10">
        <f>INDEX(Products!$C$2:$C$101,MATCH(C595,Products!$A$2:$A$101,0))</f>
        <v>5</v>
      </c>
      <c r="I595" s="10" t="str">
        <f>INDEX(Categories!$B$2:$B$11,MATCH(H595,Categories!$A$2:$A$11,0))</f>
        <v>Home &amp; Kitchen</v>
      </c>
      <c r="J595" s="19">
        <f>INDEX(Products!$E$2:$E$101,MATCH(C595,Products!$A$2:$A$101,0))</f>
        <v>230.53</v>
      </c>
      <c r="K595" s="19">
        <f t="shared" si="28"/>
        <v>1152.6500000000001</v>
      </c>
      <c r="L595" s="19">
        <f t="shared" si="29"/>
        <v>799.83749999999986</v>
      </c>
    </row>
    <row r="596" spans="1:12" ht="15" customHeight="1" x14ac:dyDescent="0.25">
      <c r="A596" s="10">
        <v>595</v>
      </c>
      <c r="B596" s="10">
        <v>190</v>
      </c>
      <c r="C596" s="10">
        <v>54</v>
      </c>
      <c r="D596" s="10">
        <v>3</v>
      </c>
      <c r="E596" s="19">
        <v>398.16</v>
      </c>
      <c r="F596" s="10">
        <v>0</v>
      </c>
      <c r="G596" s="19">
        <f t="shared" si="27"/>
        <v>1194.48</v>
      </c>
      <c r="H596" s="10">
        <f>INDEX(Products!$C$2:$C$101,MATCH(C596,Products!$A$2:$A$101,0))</f>
        <v>6</v>
      </c>
      <c r="I596" s="10" t="str">
        <f>INDEX(Categories!$B$2:$B$11,MATCH(H596,Categories!$A$2:$A$11,0))</f>
        <v>Sporting Goods</v>
      </c>
      <c r="J596" s="19">
        <f>INDEX(Products!$E$2:$E$101,MATCH(C596,Products!$A$2:$A$101,0))</f>
        <v>205.89</v>
      </c>
      <c r="K596" s="19">
        <f t="shared" si="28"/>
        <v>617.66999999999996</v>
      </c>
      <c r="L596" s="19">
        <f t="shared" si="29"/>
        <v>576.81000000000006</v>
      </c>
    </row>
    <row r="597" spans="1:12" ht="15" customHeight="1" x14ac:dyDescent="0.25">
      <c r="A597" s="10">
        <v>596</v>
      </c>
      <c r="B597" s="10">
        <v>190</v>
      </c>
      <c r="C597" s="10">
        <v>78</v>
      </c>
      <c r="D597" s="10">
        <v>7</v>
      </c>
      <c r="E597" s="19">
        <v>178.61</v>
      </c>
      <c r="F597" s="10">
        <v>0.1</v>
      </c>
      <c r="G597" s="19">
        <f t="shared" si="27"/>
        <v>1125.2429999999999</v>
      </c>
      <c r="H597" s="10">
        <f>INDEX(Products!$C$2:$C$101,MATCH(C597,Products!$A$2:$A$101,0))</f>
        <v>8</v>
      </c>
      <c r="I597" s="10" t="str">
        <f>INDEX(Categories!$B$2:$B$11,MATCH(H597,Categories!$A$2:$A$11,0))</f>
        <v>Health &amp; Beauty</v>
      </c>
      <c r="J597" s="19">
        <f>INDEX(Products!$E$2:$E$101,MATCH(C597,Products!$A$2:$A$101,0))</f>
        <v>86.62</v>
      </c>
      <c r="K597" s="19">
        <f t="shared" si="28"/>
        <v>606.34</v>
      </c>
      <c r="L597" s="19">
        <f t="shared" si="29"/>
        <v>518.90299999999991</v>
      </c>
    </row>
    <row r="598" spans="1:12" ht="15" customHeight="1" x14ac:dyDescent="0.25">
      <c r="A598" s="10">
        <v>597</v>
      </c>
      <c r="B598" s="10">
        <v>191</v>
      </c>
      <c r="C598" s="10">
        <v>92</v>
      </c>
      <c r="D598" s="10">
        <v>3</v>
      </c>
      <c r="E598" s="19">
        <v>467.17</v>
      </c>
      <c r="F598" s="10">
        <v>0.15</v>
      </c>
      <c r="G598" s="19">
        <f t="shared" si="27"/>
        <v>1191.2835</v>
      </c>
      <c r="H598" s="10">
        <f>INDEX(Products!$C$2:$C$101,MATCH(C598,Products!$A$2:$A$101,0))</f>
        <v>10</v>
      </c>
      <c r="I598" s="10" t="str">
        <f>INDEX(Categories!$B$2:$B$11,MATCH(H598,Categories!$A$2:$A$11,0))</f>
        <v>Groceries</v>
      </c>
      <c r="J598" s="19">
        <f>INDEX(Products!$E$2:$E$101,MATCH(C598,Products!$A$2:$A$101,0))</f>
        <v>216.67</v>
      </c>
      <c r="K598" s="19">
        <f t="shared" si="28"/>
        <v>650.01</v>
      </c>
      <c r="L598" s="19">
        <f t="shared" si="29"/>
        <v>541.27350000000001</v>
      </c>
    </row>
    <row r="599" spans="1:12" ht="15" customHeight="1" x14ac:dyDescent="0.25">
      <c r="A599" s="10">
        <v>598</v>
      </c>
      <c r="B599" s="10">
        <v>191</v>
      </c>
      <c r="C599" s="10">
        <v>38</v>
      </c>
      <c r="D599" s="10">
        <v>3</v>
      </c>
      <c r="E599" s="19">
        <v>146.91999999999999</v>
      </c>
      <c r="F599" s="10">
        <v>0.1</v>
      </c>
      <c r="G599" s="19">
        <f t="shared" si="27"/>
        <v>396.68400000000003</v>
      </c>
      <c r="H599" s="10">
        <f>INDEX(Products!$C$2:$C$101,MATCH(C599,Products!$A$2:$A$101,0))</f>
        <v>4</v>
      </c>
      <c r="I599" s="10" t="str">
        <f>INDEX(Categories!$B$2:$B$11,MATCH(H599,Categories!$A$2:$A$11,0))</f>
        <v>Apparel</v>
      </c>
      <c r="J599" s="19">
        <f>INDEX(Products!$E$2:$E$101,MATCH(C599,Products!$A$2:$A$101,0))</f>
        <v>65.36</v>
      </c>
      <c r="K599" s="19">
        <f t="shared" si="28"/>
        <v>196.07999999999998</v>
      </c>
      <c r="L599" s="19">
        <f t="shared" si="29"/>
        <v>200.60400000000004</v>
      </c>
    </row>
    <row r="600" spans="1:12" ht="15" customHeight="1" x14ac:dyDescent="0.25">
      <c r="A600" s="10">
        <v>599</v>
      </c>
      <c r="B600" s="10">
        <v>191</v>
      </c>
      <c r="C600" s="10">
        <v>88</v>
      </c>
      <c r="D600" s="10">
        <v>9</v>
      </c>
      <c r="E600" s="19">
        <v>188.36</v>
      </c>
      <c r="F600" s="10">
        <v>0.15</v>
      </c>
      <c r="G600" s="19">
        <f t="shared" si="27"/>
        <v>1440.9540000000002</v>
      </c>
      <c r="H600" s="10">
        <f>INDEX(Products!$C$2:$C$101,MATCH(C600,Products!$A$2:$A$101,0))</f>
        <v>9</v>
      </c>
      <c r="I600" s="10" t="str">
        <f>INDEX(Categories!$B$2:$B$11,MATCH(H600,Categories!$A$2:$A$11,0))</f>
        <v>Automotive Parts</v>
      </c>
      <c r="J600" s="19">
        <f>INDEX(Products!$E$2:$E$101,MATCH(C600,Products!$A$2:$A$101,0))</f>
        <v>112.11</v>
      </c>
      <c r="K600" s="19">
        <f t="shared" si="28"/>
        <v>1008.99</v>
      </c>
      <c r="L600" s="19">
        <f t="shared" si="29"/>
        <v>431.96400000000017</v>
      </c>
    </row>
    <row r="601" spans="1:12" ht="15" customHeight="1" x14ac:dyDescent="0.25">
      <c r="A601" s="10">
        <v>600</v>
      </c>
      <c r="B601" s="10">
        <v>191</v>
      </c>
      <c r="C601" s="10">
        <v>45</v>
      </c>
      <c r="D601" s="10">
        <v>6</v>
      </c>
      <c r="E601" s="19">
        <v>72.88</v>
      </c>
      <c r="F601" s="10">
        <v>0.15</v>
      </c>
      <c r="G601" s="19">
        <f t="shared" si="27"/>
        <v>371.68799999999999</v>
      </c>
      <c r="H601" s="10">
        <f>INDEX(Products!$C$2:$C$101,MATCH(C601,Products!$A$2:$A$101,0))</f>
        <v>5</v>
      </c>
      <c r="I601" s="10" t="str">
        <f>INDEX(Categories!$B$2:$B$11,MATCH(H601,Categories!$A$2:$A$11,0))</f>
        <v>Home &amp; Kitchen</v>
      </c>
      <c r="J601" s="19">
        <f>INDEX(Products!$E$2:$E$101,MATCH(C601,Products!$A$2:$A$101,0))</f>
        <v>41.66</v>
      </c>
      <c r="K601" s="19">
        <f t="shared" si="28"/>
        <v>249.95999999999998</v>
      </c>
      <c r="L601" s="19">
        <f t="shared" si="29"/>
        <v>121.72800000000001</v>
      </c>
    </row>
    <row r="602" spans="1:12" ht="15" customHeight="1" x14ac:dyDescent="0.25">
      <c r="A602" s="10">
        <v>601</v>
      </c>
      <c r="B602" s="10">
        <v>191</v>
      </c>
      <c r="C602" s="10">
        <v>87</v>
      </c>
      <c r="D602" s="10">
        <v>2</v>
      </c>
      <c r="E602" s="19">
        <v>407.7</v>
      </c>
      <c r="F602" s="10">
        <v>0.2</v>
      </c>
      <c r="G602" s="19">
        <f t="shared" si="27"/>
        <v>652.32000000000005</v>
      </c>
      <c r="H602" s="10">
        <f>INDEX(Products!$C$2:$C$101,MATCH(C602,Products!$A$2:$A$101,0))</f>
        <v>9</v>
      </c>
      <c r="I602" s="10" t="str">
        <f>INDEX(Categories!$B$2:$B$11,MATCH(H602,Categories!$A$2:$A$11,0))</f>
        <v>Automotive Parts</v>
      </c>
      <c r="J602" s="19">
        <f>INDEX(Products!$E$2:$E$101,MATCH(C602,Products!$A$2:$A$101,0))</f>
        <v>225.03</v>
      </c>
      <c r="K602" s="19">
        <f t="shared" si="28"/>
        <v>450.06</v>
      </c>
      <c r="L602" s="19">
        <f t="shared" si="29"/>
        <v>202.26000000000005</v>
      </c>
    </row>
    <row r="603" spans="1:12" ht="15" customHeight="1" x14ac:dyDescent="0.25">
      <c r="A603" s="10">
        <v>602</v>
      </c>
      <c r="B603" s="10">
        <v>192</v>
      </c>
      <c r="C603" s="10">
        <v>14</v>
      </c>
      <c r="D603" s="10">
        <v>1</v>
      </c>
      <c r="E603" s="19">
        <v>342.37</v>
      </c>
      <c r="F603" s="10">
        <v>0</v>
      </c>
      <c r="G603" s="19">
        <f t="shared" si="27"/>
        <v>342.37</v>
      </c>
      <c r="H603" s="10">
        <f>INDEX(Products!$C$2:$C$101,MATCH(C603,Products!$A$2:$A$101,0))</f>
        <v>2</v>
      </c>
      <c r="I603" s="10" t="str">
        <f>INDEX(Categories!$B$2:$B$11,MATCH(H603,Categories!$A$2:$A$11,0))</f>
        <v>Office Supplies</v>
      </c>
      <c r="J603" s="19">
        <f>INDEX(Products!$E$2:$E$101,MATCH(C603,Products!$A$2:$A$101,0))</f>
        <v>241.29</v>
      </c>
      <c r="K603" s="19">
        <f t="shared" si="28"/>
        <v>241.29</v>
      </c>
      <c r="L603" s="19">
        <f t="shared" si="29"/>
        <v>101.08000000000001</v>
      </c>
    </row>
    <row r="604" spans="1:12" ht="15" customHeight="1" x14ac:dyDescent="0.25">
      <c r="A604" s="10">
        <v>603</v>
      </c>
      <c r="B604" s="10">
        <v>192</v>
      </c>
      <c r="C604" s="10">
        <v>4</v>
      </c>
      <c r="D604" s="10">
        <v>5</v>
      </c>
      <c r="E604" s="19">
        <v>419.61</v>
      </c>
      <c r="F604" s="10">
        <v>0.2</v>
      </c>
      <c r="G604" s="19">
        <f t="shared" si="27"/>
        <v>1678.4400000000003</v>
      </c>
      <c r="H604" s="10">
        <f>INDEX(Products!$C$2:$C$101,MATCH(C604,Products!$A$2:$A$101,0))</f>
        <v>1</v>
      </c>
      <c r="I604" s="10" t="str">
        <f>INDEX(Categories!$B$2:$B$11,MATCH(H604,Categories!$A$2:$A$11,0))</f>
        <v>Electronics</v>
      </c>
      <c r="J604" s="19">
        <f>INDEX(Products!$E$2:$E$101,MATCH(C604,Products!$A$2:$A$101,0))</f>
        <v>200.14</v>
      </c>
      <c r="K604" s="19">
        <f t="shared" si="28"/>
        <v>1000.6999999999999</v>
      </c>
      <c r="L604" s="19">
        <f t="shared" si="29"/>
        <v>677.74000000000035</v>
      </c>
    </row>
    <row r="605" spans="1:12" ht="15" customHeight="1" x14ac:dyDescent="0.25">
      <c r="A605" s="10">
        <v>604</v>
      </c>
      <c r="B605" s="10">
        <v>192</v>
      </c>
      <c r="C605" s="10">
        <v>49</v>
      </c>
      <c r="D605" s="10">
        <v>3</v>
      </c>
      <c r="E605" s="19">
        <v>30.6</v>
      </c>
      <c r="F605" s="10">
        <v>0</v>
      </c>
      <c r="G605" s="19">
        <f t="shared" si="27"/>
        <v>91.800000000000011</v>
      </c>
      <c r="H605" s="10">
        <f>INDEX(Products!$C$2:$C$101,MATCH(C605,Products!$A$2:$A$101,0))</f>
        <v>5</v>
      </c>
      <c r="I605" s="10" t="str">
        <f>INDEX(Categories!$B$2:$B$11,MATCH(H605,Categories!$A$2:$A$11,0))</f>
        <v>Home &amp; Kitchen</v>
      </c>
      <c r="J605" s="19">
        <f>INDEX(Products!$E$2:$E$101,MATCH(C605,Products!$A$2:$A$101,0))</f>
        <v>20.64</v>
      </c>
      <c r="K605" s="19">
        <f t="shared" si="28"/>
        <v>61.92</v>
      </c>
      <c r="L605" s="19">
        <f t="shared" si="29"/>
        <v>29.88000000000001</v>
      </c>
    </row>
    <row r="606" spans="1:12" ht="15" customHeight="1" x14ac:dyDescent="0.25">
      <c r="A606" s="10">
        <v>605</v>
      </c>
      <c r="B606" s="10">
        <v>192</v>
      </c>
      <c r="C606" s="10">
        <v>19</v>
      </c>
      <c r="D606" s="10">
        <v>5</v>
      </c>
      <c r="E606" s="19">
        <v>291.89</v>
      </c>
      <c r="F606" s="10">
        <v>0</v>
      </c>
      <c r="G606" s="19">
        <f t="shared" si="27"/>
        <v>1459.4499999999998</v>
      </c>
      <c r="H606" s="10">
        <f>INDEX(Products!$C$2:$C$101,MATCH(C606,Products!$A$2:$A$101,0))</f>
        <v>2</v>
      </c>
      <c r="I606" s="10" t="str">
        <f>INDEX(Categories!$B$2:$B$11,MATCH(H606,Categories!$A$2:$A$11,0))</f>
        <v>Office Supplies</v>
      </c>
      <c r="J606" s="19">
        <f>INDEX(Products!$E$2:$E$101,MATCH(C606,Products!$A$2:$A$101,0))</f>
        <v>206.12</v>
      </c>
      <c r="K606" s="19">
        <f t="shared" si="28"/>
        <v>1030.5999999999999</v>
      </c>
      <c r="L606" s="19">
        <f t="shared" si="29"/>
        <v>428.84999999999991</v>
      </c>
    </row>
    <row r="607" spans="1:12" ht="15" customHeight="1" x14ac:dyDescent="0.25">
      <c r="A607" s="10">
        <v>606</v>
      </c>
      <c r="B607" s="10">
        <v>192</v>
      </c>
      <c r="C607" s="10">
        <v>7</v>
      </c>
      <c r="D607" s="10">
        <v>1</v>
      </c>
      <c r="E607" s="19">
        <v>150.96</v>
      </c>
      <c r="F607" s="10">
        <v>0.15</v>
      </c>
      <c r="G607" s="19">
        <f t="shared" si="27"/>
        <v>128.316</v>
      </c>
      <c r="H607" s="10">
        <f>INDEX(Products!$C$2:$C$101,MATCH(C607,Products!$A$2:$A$101,0))</f>
        <v>1</v>
      </c>
      <c r="I607" s="10" t="str">
        <f>INDEX(Categories!$B$2:$B$11,MATCH(H607,Categories!$A$2:$A$11,0))</f>
        <v>Electronics</v>
      </c>
      <c r="J607" s="19">
        <f>INDEX(Products!$E$2:$E$101,MATCH(C607,Products!$A$2:$A$101,0))</f>
        <v>83.86</v>
      </c>
      <c r="K607" s="19">
        <f t="shared" si="28"/>
        <v>83.86</v>
      </c>
      <c r="L607" s="19">
        <f t="shared" si="29"/>
        <v>44.456000000000003</v>
      </c>
    </row>
    <row r="608" spans="1:12" ht="15" customHeight="1" x14ac:dyDescent="0.25">
      <c r="A608" s="10">
        <v>607</v>
      </c>
      <c r="B608" s="10">
        <v>193</v>
      </c>
      <c r="C608" s="10">
        <v>29</v>
      </c>
      <c r="D608" s="10">
        <v>4</v>
      </c>
      <c r="E608" s="19">
        <v>152.52000000000001</v>
      </c>
      <c r="F608" s="10">
        <v>0.1</v>
      </c>
      <c r="G608" s="19">
        <f t="shared" si="27"/>
        <v>549.072</v>
      </c>
      <c r="H608" s="10">
        <f>INDEX(Products!$C$2:$C$101,MATCH(C608,Products!$A$2:$A$101,0))</f>
        <v>3</v>
      </c>
      <c r="I608" s="10" t="str">
        <f>INDEX(Categories!$B$2:$B$11,MATCH(H608,Categories!$A$2:$A$11,0))</f>
        <v>Furniture</v>
      </c>
      <c r="J608" s="19">
        <f>INDEX(Products!$E$2:$E$101,MATCH(C608,Products!$A$2:$A$101,0))</f>
        <v>78.63</v>
      </c>
      <c r="K608" s="19">
        <f t="shared" si="28"/>
        <v>314.52</v>
      </c>
      <c r="L608" s="19">
        <f t="shared" si="29"/>
        <v>234.55200000000002</v>
      </c>
    </row>
    <row r="609" spans="1:12" ht="15" customHeight="1" x14ac:dyDescent="0.25">
      <c r="A609" s="10">
        <v>608</v>
      </c>
      <c r="B609" s="10">
        <v>193</v>
      </c>
      <c r="C609" s="10">
        <v>96</v>
      </c>
      <c r="D609" s="10">
        <v>5</v>
      </c>
      <c r="E609" s="19">
        <v>266.72000000000003</v>
      </c>
      <c r="F609" s="10">
        <v>0.15</v>
      </c>
      <c r="G609" s="19">
        <f t="shared" si="27"/>
        <v>1133.5600000000002</v>
      </c>
      <c r="H609" s="10">
        <f>INDEX(Products!$C$2:$C$101,MATCH(C609,Products!$A$2:$A$101,0))</f>
        <v>10</v>
      </c>
      <c r="I609" s="10" t="str">
        <f>INDEX(Categories!$B$2:$B$11,MATCH(H609,Categories!$A$2:$A$11,0))</f>
        <v>Groceries</v>
      </c>
      <c r="J609" s="19">
        <f>INDEX(Products!$E$2:$E$101,MATCH(C609,Products!$A$2:$A$101,0))</f>
        <v>162.65</v>
      </c>
      <c r="K609" s="19">
        <f t="shared" si="28"/>
        <v>813.25</v>
      </c>
      <c r="L609" s="19">
        <f t="shared" si="29"/>
        <v>320.31000000000017</v>
      </c>
    </row>
    <row r="610" spans="1:12" ht="15" customHeight="1" x14ac:dyDescent="0.25">
      <c r="A610" s="10">
        <v>609</v>
      </c>
      <c r="B610" s="10">
        <v>193</v>
      </c>
      <c r="C610" s="10">
        <v>83</v>
      </c>
      <c r="D610" s="10">
        <v>1</v>
      </c>
      <c r="E610" s="19">
        <v>113.19</v>
      </c>
      <c r="F610" s="10">
        <v>0.05</v>
      </c>
      <c r="G610" s="19">
        <f t="shared" si="27"/>
        <v>107.53049999999999</v>
      </c>
      <c r="H610" s="10">
        <f>INDEX(Products!$C$2:$C$101,MATCH(C610,Products!$A$2:$A$101,0))</f>
        <v>9</v>
      </c>
      <c r="I610" s="10" t="str">
        <f>INDEX(Categories!$B$2:$B$11,MATCH(H610,Categories!$A$2:$A$11,0))</f>
        <v>Automotive Parts</v>
      </c>
      <c r="J610" s="19">
        <f>INDEX(Products!$E$2:$E$101,MATCH(C610,Products!$A$2:$A$101,0))</f>
        <v>83.12</v>
      </c>
      <c r="K610" s="19">
        <f t="shared" si="28"/>
        <v>83.12</v>
      </c>
      <c r="L610" s="19">
        <f t="shared" si="29"/>
        <v>24.410499999999985</v>
      </c>
    </row>
    <row r="611" spans="1:12" ht="15" customHeight="1" x14ac:dyDescent="0.25">
      <c r="A611" s="10">
        <v>610</v>
      </c>
      <c r="B611" s="10">
        <v>193</v>
      </c>
      <c r="C611" s="10">
        <v>72</v>
      </c>
      <c r="D611" s="10">
        <v>7</v>
      </c>
      <c r="E611" s="19">
        <v>526.70000000000005</v>
      </c>
      <c r="F611" s="10">
        <v>0.05</v>
      </c>
      <c r="G611" s="19">
        <f t="shared" si="27"/>
        <v>3502.5550000000003</v>
      </c>
      <c r="H611" s="10">
        <f>INDEX(Products!$C$2:$C$101,MATCH(C611,Products!$A$2:$A$101,0))</f>
        <v>8</v>
      </c>
      <c r="I611" s="10" t="str">
        <f>INDEX(Categories!$B$2:$B$11,MATCH(H611,Categories!$A$2:$A$11,0))</f>
        <v>Health &amp; Beauty</v>
      </c>
      <c r="J611" s="19">
        <f>INDEX(Products!$E$2:$E$101,MATCH(C611,Products!$A$2:$A$101,0))</f>
        <v>233.41</v>
      </c>
      <c r="K611" s="19">
        <f t="shared" si="28"/>
        <v>1633.87</v>
      </c>
      <c r="L611" s="19">
        <f t="shared" si="29"/>
        <v>1868.6850000000004</v>
      </c>
    </row>
    <row r="612" spans="1:12" ht="15" customHeight="1" x14ac:dyDescent="0.25">
      <c r="A612" s="10">
        <v>611</v>
      </c>
      <c r="B612" s="10">
        <v>193</v>
      </c>
      <c r="C612" s="10">
        <v>50</v>
      </c>
      <c r="D612" s="10">
        <v>6</v>
      </c>
      <c r="E612" s="19">
        <v>411.05</v>
      </c>
      <c r="F612" s="10">
        <v>0.1</v>
      </c>
      <c r="G612" s="19">
        <f t="shared" si="27"/>
        <v>2219.67</v>
      </c>
      <c r="H612" s="10">
        <f>INDEX(Products!$C$2:$C$101,MATCH(C612,Products!$A$2:$A$101,0))</f>
        <v>5</v>
      </c>
      <c r="I612" s="10" t="str">
        <f>INDEX(Categories!$B$2:$B$11,MATCH(H612,Categories!$A$2:$A$11,0))</f>
        <v>Home &amp; Kitchen</v>
      </c>
      <c r="J612" s="19">
        <f>INDEX(Products!$E$2:$E$101,MATCH(C612,Products!$A$2:$A$101,0))</f>
        <v>230.53</v>
      </c>
      <c r="K612" s="19">
        <f t="shared" si="28"/>
        <v>1383.18</v>
      </c>
      <c r="L612" s="19">
        <f t="shared" si="29"/>
        <v>836.49</v>
      </c>
    </row>
    <row r="613" spans="1:12" ht="15" customHeight="1" x14ac:dyDescent="0.25">
      <c r="A613" s="10">
        <v>612</v>
      </c>
      <c r="B613" s="10">
        <v>194</v>
      </c>
      <c r="C613" s="10">
        <v>95</v>
      </c>
      <c r="D613" s="10">
        <v>4</v>
      </c>
      <c r="E613" s="19">
        <v>394.56</v>
      </c>
      <c r="F613" s="10">
        <v>0</v>
      </c>
      <c r="G613" s="19">
        <f t="shared" si="27"/>
        <v>1578.24</v>
      </c>
      <c r="H613" s="10">
        <f>INDEX(Products!$C$2:$C$101,MATCH(C613,Products!$A$2:$A$101,0))</f>
        <v>10</v>
      </c>
      <c r="I613" s="10" t="str">
        <f>INDEX(Categories!$B$2:$B$11,MATCH(H613,Categories!$A$2:$A$11,0))</f>
        <v>Groceries</v>
      </c>
      <c r="J613" s="19">
        <f>INDEX(Products!$E$2:$E$101,MATCH(C613,Products!$A$2:$A$101,0))</f>
        <v>192.57</v>
      </c>
      <c r="K613" s="19">
        <f t="shared" si="28"/>
        <v>770.28</v>
      </c>
      <c r="L613" s="19">
        <f t="shared" si="29"/>
        <v>807.96</v>
      </c>
    </row>
    <row r="614" spans="1:12" ht="15" customHeight="1" x14ac:dyDescent="0.25">
      <c r="A614" s="10">
        <v>613</v>
      </c>
      <c r="B614" s="10">
        <v>194</v>
      </c>
      <c r="C614" s="10">
        <v>78</v>
      </c>
      <c r="D614" s="10">
        <v>8</v>
      </c>
      <c r="E614" s="19">
        <v>178.61</v>
      </c>
      <c r="F614" s="10">
        <v>0</v>
      </c>
      <c r="G614" s="19">
        <f t="shared" si="27"/>
        <v>1428.88</v>
      </c>
      <c r="H614" s="10">
        <f>INDEX(Products!$C$2:$C$101,MATCH(C614,Products!$A$2:$A$101,0))</f>
        <v>8</v>
      </c>
      <c r="I614" s="10" t="str">
        <f>INDEX(Categories!$B$2:$B$11,MATCH(H614,Categories!$A$2:$A$11,0))</f>
        <v>Health &amp; Beauty</v>
      </c>
      <c r="J614" s="19">
        <f>INDEX(Products!$E$2:$E$101,MATCH(C614,Products!$A$2:$A$101,0))</f>
        <v>86.62</v>
      </c>
      <c r="K614" s="19">
        <f t="shared" si="28"/>
        <v>692.96</v>
      </c>
      <c r="L614" s="19">
        <f t="shared" si="29"/>
        <v>735.92000000000007</v>
      </c>
    </row>
    <row r="615" spans="1:12" ht="15" customHeight="1" x14ac:dyDescent="0.25">
      <c r="A615" s="10">
        <v>614</v>
      </c>
      <c r="B615" s="10">
        <v>194</v>
      </c>
      <c r="C615" s="10">
        <v>26</v>
      </c>
      <c r="D615" s="10">
        <v>2</v>
      </c>
      <c r="E615" s="19">
        <v>262.08</v>
      </c>
      <c r="F615" s="10">
        <v>0</v>
      </c>
      <c r="G615" s="19">
        <f t="shared" si="27"/>
        <v>524.16</v>
      </c>
      <c r="H615" s="10">
        <f>INDEX(Products!$C$2:$C$101,MATCH(C615,Products!$A$2:$A$101,0))</f>
        <v>3</v>
      </c>
      <c r="I615" s="10" t="str">
        <f>INDEX(Categories!$B$2:$B$11,MATCH(H615,Categories!$A$2:$A$11,0))</f>
        <v>Furniture</v>
      </c>
      <c r="J615" s="19">
        <f>INDEX(Products!$E$2:$E$101,MATCH(C615,Products!$A$2:$A$101,0))</f>
        <v>140.28</v>
      </c>
      <c r="K615" s="19">
        <f t="shared" si="28"/>
        <v>280.56</v>
      </c>
      <c r="L615" s="19">
        <f t="shared" si="29"/>
        <v>243.59999999999997</v>
      </c>
    </row>
    <row r="616" spans="1:12" ht="15" customHeight="1" x14ac:dyDescent="0.25">
      <c r="A616" s="10">
        <v>615</v>
      </c>
      <c r="B616" s="10">
        <v>194</v>
      </c>
      <c r="C616" s="10">
        <v>100</v>
      </c>
      <c r="D616" s="10">
        <v>3</v>
      </c>
      <c r="E616" s="19">
        <v>313.44</v>
      </c>
      <c r="F616" s="10">
        <v>0.15</v>
      </c>
      <c r="G616" s="19">
        <f t="shared" si="27"/>
        <v>799.27199999999993</v>
      </c>
      <c r="H616" s="10">
        <f>INDEX(Products!$C$2:$C$101,MATCH(C616,Products!$A$2:$A$101,0))</f>
        <v>10</v>
      </c>
      <c r="I616" s="10" t="str">
        <f>INDEX(Categories!$B$2:$B$11,MATCH(H616,Categories!$A$2:$A$11,0))</f>
        <v>Groceries</v>
      </c>
      <c r="J616" s="19">
        <f>INDEX(Products!$E$2:$E$101,MATCH(C616,Products!$A$2:$A$101,0))</f>
        <v>187.4</v>
      </c>
      <c r="K616" s="19">
        <f t="shared" si="28"/>
        <v>562.20000000000005</v>
      </c>
      <c r="L616" s="19">
        <f t="shared" si="29"/>
        <v>237.07199999999989</v>
      </c>
    </row>
    <row r="617" spans="1:12" ht="15" customHeight="1" x14ac:dyDescent="0.25">
      <c r="A617" s="10">
        <v>616</v>
      </c>
      <c r="B617" s="10">
        <v>194</v>
      </c>
      <c r="C617" s="10">
        <v>93</v>
      </c>
      <c r="D617" s="10">
        <v>9</v>
      </c>
      <c r="E617" s="19">
        <v>288.39999999999998</v>
      </c>
      <c r="F617" s="10">
        <v>0</v>
      </c>
      <c r="G617" s="19">
        <f t="shared" si="27"/>
        <v>2595.6</v>
      </c>
      <c r="H617" s="10">
        <f>INDEX(Products!$C$2:$C$101,MATCH(C617,Products!$A$2:$A$101,0))</f>
        <v>10</v>
      </c>
      <c r="I617" s="10" t="str">
        <f>INDEX(Categories!$B$2:$B$11,MATCH(H617,Categories!$A$2:$A$11,0))</f>
        <v>Groceries</v>
      </c>
      <c r="J617" s="19">
        <f>INDEX(Products!$E$2:$E$101,MATCH(C617,Products!$A$2:$A$101,0))</f>
        <v>125.69</v>
      </c>
      <c r="K617" s="19">
        <f t="shared" si="28"/>
        <v>1131.21</v>
      </c>
      <c r="L617" s="19">
        <f t="shared" si="29"/>
        <v>1464.3899999999999</v>
      </c>
    </row>
    <row r="618" spans="1:12" ht="15" customHeight="1" x14ac:dyDescent="0.25">
      <c r="A618" s="10">
        <v>617</v>
      </c>
      <c r="B618" s="10">
        <v>195</v>
      </c>
      <c r="C618" s="10">
        <v>43</v>
      </c>
      <c r="D618" s="10">
        <v>8</v>
      </c>
      <c r="E618" s="19">
        <v>42.13</v>
      </c>
      <c r="F618" s="10">
        <v>0.15</v>
      </c>
      <c r="G618" s="19">
        <f t="shared" si="27"/>
        <v>286.48400000000004</v>
      </c>
      <c r="H618" s="10">
        <f>INDEX(Products!$C$2:$C$101,MATCH(C618,Products!$A$2:$A$101,0))</f>
        <v>5</v>
      </c>
      <c r="I618" s="10" t="str">
        <f>INDEX(Categories!$B$2:$B$11,MATCH(H618,Categories!$A$2:$A$11,0))</f>
        <v>Home &amp; Kitchen</v>
      </c>
      <c r="J618" s="19">
        <f>INDEX(Products!$E$2:$E$101,MATCH(C618,Products!$A$2:$A$101,0))</f>
        <v>17.88</v>
      </c>
      <c r="K618" s="19">
        <f t="shared" si="28"/>
        <v>143.04</v>
      </c>
      <c r="L618" s="19">
        <f t="shared" si="29"/>
        <v>143.44400000000005</v>
      </c>
    </row>
    <row r="619" spans="1:12" ht="15" customHeight="1" x14ac:dyDescent="0.25">
      <c r="A619" s="10">
        <v>618</v>
      </c>
      <c r="B619" s="10">
        <v>196</v>
      </c>
      <c r="C619" s="10">
        <v>46</v>
      </c>
      <c r="D619" s="10">
        <v>4</v>
      </c>
      <c r="E619" s="19">
        <v>125.01</v>
      </c>
      <c r="F619" s="10">
        <v>0</v>
      </c>
      <c r="G619" s="19">
        <f t="shared" si="27"/>
        <v>500.04</v>
      </c>
      <c r="H619" s="10">
        <f>INDEX(Products!$C$2:$C$101,MATCH(C619,Products!$A$2:$A$101,0))</f>
        <v>5</v>
      </c>
      <c r="I619" s="10" t="str">
        <f>INDEX(Categories!$B$2:$B$11,MATCH(H619,Categories!$A$2:$A$11,0))</f>
        <v>Home &amp; Kitchen</v>
      </c>
      <c r="J619" s="19">
        <f>INDEX(Products!$E$2:$E$101,MATCH(C619,Products!$A$2:$A$101,0))</f>
        <v>60.17</v>
      </c>
      <c r="K619" s="19">
        <f t="shared" si="28"/>
        <v>240.68</v>
      </c>
      <c r="L619" s="19">
        <f t="shared" si="29"/>
        <v>259.36</v>
      </c>
    </row>
    <row r="620" spans="1:12" ht="15" customHeight="1" x14ac:dyDescent="0.25">
      <c r="A620" s="10">
        <v>619</v>
      </c>
      <c r="B620" s="10">
        <v>196</v>
      </c>
      <c r="C620" s="10">
        <v>10</v>
      </c>
      <c r="D620" s="10">
        <v>9</v>
      </c>
      <c r="E620" s="19">
        <v>395.24</v>
      </c>
      <c r="F620" s="10">
        <v>0</v>
      </c>
      <c r="G620" s="19">
        <f t="shared" si="27"/>
        <v>3557.16</v>
      </c>
      <c r="H620" s="10">
        <f>INDEX(Products!$C$2:$C$101,MATCH(C620,Products!$A$2:$A$101,0))</f>
        <v>1</v>
      </c>
      <c r="I620" s="10" t="str">
        <f>INDEX(Categories!$B$2:$B$11,MATCH(H620,Categories!$A$2:$A$11,0))</f>
        <v>Electronics</v>
      </c>
      <c r="J620" s="19">
        <f>INDEX(Products!$E$2:$E$101,MATCH(C620,Products!$A$2:$A$101,0))</f>
        <v>195.96</v>
      </c>
      <c r="K620" s="19">
        <f t="shared" si="28"/>
        <v>1763.64</v>
      </c>
      <c r="L620" s="19">
        <f t="shared" si="29"/>
        <v>1793.5199999999998</v>
      </c>
    </row>
    <row r="621" spans="1:12" ht="15" customHeight="1" x14ac:dyDescent="0.25">
      <c r="A621" s="10">
        <v>620</v>
      </c>
      <c r="B621" s="10">
        <v>196</v>
      </c>
      <c r="C621" s="10">
        <v>91</v>
      </c>
      <c r="D621" s="10">
        <v>9</v>
      </c>
      <c r="E621" s="19">
        <v>180.37</v>
      </c>
      <c r="F621" s="10">
        <v>0</v>
      </c>
      <c r="G621" s="19">
        <f t="shared" si="27"/>
        <v>1623.33</v>
      </c>
      <c r="H621" s="10">
        <f>INDEX(Products!$C$2:$C$101,MATCH(C621,Products!$A$2:$A$101,0))</f>
        <v>10</v>
      </c>
      <c r="I621" s="10" t="str">
        <f>INDEX(Categories!$B$2:$B$11,MATCH(H621,Categories!$A$2:$A$11,0))</f>
        <v>Groceries</v>
      </c>
      <c r="J621" s="19">
        <f>INDEX(Products!$E$2:$E$101,MATCH(C621,Products!$A$2:$A$101,0))</f>
        <v>75.92</v>
      </c>
      <c r="K621" s="19">
        <f t="shared" si="28"/>
        <v>683.28</v>
      </c>
      <c r="L621" s="19">
        <f t="shared" si="29"/>
        <v>940.05</v>
      </c>
    </row>
    <row r="622" spans="1:12" ht="15" customHeight="1" x14ac:dyDescent="0.25">
      <c r="A622" s="10">
        <v>621</v>
      </c>
      <c r="B622" s="10">
        <v>196</v>
      </c>
      <c r="C622" s="10">
        <v>41</v>
      </c>
      <c r="D622" s="10">
        <v>7</v>
      </c>
      <c r="E622" s="19">
        <v>331.46</v>
      </c>
      <c r="F622" s="10">
        <v>0.1</v>
      </c>
      <c r="G622" s="19">
        <f t="shared" si="27"/>
        <v>2088.1979999999999</v>
      </c>
      <c r="H622" s="10">
        <f>INDEX(Products!$C$2:$C$101,MATCH(C622,Products!$A$2:$A$101,0))</f>
        <v>5</v>
      </c>
      <c r="I622" s="10" t="str">
        <f>INDEX(Categories!$B$2:$B$11,MATCH(H622,Categories!$A$2:$A$11,0))</f>
        <v>Home &amp; Kitchen</v>
      </c>
      <c r="J622" s="19">
        <f>INDEX(Products!$E$2:$E$101,MATCH(C622,Products!$A$2:$A$101,0))</f>
        <v>152.76</v>
      </c>
      <c r="K622" s="19">
        <f t="shared" si="28"/>
        <v>1069.32</v>
      </c>
      <c r="L622" s="19">
        <f t="shared" si="29"/>
        <v>1018.8779999999999</v>
      </c>
    </row>
    <row r="623" spans="1:12" ht="15" customHeight="1" x14ac:dyDescent="0.25">
      <c r="A623" s="10">
        <v>622</v>
      </c>
      <c r="B623" s="10">
        <v>196</v>
      </c>
      <c r="C623" s="10">
        <v>68</v>
      </c>
      <c r="D623" s="10">
        <v>9</v>
      </c>
      <c r="E623" s="19">
        <v>271.66000000000003</v>
      </c>
      <c r="F623" s="10">
        <v>0.05</v>
      </c>
      <c r="G623" s="19">
        <f t="shared" si="27"/>
        <v>2322.6929999999998</v>
      </c>
      <c r="H623" s="10">
        <f>INDEX(Products!$C$2:$C$101,MATCH(C623,Products!$A$2:$A$101,0))</f>
        <v>7</v>
      </c>
      <c r="I623" s="10" t="str">
        <f>INDEX(Categories!$B$2:$B$11,MATCH(H623,Categories!$A$2:$A$11,0))</f>
        <v>Toys &amp; Games</v>
      </c>
      <c r="J623" s="19">
        <f>INDEX(Products!$E$2:$E$101,MATCH(C623,Products!$A$2:$A$101,0))</f>
        <v>187.33</v>
      </c>
      <c r="K623" s="19">
        <f t="shared" si="28"/>
        <v>1685.97</v>
      </c>
      <c r="L623" s="19">
        <f t="shared" si="29"/>
        <v>636.72299999999973</v>
      </c>
    </row>
    <row r="624" spans="1:12" ht="15" customHeight="1" x14ac:dyDescent="0.25">
      <c r="A624" s="10">
        <v>623</v>
      </c>
      <c r="B624" s="10">
        <v>197</v>
      </c>
      <c r="C624" s="10">
        <v>28</v>
      </c>
      <c r="D624" s="10">
        <v>9</v>
      </c>
      <c r="E624" s="19">
        <v>149.97</v>
      </c>
      <c r="F624" s="10">
        <v>0.05</v>
      </c>
      <c r="G624" s="19">
        <f t="shared" si="27"/>
        <v>1282.2435</v>
      </c>
      <c r="H624" s="10">
        <f>INDEX(Products!$C$2:$C$101,MATCH(C624,Products!$A$2:$A$101,0))</f>
        <v>3</v>
      </c>
      <c r="I624" s="10" t="str">
        <f>INDEX(Categories!$B$2:$B$11,MATCH(H624,Categories!$A$2:$A$11,0))</f>
        <v>Furniture</v>
      </c>
      <c r="J624" s="19">
        <f>INDEX(Products!$E$2:$E$101,MATCH(C624,Products!$A$2:$A$101,0))</f>
        <v>113.7</v>
      </c>
      <c r="K624" s="19">
        <f t="shared" si="28"/>
        <v>1023.3000000000001</v>
      </c>
      <c r="L624" s="19">
        <f t="shared" si="29"/>
        <v>258.94349999999997</v>
      </c>
    </row>
    <row r="625" spans="1:12" ht="15" customHeight="1" x14ac:dyDescent="0.25">
      <c r="A625" s="10">
        <v>624</v>
      </c>
      <c r="B625" s="10">
        <v>197</v>
      </c>
      <c r="C625" s="10">
        <v>97</v>
      </c>
      <c r="D625" s="10">
        <v>9</v>
      </c>
      <c r="E625" s="19">
        <v>81.58</v>
      </c>
      <c r="F625" s="10">
        <v>0.2</v>
      </c>
      <c r="G625" s="19">
        <f t="shared" si="27"/>
        <v>587.37600000000009</v>
      </c>
      <c r="H625" s="10">
        <f>INDEX(Products!$C$2:$C$101,MATCH(C625,Products!$A$2:$A$101,0))</f>
        <v>10</v>
      </c>
      <c r="I625" s="10" t="str">
        <f>INDEX(Categories!$B$2:$B$11,MATCH(H625,Categories!$A$2:$A$11,0))</f>
        <v>Groceries</v>
      </c>
      <c r="J625" s="19">
        <f>INDEX(Products!$E$2:$E$101,MATCH(C625,Products!$A$2:$A$101,0))</f>
        <v>35.46</v>
      </c>
      <c r="K625" s="19">
        <f t="shared" si="28"/>
        <v>319.14</v>
      </c>
      <c r="L625" s="19">
        <f t="shared" si="29"/>
        <v>268.2360000000001</v>
      </c>
    </row>
    <row r="626" spans="1:12" ht="15" customHeight="1" x14ac:dyDescent="0.25">
      <c r="A626" s="10">
        <v>625</v>
      </c>
      <c r="B626" s="10">
        <v>197</v>
      </c>
      <c r="C626" s="10">
        <v>80</v>
      </c>
      <c r="D626" s="10">
        <v>1</v>
      </c>
      <c r="E626" s="19">
        <v>292.64999999999998</v>
      </c>
      <c r="F626" s="10">
        <v>0</v>
      </c>
      <c r="G626" s="19">
        <f t="shared" si="27"/>
        <v>292.64999999999998</v>
      </c>
      <c r="H626" s="10">
        <f>INDEX(Products!$C$2:$C$101,MATCH(C626,Products!$A$2:$A$101,0))</f>
        <v>8</v>
      </c>
      <c r="I626" s="10" t="str">
        <f>INDEX(Categories!$B$2:$B$11,MATCH(H626,Categories!$A$2:$A$11,0))</f>
        <v>Health &amp; Beauty</v>
      </c>
      <c r="J626" s="19">
        <f>INDEX(Products!$E$2:$E$101,MATCH(C626,Products!$A$2:$A$101,0))</f>
        <v>218.48</v>
      </c>
      <c r="K626" s="19">
        <f t="shared" si="28"/>
        <v>218.48</v>
      </c>
      <c r="L626" s="19">
        <f t="shared" si="29"/>
        <v>74.169999999999987</v>
      </c>
    </row>
    <row r="627" spans="1:12" ht="15" customHeight="1" x14ac:dyDescent="0.25">
      <c r="A627" s="10">
        <v>626</v>
      </c>
      <c r="B627" s="10">
        <v>198</v>
      </c>
      <c r="C627" s="10">
        <v>50</v>
      </c>
      <c r="D627" s="10">
        <v>5</v>
      </c>
      <c r="E627" s="19">
        <v>411.05</v>
      </c>
      <c r="F627" s="10">
        <v>0.1</v>
      </c>
      <c r="G627" s="19">
        <f t="shared" si="27"/>
        <v>1849.7250000000001</v>
      </c>
      <c r="H627" s="10">
        <f>INDEX(Products!$C$2:$C$101,MATCH(C627,Products!$A$2:$A$101,0))</f>
        <v>5</v>
      </c>
      <c r="I627" s="10" t="str">
        <f>INDEX(Categories!$B$2:$B$11,MATCH(H627,Categories!$A$2:$A$11,0))</f>
        <v>Home &amp; Kitchen</v>
      </c>
      <c r="J627" s="19">
        <f>INDEX(Products!$E$2:$E$101,MATCH(C627,Products!$A$2:$A$101,0))</f>
        <v>230.53</v>
      </c>
      <c r="K627" s="19">
        <f t="shared" si="28"/>
        <v>1152.6500000000001</v>
      </c>
      <c r="L627" s="19">
        <f t="shared" si="29"/>
        <v>697.07500000000005</v>
      </c>
    </row>
    <row r="628" spans="1:12" ht="15" customHeight="1" x14ac:dyDescent="0.25">
      <c r="A628" s="10">
        <v>627</v>
      </c>
      <c r="B628" s="10">
        <v>199</v>
      </c>
      <c r="C628" s="10">
        <v>66</v>
      </c>
      <c r="D628" s="10">
        <v>3</v>
      </c>
      <c r="E628" s="19">
        <v>155.88</v>
      </c>
      <c r="F628" s="10">
        <v>0.2</v>
      </c>
      <c r="G628" s="19">
        <f t="shared" si="27"/>
        <v>374.11200000000002</v>
      </c>
      <c r="H628" s="10">
        <f>INDEX(Products!$C$2:$C$101,MATCH(C628,Products!$A$2:$A$101,0))</f>
        <v>7</v>
      </c>
      <c r="I628" s="10" t="str">
        <f>INDEX(Categories!$B$2:$B$11,MATCH(H628,Categories!$A$2:$A$11,0))</f>
        <v>Toys &amp; Games</v>
      </c>
      <c r="J628" s="19">
        <f>INDEX(Products!$E$2:$E$101,MATCH(C628,Products!$A$2:$A$101,0))</f>
        <v>75.09</v>
      </c>
      <c r="K628" s="19">
        <f t="shared" si="28"/>
        <v>225.27</v>
      </c>
      <c r="L628" s="19">
        <f t="shared" si="29"/>
        <v>148.84200000000001</v>
      </c>
    </row>
    <row r="629" spans="1:12" ht="15" customHeight="1" x14ac:dyDescent="0.25">
      <c r="A629" s="10">
        <v>628</v>
      </c>
      <c r="B629" s="10">
        <v>199</v>
      </c>
      <c r="C629" s="10">
        <v>11</v>
      </c>
      <c r="D629" s="10">
        <v>9</v>
      </c>
      <c r="E629" s="19">
        <v>417.1</v>
      </c>
      <c r="F629" s="10">
        <v>0.1</v>
      </c>
      <c r="G629" s="19">
        <f t="shared" si="27"/>
        <v>3378.51</v>
      </c>
      <c r="H629" s="10">
        <f>INDEX(Products!$C$2:$C$101,MATCH(C629,Products!$A$2:$A$101,0))</f>
        <v>2</v>
      </c>
      <c r="I629" s="10" t="str">
        <f>INDEX(Categories!$B$2:$B$11,MATCH(H629,Categories!$A$2:$A$11,0))</f>
        <v>Office Supplies</v>
      </c>
      <c r="J629" s="19">
        <f>INDEX(Products!$E$2:$E$101,MATCH(C629,Products!$A$2:$A$101,0))</f>
        <v>210.29</v>
      </c>
      <c r="K629" s="19">
        <f t="shared" si="28"/>
        <v>1892.61</v>
      </c>
      <c r="L629" s="19">
        <f t="shared" si="29"/>
        <v>1485.9000000000003</v>
      </c>
    </row>
    <row r="630" spans="1:12" ht="15" customHeight="1" x14ac:dyDescent="0.25">
      <c r="A630" s="10">
        <v>629</v>
      </c>
      <c r="B630" s="10">
        <v>199</v>
      </c>
      <c r="C630" s="10">
        <v>13</v>
      </c>
      <c r="D630" s="10">
        <v>1</v>
      </c>
      <c r="E630" s="19">
        <v>360.29</v>
      </c>
      <c r="F630" s="10">
        <v>0.15</v>
      </c>
      <c r="G630" s="19">
        <f t="shared" si="27"/>
        <v>306.24650000000003</v>
      </c>
      <c r="H630" s="10">
        <f>INDEX(Products!$C$2:$C$101,MATCH(C630,Products!$A$2:$A$101,0))</f>
        <v>2</v>
      </c>
      <c r="I630" s="10" t="str">
        <f>INDEX(Categories!$B$2:$B$11,MATCH(H630,Categories!$A$2:$A$11,0))</f>
        <v>Office Supplies</v>
      </c>
      <c r="J630" s="19">
        <f>INDEX(Products!$E$2:$E$101,MATCH(C630,Products!$A$2:$A$101,0))</f>
        <v>152.66</v>
      </c>
      <c r="K630" s="19">
        <f t="shared" si="28"/>
        <v>152.66</v>
      </c>
      <c r="L630" s="19">
        <f t="shared" si="29"/>
        <v>153.58650000000003</v>
      </c>
    </row>
    <row r="631" spans="1:12" ht="15" customHeight="1" x14ac:dyDescent="0.25">
      <c r="A631" s="10">
        <v>630</v>
      </c>
      <c r="B631" s="10">
        <v>200</v>
      </c>
      <c r="C631" s="10">
        <v>83</v>
      </c>
      <c r="D631" s="10">
        <v>3</v>
      </c>
      <c r="E631" s="19">
        <v>113.19</v>
      </c>
      <c r="F631" s="10">
        <v>0</v>
      </c>
      <c r="G631" s="19">
        <f t="shared" si="27"/>
        <v>339.57</v>
      </c>
      <c r="H631" s="10">
        <f>INDEX(Products!$C$2:$C$101,MATCH(C631,Products!$A$2:$A$101,0))</f>
        <v>9</v>
      </c>
      <c r="I631" s="10" t="str">
        <f>INDEX(Categories!$B$2:$B$11,MATCH(H631,Categories!$A$2:$A$11,0))</f>
        <v>Automotive Parts</v>
      </c>
      <c r="J631" s="19">
        <f>INDEX(Products!$E$2:$E$101,MATCH(C631,Products!$A$2:$A$101,0))</f>
        <v>83.12</v>
      </c>
      <c r="K631" s="19">
        <f t="shared" si="28"/>
        <v>249.36</v>
      </c>
      <c r="L631" s="19">
        <f t="shared" si="29"/>
        <v>90.20999999999998</v>
      </c>
    </row>
    <row r="632" spans="1:12" ht="15" customHeight="1" x14ac:dyDescent="0.25">
      <c r="A632" s="10">
        <v>631</v>
      </c>
      <c r="B632" s="10">
        <v>200</v>
      </c>
      <c r="C632" s="10">
        <v>10</v>
      </c>
      <c r="D632" s="10">
        <v>8</v>
      </c>
      <c r="E632" s="19">
        <v>395.24</v>
      </c>
      <c r="F632" s="10">
        <v>0.15</v>
      </c>
      <c r="G632" s="19">
        <f t="shared" si="27"/>
        <v>2687.6320000000001</v>
      </c>
      <c r="H632" s="10">
        <f>INDEX(Products!$C$2:$C$101,MATCH(C632,Products!$A$2:$A$101,0))</f>
        <v>1</v>
      </c>
      <c r="I632" s="10" t="str">
        <f>INDEX(Categories!$B$2:$B$11,MATCH(H632,Categories!$A$2:$A$11,0))</f>
        <v>Electronics</v>
      </c>
      <c r="J632" s="19">
        <f>INDEX(Products!$E$2:$E$101,MATCH(C632,Products!$A$2:$A$101,0))</f>
        <v>195.96</v>
      </c>
      <c r="K632" s="19">
        <f t="shared" si="28"/>
        <v>1567.68</v>
      </c>
      <c r="L632" s="19">
        <f t="shared" si="29"/>
        <v>1119.952</v>
      </c>
    </row>
    <row r="633" spans="1:12" ht="15" customHeight="1" x14ac:dyDescent="0.25">
      <c r="A633" s="10">
        <v>632</v>
      </c>
      <c r="B633" s="10">
        <v>200</v>
      </c>
      <c r="C633" s="10">
        <v>96</v>
      </c>
      <c r="D633" s="10">
        <v>6</v>
      </c>
      <c r="E633" s="19">
        <v>266.72000000000003</v>
      </c>
      <c r="F633" s="10">
        <v>0</v>
      </c>
      <c r="G633" s="19">
        <f t="shared" si="27"/>
        <v>1600.3200000000002</v>
      </c>
      <c r="H633" s="10">
        <f>INDEX(Products!$C$2:$C$101,MATCH(C633,Products!$A$2:$A$101,0))</f>
        <v>10</v>
      </c>
      <c r="I633" s="10" t="str">
        <f>INDEX(Categories!$B$2:$B$11,MATCH(H633,Categories!$A$2:$A$11,0))</f>
        <v>Groceries</v>
      </c>
      <c r="J633" s="19">
        <f>INDEX(Products!$E$2:$E$101,MATCH(C633,Products!$A$2:$A$101,0))</f>
        <v>162.65</v>
      </c>
      <c r="K633" s="19">
        <f t="shared" si="28"/>
        <v>975.90000000000009</v>
      </c>
      <c r="L633" s="19">
        <f t="shared" si="29"/>
        <v>624.42000000000007</v>
      </c>
    </row>
    <row r="634" spans="1:12" ht="15" customHeight="1" x14ac:dyDescent="0.25">
      <c r="A634" s="10">
        <v>633</v>
      </c>
      <c r="B634" s="10">
        <v>200</v>
      </c>
      <c r="C634" s="10">
        <v>88</v>
      </c>
      <c r="D634" s="10">
        <v>2</v>
      </c>
      <c r="E634" s="19">
        <v>188.36</v>
      </c>
      <c r="F634" s="10">
        <v>0</v>
      </c>
      <c r="G634" s="19">
        <f t="shared" si="27"/>
        <v>376.72</v>
      </c>
      <c r="H634" s="10">
        <f>INDEX(Products!$C$2:$C$101,MATCH(C634,Products!$A$2:$A$101,0))</f>
        <v>9</v>
      </c>
      <c r="I634" s="10" t="str">
        <f>INDEX(Categories!$B$2:$B$11,MATCH(H634,Categories!$A$2:$A$11,0))</f>
        <v>Automotive Parts</v>
      </c>
      <c r="J634" s="19">
        <f>INDEX(Products!$E$2:$E$101,MATCH(C634,Products!$A$2:$A$101,0))</f>
        <v>112.11</v>
      </c>
      <c r="K634" s="19">
        <f t="shared" si="28"/>
        <v>224.22</v>
      </c>
      <c r="L634" s="19">
        <f t="shared" si="29"/>
        <v>152.50000000000003</v>
      </c>
    </row>
    <row r="635" spans="1:12" ht="15" customHeight="1" x14ac:dyDescent="0.25">
      <c r="A635" s="10">
        <v>634</v>
      </c>
      <c r="B635" s="10">
        <v>201</v>
      </c>
      <c r="C635" s="10">
        <v>58</v>
      </c>
      <c r="D635" s="10">
        <v>6</v>
      </c>
      <c r="E635" s="19">
        <v>388.55</v>
      </c>
      <c r="F635" s="10">
        <v>0</v>
      </c>
      <c r="G635" s="19">
        <f t="shared" si="27"/>
        <v>2331.3000000000002</v>
      </c>
      <c r="H635" s="10">
        <f>INDEX(Products!$C$2:$C$101,MATCH(C635,Products!$A$2:$A$101,0))</f>
        <v>6</v>
      </c>
      <c r="I635" s="10" t="str">
        <f>INDEX(Categories!$B$2:$B$11,MATCH(H635,Categories!$A$2:$A$11,0))</f>
        <v>Sporting Goods</v>
      </c>
      <c r="J635" s="19">
        <f>INDEX(Products!$E$2:$E$101,MATCH(C635,Products!$A$2:$A$101,0))</f>
        <v>203.95</v>
      </c>
      <c r="K635" s="19">
        <f t="shared" si="28"/>
        <v>1223.6999999999998</v>
      </c>
      <c r="L635" s="19">
        <f t="shared" si="29"/>
        <v>1107.6000000000004</v>
      </c>
    </row>
    <row r="636" spans="1:12" ht="15" customHeight="1" x14ac:dyDescent="0.25">
      <c r="A636" s="10">
        <v>635</v>
      </c>
      <c r="B636" s="10">
        <v>201</v>
      </c>
      <c r="C636" s="10">
        <v>81</v>
      </c>
      <c r="D636" s="10">
        <v>7</v>
      </c>
      <c r="E636" s="19">
        <v>529</v>
      </c>
      <c r="F636" s="10">
        <v>0.15</v>
      </c>
      <c r="G636" s="19">
        <f t="shared" si="27"/>
        <v>3147.5499999999997</v>
      </c>
      <c r="H636" s="10">
        <f>INDEX(Products!$C$2:$C$101,MATCH(C636,Products!$A$2:$A$101,0))</f>
        <v>9</v>
      </c>
      <c r="I636" s="10" t="str">
        <f>INDEX(Categories!$B$2:$B$11,MATCH(H636,Categories!$A$2:$A$11,0))</f>
        <v>Automotive Parts</v>
      </c>
      <c r="J636" s="19">
        <f>INDEX(Products!$E$2:$E$101,MATCH(C636,Products!$A$2:$A$101,0))</f>
        <v>249.36</v>
      </c>
      <c r="K636" s="19">
        <f t="shared" si="28"/>
        <v>1745.52</v>
      </c>
      <c r="L636" s="19">
        <f t="shared" si="29"/>
        <v>1402.0299999999997</v>
      </c>
    </row>
    <row r="637" spans="1:12" ht="15" customHeight="1" x14ac:dyDescent="0.25">
      <c r="A637" s="10">
        <v>636</v>
      </c>
      <c r="B637" s="10">
        <v>201</v>
      </c>
      <c r="C637" s="10">
        <v>52</v>
      </c>
      <c r="D637" s="10">
        <v>2</v>
      </c>
      <c r="E637" s="19">
        <v>469.43</v>
      </c>
      <c r="F637" s="10">
        <v>0.1</v>
      </c>
      <c r="G637" s="19">
        <f t="shared" si="27"/>
        <v>844.97400000000005</v>
      </c>
      <c r="H637" s="10">
        <f>INDEX(Products!$C$2:$C$101,MATCH(C637,Products!$A$2:$A$101,0))</f>
        <v>6</v>
      </c>
      <c r="I637" s="10" t="str">
        <f>INDEX(Categories!$B$2:$B$11,MATCH(H637,Categories!$A$2:$A$11,0))</f>
        <v>Sporting Goods</v>
      </c>
      <c r="J637" s="19">
        <f>INDEX(Products!$E$2:$E$101,MATCH(C637,Products!$A$2:$A$101,0))</f>
        <v>222.69</v>
      </c>
      <c r="K637" s="19">
        <f t="shared" si="28"/>
        <v>445.38</v>
      </c>
      <c r="L637" s="19">
        <f t="shared" si="29"/>
        <v>399.59400000000005</v>
      </c>
    </row>
    <row r="638" spans="1:12" ht="15" customHeight="1" x14ac:dyDescent="0.25">
      <c r="A638" s="10">
        <v>637</v>
      </c>
      <c r="B638" s="10">
        <v>201</v>
      </c>
      <c r="C638" s="10">
        <v>56</v>
      </c>
      <c r="D638" s="10">
        <v>1</v>
      </c>
      <c r="E638" s="19">
        <v>440.37</v>
      </c>
      <c r="F638" s="10">
        <v>0.15</v>
      </c>
      <c r="G638" s="19">
        <f t="shared" si="27"/>
        <v>374.31450000000001</v>
      </c>
      <c r="H638" s="10">
        <f>INDEX(Products!$C$2:$C$101,MATCH(C638,Products!$A$2:$A$101,0))</f>
        <v>6</v>
      </c>
      <c r="I638" s="10" t="str">
        <f>INDEX(Categories!$B$2:$B$11,MATCH(H638,Categories!$A$2:$A$11,0))</f>
        <v>Sporting Goods</v>
      </c>
      <c r="J638" s="19">
        <f>INDEX(Products!$E$2:$E$101,MATCH(C638,Products!$A$2:$A$101,0))</f>
        <v>242.36</v>
      </c>
      <c r="K638" s="19">
        <f t="shared" si="28"/>
        <v>242.36</v>
      </c>
      <c r="L638" s="19">
        <f t="shared" si="29"/>
        <v>131.9545</v>
      </c>
    </row>
    <row r="639" spans="1:12" ht="15" customHeight="1" x14ac:dyDescent="0.25">
      <c r="A639" s="10">
        <v>638</v>
      </c>
      <c r="B639" s="10">
        <v>202</v>
      </c>
      <c r="C639" s="10">
        <v>38</v>
      </c>
      <c r="D639" s="10">
        <v>5</v>
      </c>
      <c r="E639" s="19">
        <v>146.91999999999999</v>
      </c>
      <c r="F639" s="10">
        <v>0.1</v>
      </c>
      <c r="G639" s="19">
        <f t="shared" si="27"/>
        <v>661.14</v>
      </c>
      <c r="H639" s="10">
        <f>INDEX(Products!$C$2:$C$101,MATCH(C639,Products!$A$2:$A$101,0))</f>
        <v>4</v>
      </c>
      <c r="I639" s="10" t="str">
        <f>INDEX(Categories!$B$2:$B$11,MATCH(H639,Categories!$A$2:$A$11,0))</f>
        <v>Apparel</v>
      </c>
      <c r="J639" s="19">
        <f>INDEX(Products!$E$2:$E$101,MATCH(C639,Products!$A$2:$A$101,0))</f>
        <v>65.36</v>
      </c>
      <c r="K639" s="19">
        <f t="shared" si="28"/>
        <v>326.8</v>
      </c>
      <c r="L639" s="19">
        <f t="shared" si="29"/>
        <v>334.34</v>
      </c>
    </row>
    <row r="640" spans="1:12" ht="15" customHeight="1" x14ac:dyDescent="0.25">
      <c r="A640" s="10">
        <v>639</v>
      </c>
      <c r="B640" s="10">
        <v>203</v>
      </c>
      <c r="C640" s="10">
        <v>18</v>
      </c>
      <c r="D640" s="10">
        <v>7</v>
      </c>
      <c r="E640" s="19">
        <v>185.81</v>
      </c>
      <c r="F640" s="10">
        <v>0.2</v>
      </c>
      <c r="G640" s="19">
        <f t="shared" si="27"/>
        <v>1040.5360000000001</v>
      </c>
      <c r="H640" s="10">
        <f>INDEX(Products!$C$2:$C$101,MATCH(C640,Products!$A$2:$A$101,0))</f>
        <v>2</v>
      </c>
      <c r="I640" s="10" t="str">
        <f>INDEX(Categories!$B$2:$B$11,MATCH(H640,Categories!$A$2:$A$11,0))</f>
        <v>Office Supplies</v>
      </c>
      <c r="J640" s="19">
        <f>INDEX(Products!$E$2:$E$101,MATCH(C640,Products!$A$2:$A$101,0))</f>
        <v>108.81</v>
      </c>
      <c r="K640" s="19">
        <f t="shared" si="28"/>
        <v>761.67000000000007</v>
      </c>
      <c r="L640" s="19">
        <f t="shared" si="29"/>
        <v>278.86599999999999</v>
      </c>
    </row>
    <row r="641" spans="1:12" ht="15" customHeight="1" x14ac:dyDescent="0.25">
      <c r="A641" s="10">
        <v>640</v>
      </c>
      <c r="B641" s="10">
        <v>203</v>
      </c>
      <c r="C641" s="10">
        <v>96</v>
      </c>
      <c r="D641" s="10">
        <v>9</v>
      </c>
      <c r="E641" s="19">
        <v>266.72000000000003</v>
      </c>
      <c r="F641" s="10">
        <v>0</v>
      </c>
      <c r="G641" s="19">
        <f t="shared" si="27"/>
        <v>2400.4800000000005</v>
      </c>
      <c r="H641" s="10">
        <f>INDEX(Products!$C$2:$C$101,MATCH(C641,Products!$A$2:$A$101,0))</f>
        <v>10</v>
      </c>
      <c r="I641" s="10" t="str">
        <f>INDEX(Categories!$B$2:$B$11,MATCH(H641,Categories!$A$2:$A$11,0))</f>
        <v>Groceries</v>
      </c>
      <c r="J641" s="19">
        <f>INDEX(Products!$E$2:$E$101,MATCH(C641,Products!$A$2:$A$101,0))</f>
        <v>162.65</v>
      </c>
      <c r="K641" s="19">
        <f t="shared" si="28"/>
        <v>1463.8500000000001</v>
      </c>
      <c r="L641" s="19">
        <f t="shared" si="29"/>
        <v>936.63000000000034</v>
      </c>
    </row>
    <row r="642" spans="1:12" ht="15" customHeight="1" x14ac:dyDescent="0.25">
      <c r="A642" s="10">
        <v>641</v>
      </c>
      <c r="B642" s="10">
        <v>204</v>
      </c>
      <c r="C642" s="10">
        <v>51</v>
      </c>
      <c r="D642" s="10">
        <v>4</v>
      </c>
      <c r="E642" s="19">
        <v>436.43</v>
      </c>
      <c r="F642" s="10">
        <v>0.15</v>
      </c>
      <c r="G642" s="19">
        <f t="shared" ref="G642:G705" si="30">D642*E642*(1-F642)</f>
        <v>1483.8620000000001</v>
      </c>
      <c r="H642" s="10">
        <f>INDEX(Products!$C$2:$C$101,MATCH(C642,Products!$A$2:$A$101,0))</f>
        <v>6</v>
      </c>
      <c r="I642" s="10" t="str">
        <f>INDEX(Categories!$B$2:$B$11,MATCH(H642,Categories!$A$2:$A$11,0))</f>
        <v>Sporting Goods</v>
      </c>
      <c r="J642" s="19">
        <f>INDEX(Products!$E$2:$E$101,MATCH(C642,Products!$A$2:$A$101,0))</f>
        <v>235.84</v>
      </c>
      <c r="K642" s="19">
        <f t="shared" ref="K642:K705" si="31">D642*J642</f>
        <v>943.36</v>
      </c>
      <c r="L642" s="19">
        <f t="shared" ref="L642:L705" si="32">G642-K642</f>
        <v>540.50200000000007</v>
      </c>
    </row>
    <row r="643" spans="1:12" ht="15" customHeight="1" x14ac:dyDescent="0.25">
      <c r="A643" s="10">
        <v>642</v>
      </c>
      <c r="B643" s="10">
        <v>204</v>
      </c>
      <c r="C643" s="10">
        <v>69</v>
      </c>
      <c r="D643" s="10">
        <v>6</v>
      </c>
      <c r="E643" s="19">
        <v>188.38</v>
      </c>
      <c r="F643" s="10">
        <v>0</v>
      </c>
      <c r="G643" s="19">
        <f t="shared" si="30"/>
        <v>1130.28</v>
      </c>
      <c r="H643" s="10">
        <f>INDEX(Products!$C$2:$C$101,MATCH(C643,Products!$A$2:$A$101,0))</f>
        <v>7</v>
      </c>
      <c r="I643" s="10" t="str">
        <f>INDEX(Categories!$B$2:$B$11,MATCH(H643,Categories!$A$2:$A$11,0))</f>
        <v>Toys &amp; Games</v>
      </c>
      <c r="J643" s="19">
        <f>INDEX(Products!$E$2:$E$101,MATCH(C643,Products!$A$2:$A$101,0))</f>
        <v>86.95</v>
      </c>
      <c r="K643" s="19">
        <f t="shared" si="31"/>
        <v>521.70000000000005</v>
      </c>
      <c r="L643" s="19">
        <f t="shared" si="32"/>
        <v>608.57999999999993</v>
      </c>
    </row>
    <row r="644" spans="1:12" ht="15" customHeight="1" x14ac:dyDescent="0.25">
      <c r="A644" s="10">
        <v>643</v>
      </c>
      <c r="B644" s="10">
        <v>204</v>
      </c>
      <c r="C644" s="10">
        <v>71</v>
      </c>
      <c r="D644" s="10">
        <v>7</v>
      </c>
      <c r="E644" s="19">
        <v>228.48</v>
      </c>
      <c r="F644" s="10">
        <v>0.15</v>
      </c>
      <c r="G644" s="19">
        <f t="shared" si="30"/>
        <v>1359.4559999999999</v>
      </c>
      <c r="H644" s="10">
        <f>INDEX(Products!$C$2:$C$101,MATCH(C644,Products!$A$2:$A$101,0))</f>
        <v>8</v>
      </c>
      <c r="I644" s="10" t="str">
        <f>INDEX(Categories!$B$2:$B$11,MATCH(H644,Categories!$A$2:$A$11,0))</f>
        <v>Health &amp; Beauty</v>
      </c>
      <c r="J644" s="19">
        <f>INDEX(Products!$E$2:$E$101,MATCH(C644,Products!$A$2:$A$101,0))</f>
        <v>136.03</v>
      </c>
      <c r="K644" s="19">
        <f t="shared" si="31"/>
        <v>952.21</v>
      </c>
      <c r="L644" s="19">
        <f t="shared" si="32"/>
        <v>407.24599999999987</v>
      </c>
    </row>
    <row r="645" spans="1:12" ht="15" customHeight="1" x14ac:dyDescent="0.25">
      <c r="A645" s="10">
        <v>644</v>
      </c>
      <c r="B645" s="10">
        <v>204</v>
      </c>
      <c r="C645" s="10">
        <v>11</v>
      </c>
      <c r="D645" s="10">
        <v>9</v>
      </c>
      <c r="E645" s="19">
        <v>417.1</v>
      </c>
      <c r="F645" s="10">
        <v>0</v>
      </c>
      <c r="G645" s="19">
        <f t="shared" si="30"/>
        <v>3753.9</v>
      </c>
      <c r="H645" s="10">
        <f>INDEX(Products!$C$2:$C$101,MATCH(C645,Products!$A$2:$A$101,0))</f>
        <v>2</v>
      </c>
      <c r="I645" s="10" t="str">
        <f>INDEX(Categories!$B$2:$B$11,MATCH(H645,Categories!$A$2:$A$11,0))</f>
        <v>Office Supplies</v>
      </c>
      <c r="J645" s="19">
        <f>INDEX(Products!$E$2:$E$101,MATCH(C645,Products!$A$2:$A$101,0))</f>
        <v>210.29</v>
      </c>
      <c r="K645" s="19">
        <f t="shared" si="31"/>
        <v>1892.61</v>
      </c>
      <c r="L645" s="19">
        <f t="shared" si="32"/>
        <v>1861.2900000000002</v>
      </c>
    </row>
    <row r="646" spans="1:12" ht="15" customHeight="1" x14ac:dyDescent="0.25">
      <c r="A646" s="10">
        <v>645</v>
      </c>
      <c r="B646" s="10">
        <v>204</v>
      </c>
      <c r="C646" s="10">
        <v>40</v>
      </c>
      <c r="D646" s="10">
        <v>3</v>
      </c>
      <c r="E646" s="19">
        <v>330.91</v>
      </c>
      <c r="F646" s="10">
        <v>0</v>
      </c>
      <c r="G646" s="19">
        <f t="shared" si="30"/>
        <v>992.73</v>
      </c>
      <c r="H646" s="10">
        <f>INDEX(Products!$C$2:$C$101,MATCH(C646,Products!$A$2:$A$101,0))</f>
        <v>4</v>
      </c>
      <c r="I646" s="10" t="str">
        <f>INDEX(Categories!$B$2:$B$11,MATCH(H646,Categories!$A$2:$A$11,0))</f>
        <v>Apparel</v>
      </c>
      <c r="J646" s="19">
        <f>INDEX(Products!$E$2:$E$101,MATCH(C646,Products!$A$2:$A$101,0))</f>
        <v>237.43</v>
      </c>
      <c r="K646" s="19">
        <f t="shared" si="31"/>
        <v>712.29</v>
      </c>
      <c r="L646" s="19">
        <f t="shared" si="32"/>
        <v>280.44000000000005</v>
      </c>
    </row>
    <row r="647" spans="1:12" ht="15" customHeight="1" x14ac:dyDescent="0.25">
      <c r="A647" s="10">
        <v>646</v>
      </c>
      <c r="B647" s="10">
        <v>205</v>
      </c>
      <c r="C647" s="10">
        <v>10</v>
      </c>
      <c r="D647" s="10">
        <v>2</v>
      </c>
      <c r="E647" s="19">
        <v>395.24</v>
      </c>
      <c r="F647" s="10">
        <v>0</v>
      </c>
      <c r="G647" s="19">
        <f t="shared" si="30"/>
        <v>790.48</v>
      </c>
      <c r="H647" s="10">
        <f>INDEX(Products!$C$2:$C$101,MATCH(C647,Products!$A$2:$A$101,0))</f>
        <v>1</v>
      </c>
      <c r="I647" s="10" t="str">
        <f>INDEX(Categories!$B$2:$B$11,MATCH(H647,Categories!$A$2:$A$11,0))</f>
        <v>Electronics</v>
      </c>
      <c r="J647" s="19">
        <f>INDEX(Products!$E$2:$E$101,MATCH(C647,Products!$A$2:$A$101,0))</f>
        <v>195.96</v>
      </c>
      <c r="K647" s="19">
        <f t="shared" si="31"/>
        <v>391.92</v>
      </c>
      <c r="L647" s="19">
        <f t="shared" si="32"/>
        <v>398.56</v>
      </c>
    </row>
    <row r="648" spans="1:12" ht="15" customHeight="1" x14ac:dyDescent="0.25">
      <c r="A648" s="10">
        <v>647</v>
      </c>
      <c r="B648" s="10">
        <v>205</v>
      </c>
      <c r="C648" s="10">
        <v>38</v>
      </c>
      <c r="D648" s="10">
        <v>10</v>
      </c>
      <c r="E648" s="19">
        <v>146.91999999999999</v>
      </c>
      <c r="F648" s="10">
        <v>0.05</v>
      </c>
      <c r="G648" s="19">
        <f t="shared" si="30"/>
        <v>1395.7399999999998</v>
      </c>
      <c r="H648" s="10">
        <f>INDEX(Products!$C$2:$C$101,MATCH(C648,Products!$A$2:$A$101,0))</f>
        <v>4</v>
      </c>
      <c r="I648" s="10" t="str">
        <f>INDEX(Categories!$B$2:$B$11,MATCH(H648,Categories!$A$2:$A$11,0))</f>
        <v>Apparel</v>
      </c>
      <c r="J648" s="19">
        <f>INDEX(Products!$E$2:$E$101,MATCH(C648,Products!$A$2:$A$101,0))</f>
        <v>65.36</v>
      </c>
      <c r="K648" s="19">
        <f t="shared" si="31"/>
        <v>653.6</v>
      </c>
      <c r="L648" s="19">
        <f t="shared" si="32"/>
        <v>742.13999999999976</v>
      </c>
    </row>
    <row r="649" spans="1:12" ht="15" customHeight="1" x14ac:dyDescent="0.25">
      <c r="A649" s="10">
        <v>648</v>
      </c>
      <c r="B649" s="10">
        <v>205</v>
      </c>
      <c r="C649" s="10">
        <v>86</v>
      </c>
      <c r="D649" s="10">
        <v>6</v>
      </c>
      <c r="E649" s="19">
        <v>69.31</v>
      </c>
      <c r="F649" s="10">
        <v>0</v>
      </c>
      <c r="G649" s="19">
        <f t="shared" si="30"/>
        <v>415.86</v>
      </c>
      <c r="H649" s="10">
        <f>INDEX(Products!$C$2:$C$101,MATCH(C649,Products!$A$2:$A$101,0))</f>
        <v>9</v>
      </c>
      <c r="I649" s="10" t="str">
        <f>INDEX(Categories!$B$2:$B$11,MATCH(H649,Categories!$A$2:$A$11,0))</f>
        <v>Automotive Parts</v>
      </c>
      <c r="J649" s="19">
        <f>INDEX(Products!$E$2:$E$101,MATCH(C649,Products!$A$2:$A$101,0))</f>
        <v>38.35</v>
      </c>
      <c r="K649" s="19">
        <f t="shared" si="31"/>
        <v>230.10000000000002</v>
      </c>
      <c r="L649" s="19">
        <f t="shared" si="32"/>
        <v>185.76</v>
      </c>
    </row>
    <row r="650" spans="1:12" ht="15" customHeight="1" x14ac:dyDescent="0.25">
      <c r="A650" s="10">
        <v>649</v>
      </c>
      <c r="B650" s="10">
        <v>205</v>
      </c>
      <c r="C650" s="10">
        <v>9</v>
      </c>
      <c r="D650" s="10">
        <v>3</v>
      </c>
      <c r="E650" s="19">
        <v>255.18</v>
      </c>
      <c r="F650" s="10">
        <v>0.15</v>
      </c>
      <c r="G650" s="19">
        <f t="shared" si="30"/>
        <v>650.70899999999995</v>
      </c>
      <c r="H650" s="10">
        <f>INDEX(Products!$C$2:$C$101,MATCH(C650,Products!$A$2:$A$101,0))</f>
        <v>1</v>
      </c>
      <c r="I650" s="10" t="str">
        <f>INDEX(Categories!$B$2:$B$11,MATCH(H650,Categories!$A$2:$A$11,0))</f>
        <v>Electronics</v>
      </c>
      <c r="J650" s="19">
        <f>INDEX(Products!$E$2:$E$101,MATCH(C650,Products!$A$2:$A$101,0))</f>
        <v>188.01</v>
      </c>
      <c r="K650" s="19">
        <f t="shared" si="31"/>
        <v>564.03</v>
      </c>
      <c r="L650" s="19">
        <f t="shared" si="32"/>
        <v>86.678999999999974</v>
      </c>
    </row>
    <row r="651" spans="1:12" ht="15" customHeight="1" x14ac:dyDescent="0.25">
      <c r="A651" s="10">
        <v>650</v>
      </c>
      <c r="B651" s="10">
        <v>205</v>
      </c>
      <c r="C651" s="10">
        <v>33</v>
      </c>
      <c r="D651" s="10">
        <v>4</v>
      </c>
      <c r="E651" s="19">
        <v>432.05</v>
      </c>
      <c r="F651" s="10">
        <v>0</v>
      </c>
      <c r="G651" s="19">
        <f t="shared" si="30"/>
        <v>1728.2</v>
      </c>
      <c r="H651" s="10">
        <f>INDEX(Products!$C$2:$C$101,MATCH(C651,Products!$A$2:$A$101,0))</f>
        <v>4</v>
      </c>
      <c r="I651" s="10" t="str">
        <f>INDEX(Categories!$B$2:$B$11,MATCH(H651,Categories!$A$2:$A$11,0))</f>
        <v>Apparel</v>
      </c>
      <c r="J651" s="19">
        <f>INDEX(Products!$E$2:$E$101,MATCH(C651,Products!$A$2:$A$101,0))</f>
        <v>181.97</v>
      </c>
      <c r="K651" s="19">
        <f t="shared" si="31"/>
        <v>727.88</v>
      </c>
      <c r="L651" s="19">
        <f t="shared" si="32"/>
        <v>1000.32</v>
      </c>
    </row>
    <row r="652" spans="1:12" ht="15" customHeight="1" x14ac:dyDescent="0.25">
      <c r="A652" s="10">
        <v>651</v>
      </c>
      <c r="B652" s="10">
        <v>206</v>
      </c>
      <c r="C652" s="10">
        <v>85</v>
      </c>
      <c r="D652" s="10">
        <v>10</v>
      </c>
      <c r="E652" s="19">
        <v>264.20999999999998</v>
      </c>
      <c r="F652" s="10">
        <v>0.1</v>
      </c>
      <c r="G652" s="19">
        <f t="shared" si="30"/>
        <v>2377.89</v>
      </c>
      <c r="H652" s="10">
        <f>INDEX(Products!$C$2:$C$101,MATCH(C652,Products!$A$2:$A$101,0))</f>
        <v>9</v>
      </c>
      <c r="I652" s="10" t="str">
        <f>INDEX(Categories!$B$2:$B$11,MATCH(H652,Categories!$A$2:$A$11,0))</f>
        <v>Automotive Parts</v>
      </c>
      <c r="J652" s="19">
        <f>INDEX(Products!$E$2:$E$101,MATCH(C652,Products!$A$2:$A$101,0))</f>
        <v>153.54</v>
      </c>
      <c r="K652" s="19">
        <f t="shared" si="31"/>
        <v>1535.3999999999999</v>
      </c>
      <c r="L652" s="19">
        <f t="shared" si="32"/>
        <v>842.49</v>
      </c>
    </row>
    <row r="653" spans="1:12" ht="15" customHeight="1" x14ac:dyDescent="0.25">
      <c r="A653" s="10">
        <v>652</v>
      </c>
      <c r="B653" s="10">
        <v>206</v>
      </c>
      <c r="C653" s="10">
        <v>40</v>
      </c>
      <c r="D653" s="10">
        <v>6</v>
      </c>
      <c r="E653" s="19">
        <v>330.91</v>
      </c>
      <c r="F653" s="10">
        <v>0.2</v>
      </c>
      <c r="G653" s="19">
        <f t="shared" si="30"/>
        <v>1588.3680000000002</v>
      </c>
      <c r="H653" s="10">
        <f>INDEX(Products!$C$2:$C$101,MATCH(C653,Products!$A$2:$A$101,0))</f>
        <v>4</v>
      </c>
      <c r="I653" s="10" t="str">
        <f>INDEX(Categories!$B$2:$B$11,MATCH(H653,Categories!$A$2:$A$11,0))</f>
        <v>Apparel</v>
      </c>
      <c r="J653" s="19">
        <f>INDEX(Products!$E$2:$E$101,MATCH(C653,Products!$A$2:$A$101,0))</f>
        <v>237.43</v>
      </c>
      <c r="K653" s="19">
        <f t="shared" si="31"/>
        <v>1424.58</v>
      </c>
      <c r="L653" s="19">
        <f t="shared" si="32"/>
        <v>163.78800000000024</v>
      </c>
    </row>
    <row r="654" spans="1:12" ht="15" customHeight="1" x14ac:dyDescent="0.25">
      <c r="A654" s="10">
        <v>653</v>
      </c>
      <c r="B654" s="10">
        <v>206</v>
      </c>
      <c r="C654" s="10">
        <v>89</v>
      </c>
      <c r="D654" s="10">
        <v>6</v>
      </c>
      <c r="E654" s="19">
        <v>312.76</v>
      </c>
      <c r="F654" s="10">
        <v>0.05</v>
      </c>
      <c r="G654" s="19">
        <f t="shared" si="30"/>
        <v>1782.732</v>
      </c>
      <c r="H654" s="10">
        <f>INDEX(Products!$C$2:$C$101,MATCH(C654,Products!$A$2:$A$101,0))</f>
        <v>9</v>
      </c>
      <c r="I654" s="10" t="str">
        <f>INDEX(Categories!$B$2:$B$11,MATCH(H654,Categories!$A$2:$A$11,0))</f>
        <v>Automotive Parts</v>
      </c>
      <c r="J654" s="19">
        <f>INDEX(Products!$E$2:$E$101,MATCH(C654,Products!$A$2:$A$101,0))</f>
        <v>173.51</v>
      </c>
      <c r="K654" s="19">
        <f t="shared" si="31"/>
        <v>1041.06</v>
      </c>
      <c r="L654" s="19">
        <f t="shared" si="32"/>
        <v>741.67200000000003</v>
      </c>
    </row>
    <row r="655" spans="1:12" ht="15" customHeight="1" x14ac:dyDescent="0.25">
      <c r="A655" s="10">
        <v>654</v>
      </c>
      <c r="B655" s="10">
        <v>206</v>
      </c>
      <c r="C655" s="10">
        <v>75</v>
      </c>
      <c r="D655" s="10">
        <v>3</v>
      </c>
      <c r="E655" s="19">
        <v>347.21</v>
      </c>
      <c r="F655" s="10">
        <v>0</v>
      </c>
      <c r="G655" s="19">
        <f t="shared" si="30"/>
        <v>1041.6299999999999</v>
      </c>
      <c r="H655" s="10">
        <f>INDEX(Products!$C$2:$C$101,MATCH(C655,Products!$A$2:$A$101,0))</f>
        <v>8</v>
      </c>
      <c r="I655" s="10" t="str">
        <f>INDEX(Categories!$B$2:$B$11,MATCH(H655,Categories!$A$2:$A$11,0))</f>
        <v>Health &amp; Beauty</v>
      </c>
      <c r="J655" s="19">
        <f>INDEX(Products!$E$2:$E$101,MATCH(C655,Products!$A$2:$A$101,0))</f>
        <v>241.31</v>
      </c>
      <c r="K655" s="19">
        <f t="shared" si="31"/>
        <v>723.93000000000006</v>
      </c>
      <c r="L655" s="19">
        <f t="shared" si="32"/>
        <v>317.69999999999982</v>
      </c>
    </row>
    <row r="656" spans="1:12" ht="15" customHeight="1" x14ac:dyDescent="0.25">
      <c r="A656" s="10">
        <v>655</v>
      </c>
      <c r="B656" s="10">
        <v>206</v>
      </c>
      <c r="C656" s="10">
        <v>20</v>
      </c>
      <c r="D656" s="10">
        <v>6</v>
      </c>
      <c r="E656" s="19">
        <v>316.14999999999998</v>
      </c>
      <c r="F656" s="10">
        <v>0</v>
      </c>
      <c r="G656" s="19">
        <f t="shared" si="30"/>
        <v>1896.8999999999999</v>
      </c>
      <c r="H656" s="10">
        <f>INDEX(Products!$C$2:$C$101,MATCH(C656,Products!$A$2:$A$101,0))</f>
        <v>2</v>
      </c>
      <c r="I656" s="10" t="str">
        <f>INDEX(Categories!$B$2:$B$11,MATCH(H656,Categories!$A$2:$A$11,0))</f>
        <v>Office Supplies</v>
      </c>
      <c r="J656" s="19">
        <f>INDEX(Products!$E$2:$E$101,MATCH(C656,Products!$A$2:$A$101,0))</f>
        <v>177.71</v>
      </c>
      <c r="K656" s="19">
        <f t="shared" si="31"/>
        <v>1066.26</v>
      </c>
      <c r="L656" s="19">
        <f t="shared" si="32"/>
        <v>830.63999999999987</v>
      </c>
    </row>
    <row r="657" spans="1:12" ht="15" customHeight="1" x14ac:dyDescent="0.25">
      <c r="A657" s="10">
        <v>656</v>
      </c>
      <c r="B657" s="10">
        <v>207</v>
      </c>
      <c r="C657" s="10">
        <v>63</v>
      </c>
      <c r="D657" s="10">
        <v>3</v>
      </c>
      <c r="E657" s="19">
        <v>20.190000000000001</v>
      </c>
      <c r="F657" s="10">
        <v>0.15</v>
      </c>
      <c r="G657" s="19">
        <f t="shared" si="30"/>
        <v>51.484500000000004</v>
      </c>
      <c r="H657" s="10">
        <f>INDEX(Products!$C$2:$C$101,MATCH(C657,Products!$A$2:$A$101,0))</f>
        <v>7</v>
      </c>
      <c r="I657" s="10" t="str">
        <f>INDEX(Categories!$B$2:$B$11,MATCH(H657,Categories!$A$2:$A$11,0))</f>
        <v>Toys &amp; Games</v>
      </c>
      <c r="J657" s="19">
        <f>INDEX(Products!$E$2:$E$101,MATCH(C657,Products!$A$2:$A$101,0))</f>
        <v>10.130000000000001</v>
      </c>
      <c r="K657" s="19">
        <f t="shared" si="31"/>
        <v>30.39</v>
      </c>
      <c r="L657" s="19">
        <f t="shared" si="32"/>
        <v>21.094500000000004</v>
      </c>
    </row>
    <row r="658" spans="1:12" ht="15" customHeight="1" x14ac:dyDescent="0.25">
      <c r="A658" s="10">
        <v>657</v>
      </c>
      <c r="B658" s="10">
        <v>207</v>
      </c>
      <c r="C658" s="10">
        <v>71</v>
      </c>
      <c r="D658" s="10">
        <v>10</v>
      </c>
      <c r="E658" s="19">
        <v>228.48</v>
      </c>
      <c r="F658" s="10">
        <v>0</v>
      </c>
      <c r="G658" s="19">
        <f t="shared" si="30"/>
        <v>2284.7999999999997</v>
      </c>
      <c r="H658" s="10">
        <f>INDEX(Products!$C$2:$C$101,MATCH(C658,Products!$A$2:$A$101,0))</f>
        <v>8</v>
      </c>
      <c r="I658" s="10" t="str">
        <f>INDEX(Categories!$B$2:$B$11,MATCH(H658,Categories!$A$2:$A$11,0))</f>
        <v>Health &amp; Beauty</v>
      </c>
      <c r="J658" s="19">
        <f>INDEX(Products!$E$2:$E$101,MATCH(C658,Products!$A$2:$A$101,0))</f>
        <v>136.03</v>
      </c>
      <c r="K658" s="19">
        <f t="shared" si="31"/>
        <v>1360.3</v>
      </c>
      <c r="L658" s="19">
        <f t="shared" si="32"/>
        <v>924.49999999999977</v>
      </c>
    </row>
    <row r="659" spans="1:12" ht="15" customHeight="1" x14ac:dyDescent="0.25">
      <c r="A659" s="10">
        <v>658</v>
      </c>
      <c r="B659" s="10">
        <v>207</v>
      </c>
      <c r="C659" s="10">
        <v>14</v>
      </c>
      <c r="D659" s="10">
        <v>5</v>
      </c>
      <c r="E659" s="19">
        <v>342.37</v>
      </c>
      <c r="F659" s="10">
        <v>0.2</v>
      </c>
      <c r="G659" s="19">
        <f t="shared" si="30"/>
        <v>1369.48</v>
      </c>
      <c r="H659" s="10">
        <f>INDEX(Products!$C$2:$C$101,MATCH(C659,Products!$A$2:$A$101,0))</f>
        <v>2</v>
      </c>
      <c r="I659" s="10" t="str">
        <f>INDEX(Categories!$B$2:$B$11,MATCH(H659,Categories!$A$2:$A$11,0))</f>
        <v>Office Supplies</v>
      </c>
      <c r="J659" s="19">
        <f>INDEX(Products!$E$2:$E$101,MATCH(C659,Products!$A$2:$A$101,0))</f>
        <v>241.29</v>
      </c>
      <c r="K659" s="19">
        <f t="shared" si="31"/>
        <v>1206.45</v>
      </c>
      <c r="L659" s="19">
        <f t="shared" si="32"/>
        <v>163.02999999999997</v>
      </c>
    </row>
    <row r="660" spans="1:12" ht="15" customHeight="1" x14ac:dyDescent="0.25">
      <c r="A660" s="10">
        <v>659</v>
      </c>
      <c r="B660" s="10">
        <v>208</v>
      </c>
      <c r="C660" s="10">
        <v>99</v>
      </c>
      <c r="D660" s="10">
        <v>9</v>
      </c>
      <c r="E660" s="19">
        <v>329.4</v>
      </c>
      <c r="F660" s="10">
        <v>0</v>
      </c>
      <c r="G660" s="19">
        <f t="shared" si="30"/>
        <v>2964.6</v>
      </c>
      <c r="H660" s="10">
        <f>INDEX(Products!$C$2:$C$101,MATCH(C660,Products!$A$2:$A$101,0))</f>
        <v>10</v>
      </c>
      <c r="I660" s="10" t="str">
        <f>INDEX(Categories!$B$2:$B$11,MATCH(H660,Categories!$A$2:$A$11,0))</f>
        <v>Groceries</v>
      </c>
      <c r="J660" s="19">
        <f>INDEX(Products!$E$2:$E$101,MATCH(C660,Products!$A$2:$A$101,0))</f>
        <v>208.13</v>
      </c>
      <c r="K660" s="19">
        <f t="shared" si="31"/>
        <v>1873.17</v>
      </c>
      <c r="L660" s="19">
        <f t="shared" si="32"/>
        <v>1091.4299999999998</v>
      </c>
    </row>
    <row r="661" spans="1:12" ht="15" customHeight="1" x14ac:dyDescent="0.25">
      <c r="A661" s="10">
        <v>660</v>
      </c>
      <c r="B661" s="10">
        <v>208</v>
      </c>
      <c r="C661" s="10">
        <v>76</v>
      </c>
      <c r="D661" s="10">
        <v>9</v>
      </c>
      <c r="E661" s="19">
        <v>390.64</v>
      </c>
      <c r="F661" s="10">
        <v>0.1</v>
      </c>
      <c r="G661" s="19">
        <f t="shared" si="30"/>
        <v>3164.1839999999997</v>
      </c>
      <c r="H661" s="10">
        <f>INDEX(Products!$C$2:$C$101,MATCH(C661,Products!$A$2:$A$101,0))</f>
        <v>8</v>
      </c>
      <c r="I661" s="10" t="str">
        <f>INDEX(Categories!$B$2:$B$11,MATCH(H661,Categories!$A$2:$A$11,0))</f>
        <v>Health &amp; Beauty</v>
      </c>
      <c r="J661" s="19">
        <f>INDEX(Products!$E$2:$E$101,MATCH(C661,Products!$A$2:$A$101,0))</f>
        <v>218.93</v>
      </c>
      <c r="K661" s="19">
        <f t="shared" si="31"/>
        <v>1970.3700000000001</v>
      </c>
      <c r="L661" s="19">
        <f t="shared" si="32"/>
        <v>1193.8139999999996</v>
      </c>
    </row>
    <row r="662" spans="1:12" ht="15" customHeight="1" x14ac:dyDescent="0.25">
      <c r="A662" s="10">
        <v>661</v>
      </c>
      <c r="B662" s="10">
        <v>208</v>
      </c>
      <c r="C662" s="10">
        <v>28</v>
      </c>
      <c r="D662" s="10">
        <v>8</v>
      </c>
      <c r="E662" s="19">
        <v>149.97</v>
      </c>
      <c r="F662" s="10">
        <v>0.15</v>
      </c>
      <c r="G662" s="19">
        <f t="shared" si="30"/>
        <v>1019.7959999999999</v>
      </c>
      <c r="H662" s="10">
        <f>INDEX(Products!$C$2:$C$101,MATCH(C662,Products!$A$2:$A$101,0))</f>
        <v>3</v>
      </c>
      <c r="I662" s="10" t="str">
        <f>INDEX(Categories!$B$2:$B$11,MATCH(H662,Categories!$A$2:$A$11,0))</f>
        <v>Furniture</v>
      </c>
      <c r="J662" s="19">
        <f>INDEX(Products!$E$2:$E$101,MATCH(C662,Products!$A$2:$A$101,0))</f>
        <v>113.7</v>
      </c>
      <c r="K662" s="19">
        <f t="shared" si="31"/>
        <v>909.6</v>
      </c>
      <c r="L662" s="19">
        <f t="shared" si="32"/>
        <v>110.19599999999991</v>
      </c>
    </row>
    <row r="663" spans="1:12" ht="15" customHeight="1" x14ac:dyDescent="0.25">
      <c r="A663" s="10">
        <v>662</v>
      </c>
      <c r="B663" s="10">
        <v>208</v>
      </c>
      <c r="C663" s="10">
        <v>5</v>
      </c>
      <c r="D663" s="10">
        <v>3</v>
      </c>
      <c r="E663" s="19">
        <v>310.02</v>
      </c>
      <c r="F663" s="10">
        <v>0</v>
      </c>
      <c r="G663" s="19">
        <f t="shared" si="30"/>
        <v>930.06</v>
      </c>
      <c r="H663" s="10">
        <f>INDEX(Products!$C$2:$C$101,MATCH(C663,Products!$A$2:$A$101,0))</f>
        <v>1</v>
      </c>
      <c r="I663" s="10" t="str">
        <f>INDEX(Categories!$B$2:$B$11,MATCH(H663,Categories!$A$2:$A$11,0))</f>
        <v>Electronics</v>
      </c>
      <c r="J663" s="19">
        <f>INDEX(Products!$E$2:$E$101,MATCH(C663,Products!$A$2:$A$101,0))</f>
        <v>134.93</v>
      </c>
      <c r="K663" s="19">
        <f t="shared" si="31"/>
        <v>404.79</v>
      </c>
      <c r="L663" s="19">
        <f t="shared" si="32"/>
        <v>525.27</v>
      </c>
    </row>
    <row r="664" spans="1:12" ht="15" customHeight="1" x14ac:dyDescent="0.25">
      <c r="A664" s="10">
        <v>663</v>
      </c>
      <c r="B664" s="10">
        <v>209</v>
      </c>
      <c r="C664" s="10">
        <v>51</v>
      </c>
      <c r="D664" s="10">
        <v>6</v>
      </c>
      <c r="E664" s="19">
        <v>436.43</v>
      </c>
      <c r="F664" s="10">
        <v>0.1</v>
      </c>
      <c r="G664" s="19">
        <f t="shared" si="30"/>
        <v>2356.7220000000002</v>
      </c>
      <c r="H664" s="10">
        <f>INDEX(Products!$C$2:$C$101,MATCH(C664,Products!$A$2:$A$101,0))</f>
        <v>6</v>
      </c>
      <c r="I664" s="10" t="str">
        <f>INDEX(Categories!$B$2:$B$11,MATCH(H664,Categories!$A$2:$A$11,0))</f>
        <v>Sporting Goods</v>
      </c>
      <c r="J664" s="19">
        <f>INDEX(Products!$E$2:$E$101,MATCH(C664,Products!$A$2:$A$101,0))</f>
        <v>235.84</v>
      </c>
      <c r="K664" s="19">
        <f t="shared" si="31"/>
        <v>1415.04</v>
      </c>
      <c r="L664" s="19">
        <f t="shared" si="32"/>
        <v>941.68200000000024</v>
      </c>
    </row>
    <row r="665" spans="1:12" ht="15" customHeight="1" x14ac:dyDescent="0.25">
      <c r="A665" s="10">
        <v>664</v>
      </c>
      <c r="B665" s="10">
        <v>210</v>
      </c>
      <c r="C665" s="10">
        <v>85</v>
      </c>
      <c r="D665" s="10">
        <v>6</v>
      </c>
      <c r="E665" s="19">
        <v>264.20999999999998</v>
      </c>
      <c r="F665" s="10">
        <v>0</v>
      </c>
      <c r="G665" s="19">
        <f t="shared" si="30"/>
        <v>1585.2599999999998</v>
      </c>
      <c r="H665" s="10">
        <f>INDEX(Products!$C$2:$C$101,MATCH(C665,Products!$A$2:$A$101,0))</f>
        <v>9</v>
      </c>
      <c r="I665" s="10" t="str">
        <f>INDEX(Categories!$B$2:$B$11,MATCH(H665,Categories!$A$2:$A$11,0))</f>
        <v>Automotive Parts</v>
      </c>
      <c r="J665" s="19">
        <f>INDEX(Products!$E$2:$E$101,MATCH(C665,Products!$A$2:$A$101,0))</f>
        <v>153.54</v>
      </c>
      <c r="K665" s="19">
        <f t="shared" si="31"/>
        <v>921.24</v>
      </c>
      <c r="L665" s="19">
        <f t="shared" si="32"/>
        <v>664.01999999999975</v>
      </c>
    </row>
    <row r="666" spans="1:12" ht="15" customHeight="1" x14ac:dyDescent="0.25">
      <c r="A666" s="10">
        <v>665</v>
      </c>
      <c r="B666" s="10">
        <v>210</v>
      </c>
      <c r="C666" s="10">
        <v>19</v>
      </c>
      <c r="D666" s="10">
        <v>4</v>
      </c>
      <c r="E666" s="19">
        <v>291.89</v>
      </c>
      <c r="F666" s="10">
        <v>0.2</v>
      </c>
      <c r="G666" s="19">
        <f t="shared" si="30"/>
        <v>934.048</v>
      </c>
      <c r="H666" s="10">
        <f>INDEX(Products!$C$2:$C$101,MATCH(C666,Products!$A$2:$A$101,0))</f>
        <v>2</v>
      </c>
      <c r="I666" s="10" t="str">
        <f>INDEX(Categories!$B$2:$B$11,MATCH(H666,Categories!$A$2:$A$11,0))</f>
        <v>Office Supplies</v>
      </c>
      <c r="J666" s="19">
        <f>INDEX(Products!$E$2:$E$101,MATCH(C666,Products!$A$2:$A$101,0))</f>
        <v>206.12</v>
      </c>
      <c r="K666" s="19">
        <f t="shared" si="31"/>
        <v>824.48</v>
      </c>
      <c r="L666" s="19">
        <f t="shared" si="32"/>
        <v>109.56799999999998</v>
      </c>
    </row>
    <row r="667" spans="1:12" ht="15" customHeight="1" x14ac:dyDescent="0.25">
      <c r="A667" s="10">
        <v>666</v>
      </c>
      <c r="B667" s="10">
        <v>210</v>
      </c>
      <c r="C667" s="10">
        <v>95</v>
      </c>
      <c r="D667" s="10">
        <v>8</v>
      </c>
      <c r="E667" s="19">
        <v>394.56</v>
      </c>
      <c r="F667" s="10">
        <v>0</v>
      </c>
      <c r="G667" s="19">
        <f t="shared" si="30"/>
        <v>3156.48</v>
      </c>
      <c r="H667" s="10">
        <f>INDEX(Products!$C$2:$C$101,MATCH(C667,Products!$A$2:$A$101,0))</f>
        <v>10</v>
      </c>
      <c r="I667" s="10" t="str">
        <f>INDEX(Categories!$B$2:$B$11,MATCH(H667,Categories!$A$2:$A$11,0))</f>
        <v>Groceries</v>
      </c>
      <c r="J667" s="19">
        <f>INDEX(Products!$E$2:$E$101,MATCH(C667,Products!$A$2:$A$101,0))</f>
        <v>192.57</v>
      </c>
      <c r="K667" s="19">
        <f t="shared" si="31"/>
        <v>1540.56</v>
      </c>
      <c r="L667" s="19">
        <f t="shared" si="32"/>
        <v>1615.92</v>
      </c>
    </row>
    <row r="668" spans="1:12" ht="15" customHeight="1" x14ac:dyDescent="0.25">
      <c r="A668" s="10">
        <v>667</v>
      </c>
      <c r="B668" s="10">
        <v>210</v>
      </c>
      <c r="C668" s="10">
        <v>94</v>
      </c>
      <c r="D668" s="10">
        <v>2</v>
      </c>
      <c r="E668" s="19">
        <v>309.85000000000002</v>
      </c>
      <c r="F668" s="10">
        <v>0</v>
      </c>
      <c r="G668" s="19">
        <f t="shared" si="30"/>
        <v>619.70000000000005</v>
      </c>
      <c r="H668" s="10">
        <f>INDEX(Products!$C$2:$C$101,MATCH(C668,Products!$A$2:$A$101,0))</f>
        <v>10</v>
      </c>
      <c r="I668" s="10" t="str">
        <f>INDEX(Categories!$B$2:$B$11,MATCH(H668,Categories!$A$2:$A$11,0))</f>
        <v>Groceries</v>
      </c>
      <c r="J668" s="19">
        <f>INDEX(Products!$E$2:$E$101,MATCH(C668,Products!$A$2:$A$101,0))</f>
        <v>201.08</v>
      </c>
      <c r="K668" s="19">
        <f t="shared" si="31"/>
        <v>402.16</v>
      </c>
      <c r="L668" s="19">
        <f t="shared" si="32"/>
        <v>217.54000000000002</v>
      </c>
    </row>
    <row r="669" spans="1:12" ht="15" customHeight="1" x14ac:dyDescent="0.25">
      <c r="A669" s="10">
        <v>668</v>
      </c>
      <c r="B669" s="10">
        <v>210</v>
      </c>
      <c r="C669" s="10">
        <v>62</v>
      </c>
      <c r="D669" s="10">
        <v>6</v>
      </c>
      <c r="E669" s="19">
        <v>321.75</v>
      </c>
      <c r="F669" s="10">
        <v>0</v>
      </c>
      <c r="G669" s="19">
        <f t="shared" si="30"/>
        <v>1930.5</v>
      </c>
      <c r="H669" s="10">
        <f>INDEX(Products!$C$2:$C$101,MATCH(C669,Products!$A$2:$A$101,0))</f>
        <v>7</v>
      </c>
      <c r="I669" s="10" t="str">
        <f>INDEX(Categories!$B$2:$B$11,MATCH(H669,Categories!$A$2:$A$11,0))</f>
        <v>Toys &amp; Games</v>
      </c>
      <c r="J669" s="19">
        <f>INDEX(Products!$E$2:$E$101,MATCH(C669,Products!$A$2:$A$101,0))</f>
        <v>138.66</v>
      </c>
      <c r="K669" s="19">
        <f t="shared" si="31"/>
        <v>831.96</v>
      </c>
      <c r="L669" s="19">
        <f t="shared" si="32"/>
        <v>1098.54</v>
      </c>
    </row>
    <row r="670" spans="1:12" ht="15" customHeight="1" x14ac:dyDescent="0.25">
      <c r="A670" s="10">
        <v>669</v>
      </c>
      <c r="B670" s="10">
        <v>211</v>
      </c>
      <c r="C670" s="10">
        <v>84</v>
      </c>
      <c r="D670" s="10">
        <v>6</v>
      </c>
      <c r="E670" s="19">
        <v>258</v>
      </c>
      <c r="F670" s="10">
        <v>0</v>
      </c>
      <c r="G670" s="19">
        <f t="shared" si="30"/>
        <v>1548</v>
      </c>
      <c r="H670" s="10">
        <f>INDEX(Products!$C$2:$C$101,MATCH(C670,Products!$A$2:$A$101,0))</f>
        <v>9</v>
      </c>
      <c r="I670" s="10" t="str">
        <f>INDEX(Categories!$B$2:$B$11,MATCH(H670,Categories!$A$2:$A$11,0))</f>
        <v>Automotive Parts</v>
      </c>
      <c r="J670" s="19">
        <f>INDEX(Products!$E$2:$E$101,MATCH(C670,Products!$A$2:$A$101,0))</f>
        <v>134.19999999999999</v>
      </c>
      <c r="K670" s="19">
        <f t="shared" si="31"/>
        <v>805.19999999999993</v>
      </c>
      <c r="L670" s="19">
        <f t="shared" si="32"/>
        <v>742.80000000000007</v>
      </c>
    </row>
    <row r="671" spans="1:12" ht="15" customHeight="1" x14ac:dyDescent="0.25">
      <c r="A671" s="10">
        <v>670</v>
      </c>
      <c r="B671" s="10">
        <v>212</v>
      </c>
      <c r="C671" s="10">
        <v>29</v>
      </c>
      <c r="D671" s="10">
        <v>6</v>
      </c>
      <c r="E671" s="19">
        <v>152.52000000000001</v>
      </c>
      <c r="F671" s="10">
        <v>0.05</v>
      </c>
      <c r="G671" s="19">
        <f t="shared" si="30"/>
        <v>869.36400000000003</v>
      </c>
      <c r="H671" s="10">
        <f>INDEX(Products!$C$2:$C$101,MATCH(C671,Products!$A$2:$A$101,0))</f>
        <v>3</v>
      </c>
      <c r="I671" s="10" t="str">
        <f>INDEX(Categories!$B$2:$B$11,MATCH(H671,Categories!$A$2:$A$11,0))</f>
        <v>Furniture</v>
      </c>
      <c r="J671" s="19">
        <f>INDEX(Products!$E$2:$E$101,MATCH(C671,Products!$A$2:$A$101,0))</f>
        <v>78.63</v>
      </c>
      <c r="K671" s="19">
        <f t="shared" si="31"/>
        <v>471.78</v>
      </c>
      <c r="L671" s="19">
        <f t="shared" si="32"/>
        <v>397.58400000000006</v>
      </c>
    </row>
    <row r="672" spans="1:12" ht="15" customHeight="1" x14ac:dyDescent="0.25">
      <c r="A672" s="10">
        <v>671</v>
      </c>
      <c r="B672" s="10">
        <v>212</v>
      </c>
      <c r="C672" s="10">
        <v>67</v>
      </c>
      <c r="D672" s="10">
        <v>8</v>
      </c>
      <c r="E672" s="19">
        <v>120.48</v>
      </c>
      <c r="F672" s="10">
        <v>0.1</v>
      </c>
      <c r="G672" s="19">
        <f t="shared" si="30"/>
        <v>867.45600000000002</v>
      </c>
      <c r="H672" s="10">
        <f>INDEX(Products!$C$2:$C$101,MATCH(C672,Products!$A$2:$A$101,0))</f>
        <v>7</v>
      </c>
      <c r="I672" s="10" t="str">
        <f>INDEX(Categories!$B$2:$B$11,MATCH(H672,Categories!$A$2:$A$11,0))</f>
        <v>Toys &amp; Games</v>
      </c>
      <c r="J672" s="19">
        <f>INDEX(Products!$E$2:$E$101,MATCH(C672,Products!$A$2:$A$101,0))</f>
        <v>63.2</v>
      </c>
      <c r="K672" s="19">
        <f t="shared" si="31"/>
        <v>505.6</v>
      </c>
      <c r="L672" s="19">
        <f t="shared" si="32"/>
        <v>361.85599999999999</v>
      </c>
    </row>
    <row r="673" spans="1:12" ht="15" customHeight="1" x14ac:dyDescent="0.25">
      <c r="A673" s="10">
        <v>672</v>
      </c>
      <c r="B673" s="10">
        <v>212</v>
      </c>
      <c r="C673" s="10">
        <v>52</v>
      </c>
      <c r="D673" s="10">
        <v>1</v>
      </c>
      <c r="E673" s="19">
        <v>469.43</v>
      </c>
      <c r="F673" s="10">
        <v>0.1</v>
      </c>
      <c r="G673" s="19">
        <f t="shared" si="30"/>
        <v>422.48700000000002</v>
      </c>
      <c r="H673" s="10">
        <f>INDEX(Products!$C$2:$C$101,MATCH(C673,Products!$A$2:$A$101,0))</f>
        <v>6</v>
      </c>
      <c r="I673" s="10" t="str">
        <f>INDEX(Categories!$B$2:$B$11,MATCH(H673,Categories!$A$2:$A$11,0))</f>
        <v>Sporting Goods</v>
      </c>
      <c r="J673" s="19">
        <f>INDEX(Products!$E$2:$E$101,MATCH(C673,Products!$A$2:$A$101,0))</f>
        <v>222.69</v>
      </c>
      <c r="K673" s="19">
        <f t="shared" si="31"/>
        <v>222.69</v>
      </c>
      <c r="L673" s="19">
        <f t="shared" si="32"/>
        <v>199.79700000000003</v>
      </c>
    </row>
    <row r="674" spans="1:12" ht="15" customHeight="1" x14ac:dyDescent="0.25">
      <c r="A674" s="10">
        <v>673</v>
      </c>
      <c r="B674" s="10">
        <v>212</v>
      </c>
      <c r="C674" s="10">
        <v>46</v>
      </c>
      <c r="D674" s="10">
        <v>3</v>
      </c>
      <c r="E674" s="19">
        <v>125.01</v>
      </c>
      <c r="F674" s="10">
        <v>0.05</v>
      </c>
      <c r="G674" s="19">
        <f t="shared" si="30"/>
        <v>356.27850000000001</v>
      </c>
      <c r="H674" s="10">
        <f>INDEX(Products!$C$2:$C$101,MATCH(C674,Products!$A$2:$A$101,0))</f>
        <v>5</v>
      </c>
      <c r="I674" s="10" t="str">
        <f>INDEX(Categories!$B$2:$B$11,MATCH(H674,Categories!$A$2:$A$11,0))</f>
        <v>Home &amp; Kitchen</v>
      </c>
      <c r="J674" s="19">
        <f>INDEX(Products!$E$2:$E$101,MATCH(C674,Products!$A$2:$A$101,0))</f>
        <v>60.17</v>
      </c>
      <c r="K674" s="19">
        <f t="shared" si="31"/>
        <v>180.51</v>
      </c>
      <c r="L674" s="19">
        <f t="shared" si="32"/>
        <v>175.76850000000002</v>
      </c>
    </row>
    <row r="675" spans="1:12" ht="15" customHeight="1" x14ac:dyDescent="0.25">
      <c r="A675" s="10">
        <v>674</v>
      </c>
      <c r="B675" s="10">
        <v>213</v>
      </c>
      <c r="C675" s="10">
        <v>78</v>
      </c>
      <c r="D675" s="10">
        <v>4</v>
      </c>
      <c r="E675" s="19">
        <v>178.61</v>
      </c>
      <c r="F675" s="10">
        <v>0.05</v>
      </c>
      <c r="G675" s="19">
        <f t="shared" si="30"/>
        <v>678.71800000000007</v>
      </c>
      <c r="H675" s="10">
        <f>INDEX(Products!$C$2:$C$101,MATCH(C675,Products!$A$2:$A$101,0))</f>
        <v>8</v>
      </c>
      <c r="I675" s="10" t="str">
        <f>INDEX(Categories!$B$2:$B$11,MATCH(H675,Categories!$A$2:$A$11,0))</f>
        <v>Health &amp; Beauty</v>
      </c>
      <c r="J675" s="19">
        <f>INDEX(Products!$E$2:$E$101,MATCH(C675,Products!$A$2:$A$101,0))</f>
        <v>86.62</v>
      </c>
      <c r="K675" s="19">
        <f t="shared" si="31"/>
        <v>346.48</v>
      </c>
      <c r="L675" s="19">
        <f t="shared" si="32"/>
        <v>332.23800000000006</v>
      </c>
    </row>
    <row r="676" spans="1:12" ht="15" customHeight="1" x14ac:dyDescent="0.25">
      <c r="A676" s="10">
        <v>675</v>
      </c>
      <c r="B676" s="10">
        <v>213</v>
      </c>
      <c r="C676" s="10">
        <v>92</v>
      </c>
      <c r="D676" s="10">
        <v>6</v>
      </c>
      <c r="E676" s="19">
        <v>467.17</v>
      </c>
      <c r="F676" s="10">
        <v>0.15</v>
      </c>
      <c r="G676" s="19">
        <f t="shared" si="30"/>
        <v>2382.567</v>
      </c>
      <c r="H676" s="10">
        <f>INDEX(Products!$C$2:$C$101,MATCH(C676,Products!$A$2:$A$101,0))</f>
        <v>10</v>
      </c>
      <c r="I676" s="10" t="str">
        <f>INDEX(Categories!$B$2:$B$11,MATCH(H676,Categories!$A$2:$A$11,0))</f>
        <v>Groceries</v>
      </c>
      <c r="J676" s="19">
        <f>INDEX(Products!$E$2:$E$101,MATCH(C676,Products!$A$2:$A$101,0))</f>
        <v>216.67</v>
      </c>
      <c r="K676" s="19">
        <f t="shared" si="31"/>
        <v>1300.02</v>
      </c>
      <c r="L676" s="19">
        <f t="shared" si="32"/>
        <v>1082.547</v>
      </c>
    </row>
    <row r="677" spans="1:12" ht="15" customHeight="1" x14ac:dyDescent="0.25">
      <c r="A677" s="10">
        <v>676</v>
      </c>
      <c r="B677" s="10">
        <v>213</v>
      </c>
      <c r="C677" s="10">
        <v>16</v>
      </c>
      <c r="D677" s="10">
        <v>2</v>
      </c>
      <c r="E677" s="19">
        <v>345.42</v>
      </c>
      <c r="F677" s="10">
        <v>0.05</v>
      </c>
      <c r="G677" s="19">
        <f t="shared" si="30"/>
        <v>656.298</v>
      </c>
      <c r="H677" s="10">
        <f>INDEX(Products!$C$2:$C$101,MATCH(C677,Products!$A$2:$A$101,0))</f>
        <v>2</v>
      </c>
      <c r="I677" s="10" t="str">
        <f>INDEX(Categories!$B$2:$B$11,MATCH(H677,Categories!$A$2:$A$11,0))</f>
        <v>Office Supplies</v>
      </c>
      <c r="J677" s="19">
        <f>INDEX(Products!$E$2:$E$101,MATCH(C677,Products!$A$2:$A$101,0))</f>
        <v>173.58</v>
      </c>
      <c r="K677" s="19">
        <f t="shared" si="31"/>
        <v>347.16</v>
      </c>
      <c r="L677" s="19">
        <f t="shared" si="32"/>
        <v>309.13799999999998</v>
      </c>
    </row>
    <row r="678" spans="1:12" ht="15" customHeight="1" x14ac:dyDescent="0.25">
      <c r="A678" s="10">
        <v>677</v>
      </c>
      <c r="B678" s="10">
        <v>214</v>
      </c>
      <c r="C678" s="10">
        <v>6</v>
      </c>
      <c r="D678" s="10">
        <v>10</v>
      </c>
      <c r="E678" s="19">
        <v>234.43</v>
      </c>
      <c r="F678" s="10">
        <v>0.1</v>
      </c>
      <c r="G678" s="19">
        <f t="shared" si="30"/>
        <v>2109.8700000000003</v>
      </c>
      <c r="H678" s="10">
        <f>INDEX(Products!$C$2:$C$101,MATCH(C678,Products!$A$2:$A$101,0))</f>
        <v>1</v>
      </c>
      <c r="I678" s="10" t="str">
        <f>INDEX(Categories!$B$2:$B$11,MATCH(H678,Categories!$A$2:$A$11,0))</f>
        <v>Electronics</v>
      </c>
      <c r="J678" s="19">
        <f>INDEX(Products!$E$2:$E$101,MATCH(C678,Products!$A$2:$A$101,0))</f>
        <v>161.76</v>
      </c>
      <c r="K678" s="19">
        <f t="shared" si="31"/>
        <v>1617.6</v>
      </c>
      <c r="L678" s="19">
        <f t="shared" si="32"/>
        <v>492.27000000000044</v>
      </c>
    </row>
    <row r="679" spans="1:12" ht="15" customHeight="1" x14ac:dyDescent="0.25">
      <c r="A679" s="10">
        <v>678</v>
      </c>
      <c r="B679" s="10">
        <v>214</v>
      </c>
      <c r="C679" s="10">
        <v>17</v>
      </c>
      <c r="D679" s="10">
        <v>3</v>
      </c>
      <c r="E679" s="19">
        <v>216.84</v>
      </c>
      <c r="F679" s="10">
        <v>0</v>
      </c>
      <c r="G679" s="19">
        <f t="shared" si="30"/>
        <v>650.52</v>
      </c>
      <c r="H679" s="10">
        <f>INDEX(Products!$C$2:$C$101,MATCH(C679,Products!$A$2:$A$101,0))</f>
        <v>2</v>
      </c>
      <c r="I679" s="10" t="str">
        <f>INDEX(Categories!$B$2:$B$11,MATCH(H679,Categories!$A$2:$A$11,0))</f>
        <v>Office Supplies</v>
      </c>
      <c r="J679" s="19">
        <f>INDEX(Products!$E$2:$E$101,MATCH(C679,Products!$A$2:$A$101,0))</f>
        <v>151.30000000000001</v>
      </c>
      <c r="K679" s="19">
        <f t="shared" si="31"/>
        <v>453.90000000000003</v>
      </c>
      <c r="L679" s="19">
        <f t="shared" si="32"/>
        <v>196.61999999999995</v>
      </c>
    </row>
    <row r="680" spans="1:12" ht="15" customHeight="1" x14ac:dyDescent="0.25">
      <c r="A680" s="10">
        <v>679</v>
      </c>
      <c r="B680" s="10">
        <v>215</v>
      </c>
      <c r="C680" s="10">
        <v>67</v>
      </c>
      <c r="D680" s="10">
        <v>10</v>
      </c>
      <c r="E680" s="19">
        <v>120.48</v>
      </c>
      <c r="F680" s="10">
        <v>0.1</v>
      </c>
      <c r="G680" s="19">
        <f t="shared" si="30"/>
        <v>1084.32</v>
      </c>
      <c r="H680" s="10">
        <f>INDEX(Products!$C$2:$C$101,MATCH(C680,Products!$A$2:$A$101,0))</f>
        <v>7</v>
      </c>
      <c r="I680" s="10" t="str">
        <f>INDEX(Categories!$B$2:$B$11,MATCH(H680,Categories!$A$2:$A$11,0))</f>
        <v>Toys &amp; Games</v>
      </c>
      <c r="J680" s="19">
        <f>INDEX(Products!$E$2:$E$101,MATCH(C680,Products!$A$2:$A$101,0))</f>
        <v>63.2</v>
      </c>
      <c r="K680" s="19">
        <f t="shared" si="31"/>
        <v>632</v>
      </c>
      <c r="L680" s="19">
        <f t="shared" si="32"/>
        <v>452.31999999999994</v>
      </c>
    </row>
    <row r="681" spans="1:12" ht="15" customHeight="1" x14ac:dyDescent="0.25">
      <c r="A681" s="10">
        <v>680</v>
      </c>
      <c r="B681" s="10">
        <v>215</v>
      </c>
      <c r="C681" s="10">
        <v>52</v>
      </c>
      <c r="D681" s="10">
        <v>1</v>
      </c>
      <c r="E681" s="19">
        <v>469.43</v>
      </c>
      <c r="F681" s="10">
        <v>0.15</v>
      </c>
      <c r="G681" s="19">
        <f t="shared" si="30"/>
        <v>399.01549999999997</v>
      </c>
      <c r="H681" s="10">
        <f>INDEX(Products!$C$2:$C$101,MATCH(C681,Products!$A$2:$A$101,0))</f>
        <v>6</v>
      </c>
      <c r="I681" s="10" t="str">
        <f>INDEX(Categories!$B$2:$B$11,MATCH(H681,Categories!$A$2:$A$11,0))</f>
        <v>Sporting Goods</v>
      </c>
      <c r="J681" s="19">
        <f>INDEX(Products!$E$2:$E$101,MATCH(C681,Products!$A$2:$A$101,0))</f>
        <v>222.69</v>
      </c>
      <c r="K681" s="19">
        <f t="shared" si="31"/>
        <v>222.69</v>
      </c>
      <c r="L681" s="19">
        <f t="shared" si="32"/>
        <v>176.32549999999998</v>
      </c>
    </row>
    <row r="682" spans="1:12" ht="15" customHeight="1" x14ac:dyDescent="0.25">
      <c r="A682" s="10">
        <v>681</v>
      </c>
      <c r="B682" s="10">
        <v>216</v>
      </c>
      <c r="C682" s="10">
        <v>53</v>
      </c>
      <c r="D682" s="10">
        <v>3</v>
      </c>
      <c r="E682" s="19">
        <v>534</v>
      </c>
      <c r="F682" s="10">
        <v>0.2</v>
      </c>
      <c r="G682" s="19">
        <f t="shared" si="30"/>
        <v>1281.6000000000001</v>
      </c>
      <c r="H682" s="10">
        <f>INDEX(Products!$C$2:$C$101,MATCH(C682,Products!$A$2:$A$101,0))</f>
        <v>6</v>
      </c>
      <c r="I682" s="10" t="str">
        <f>INDEX(Categories!$B$2:$B$11,MATCH(H682,Categories!$A$2:$A$11,0))</f>
        <v>Sporting Goods</v>
      </c>
      <c r="J682" s="19">
        <f>INDEX(Products!$E$2:$E$101,MATCH(C682,Products!$A$2:$A$101,0))</f>
        <v>240.59</v>
      </c>
      <c r="K682" s="19">
        <f t="shared" si="31"/>
        <v>721.77</v>
      </c>
      <c r="L682" s="19">
        <f t="shared" si="32"/>
        <v>559.83000000000015</v>
      </c>
    </row>
    <row r="683" spans="1:12" ht="15" customHeight="1" x14ac:dyDescent="0.25">
      <c r="A683" s="10">
        <v>682</v>
      </c>
      <c r="B683" s="10">
        <v>216</v>
      </c>
      <c r="C683" s="10">
        <v>77</v>
      </c>
      <c r="D683" s="10">
        <v>10</v>
      </c>
      <c r="E683" s="19">
        <v>87.18</v>
      </c>
      <c r="F683" s="10">
        <v>0.2</v>
      </c>
      <c r="G683" s="19">
        <f t="shared" si="30"/>
        <v>697.44</v>
      </c>
      <c r="H683" s="10">
        <f>INDEX(Products!$C$2:$C$101,MATCH(C683,Products!$A$2:$A$101,0))</f>
        <v>8</v>
      </c>
      <c r="I683" s="10" t="str">
        <f>INDEX(Categories!$B$2:$B$11,MATCH(H683,Categories!$A$2:$A$11,0))</f>
        <v>Health &amp; Beauty</v>
      </c>
      <c r="J683" s="19">
        <f>INDEX(Products!$E$2:$E$101,MATCH(C683,Products!$A$2:$A$101,0))</f>
        <v>38.61</v>
      </c>
      <c r="K683" s="19">
        <f t="shared" si="31"/>
        <v>386.1</v>
      </c>
      <c r="L683" s="19">
        <f t="shared" si="32"/>
        <v>311.34000000000003</v>
      </c>
    </row>
    <row r="684" spans="1:12" ht="15" customHeight="1" x14ac:dyDescent="0.25">
      <c r="A684" s="10">
        <v>683</v>
      </c>
      <c r="B684" s="10">
        <v>217</v>
      </c>
      <c r="C684" s="10">
        <v>14</v>
      </c>
      <c r="D684" s="10">
        <v>4</v>
      </c>
      <c r="E684" s="19">
        <v>342.37</v>
      </c>
      <c r="F684" s="10">
        <v>0.1</v>
      </c>
      <c r="G684" s="19">
        <f t="shared" si="30"/>
        <v>1232.5320000000002</v>
      </c>
      <c r="H684" s="10">
        <f>INDEX(Products!$C$2:$C$101,MATCH(C684,Products!$A$2:$A$101,0))</f>
        <v>2</v>
      </c>
      <c r="I684" s="10" t="str">
        <f>INDEX(Categories!$B$2:$B$11,MATCH(H684,Categories!$A$2:$A$11,0))</f>
        <v>Office Supplies</v>
      </c>
      <c r="J684" s="19">
        <f>INDEX(Products!$E$2:$E$101,MATCH(C684,Products!$A$2:$A$101,0))</f>
        <v>241.29</v>
      </c>
      <c r="K684" s="19">
        <f t="shared" si="31"/>
        <v>965.16</v>
      </c>
      <c r="L684" s="19">
        <f t="shared" si="32"/>
        <v>267.37200000000018</v>
      </c>
    </row>
    <row r="685" spans="1:12" ht="15" customHeight="1" x14ac:dyDescent="0.25">
      <c r="A685" s="10">
        <v>684</v>
      </c>
      <c r="B685" s="10">
        <v>217</v>
      </c>
      <c r="C685" s="10">
        <v>3</v>
      </c>
      <c r="D685" s="10">
        <v>9</v>
      </c>
      <c r="E685" s="19">
        <v>101.78</v>
      </c>
      <c r="F685" s="10">
        <v>0.15</v>
      </c>
      <c r="G685" s="19">
        <f t="shared" si="30"/>
        <v>778.61699999999996</v>
      </c>
      <c r="H685" s="10">
        <f>INDEX(Products!$C$2:$C$101,MATCH(C685,Products!$A$2:$A$101,0))</f>
        <v>1</v>
      </c>
      <c r="I685" s="10" t="str">
        <f>INDEX(Categories!$B$2:$B$11,MATCH(H685,Categories!$A$2:$A$11,0))</f>
        <v>Electronics</v>
      </c>
      <c r="J685" s="19">
        <f>INDEX(Products!$E$2:$E$101,MATCH(C685,Products!$A$2:$A$101,0))</f>
        <v>57.2</v>
      </c>
      <c r="K685" s="19">
        <f t="shared" si="31"/>
        <v>514.80000000000007</v>
      </c>
      <c r="L685" s="19">
        <f t="shared" si="32"/>
        <v>263.81699999999989</v>
      </c>
    </row>
    <row r="686" spans="1:12" ht="15" customHeight="1" x14ac:dyDescent="0.25">
      <c r="A686" s="10">
        <v>685</v>
      </c>
      <c r="B686" s="10">
        <v>218</v>
      </c>
      <c r="C686" s="10">
        <v>69</v>
      </c>
      <c r="D686" s="10">
        <v>9</v>
      </c>
      <c r="E686" s="19">
        <v>188.38</v>
      </c>
      <c r="F686" s="10">
        <v>0.2</v>
      </c>
      <c r="G686" s="19">
        <f t="shared" si="30"/>
        <v>1356.3360000000002</v>
      </c>
      <c r="H686" s="10">
        <f>INDEX(Products!$C$2:$C$101,MATCH(C686,Products!$A$2:$A$101,0))</f>
        <v>7</v>
      </c>
      <c r="I686" s="10" t="str">
        <f>INDEX(Categories!$B$2:$B$11,MATCH(H686,Categories!$A$2:$A$11,0))</f>
        <v>Toys &amp; Games</v>
      </c>
      <c r="J686" s="19">
        <f>INDEX(Products!$E$2:$E$101,MATCH(C686,Products!$A$2:$A$101,0))</f>
        <v>86.95</v>
      </c>
      <c r="K686" s="19">
        <f t="shared" si="31"/>
        <v>782.55000000000007</v>
      </c>
      <c r="L686" s="19">
        <f t="shared" si="32"/>
        <v>573.78600000000017</v>
      </c>
    </row>
    <row r="687" spans="1:12" ht="15" customHeight="1" x14ac:dyDescent="0.25">
      <c r="A687" s="10">
        <v>686</v>
      </c>
      <c r="B687" s="10">
        <v>219</v>
      </c>
      <c r="C687" s="10">
        <v>90</v>
      </c>
      <c r="D687" s="10">
        <v>9</v>
      </c>
      <c r="E687" s="19">
        <v>50.45</v>
      </c>
      <c r="F687" s="10">
        <v>0.05</v>
      </c>
      <c r="G687" s="19">
        <f t="shared" si="30"/>
        <v>431.34749999999997</v>
      </c>
      <c r="H687" s="10">
        <f>INDEX(Products!$C$2:$C$101,MATCH(C687,Products!$A$2:$A$101,0))</f>
        <v>9</v>
      </c>
      <c r="I687" s="10" t="str">
        <f>INDEX(Categories!$B$2:$B$11,MATCH(H687,Categories!$A$2:$A$11,0))</f>
        <v>Automotive Parts</v>
      </c>
      <c r="J687" s="19">
        <f>INDEX(Products!$E$2:$E$101,MATCH(C687,Products!$A$2:$A$101,0))</f>
        <v>29.34</v>
      </c>
      <c r="K687" s="19">
        <f t="shared" si="31"/>
        <v>264.06</v>
      </c>
      <c r="L687" s="19">
        <f t="shared" si="32"/>
        <v>167.28749999999997</v>
      </c>
    </row>
    <row r="688" spans="1:12" ht="15" customHeight="1" x14ac:dyDescent="0.25">
      <c r="A688" s="10">
        <v>687</v>
      </c>
      <c r="B688" s="10">
        <v>220</v>
      </c>
      <c r="C688" s="10">
        <v>13</v>
      </c>
      <c r="D688" s="10">
        <v>4</v>
      </c>
      <c r="E688" s="19">
        <v>360.29</v>
      </c>
      <c r="F688" s="10">
        <v>0.2</v>
      </c>
      <c r="G688" s="19">
        <f t="shared" si="30"/>
        <v>1152.9280000000001</v>
      </c>
      <c r="H688" s="10">
        <f>INDEX(Products!$C$2:$C$101,MATCH(C688,Products!$A$2:$A$101,0))</f>
        <v>2</v>
      </c>
      <c r="I688" s="10" t="str">
        <f>INDEX(Categories!$B$2:$B$11,MATCH(H688,Categories!$A$2:$A$11,0))</f>
        <v>Office Supplies</v>
      </c>
      <c r="J688" s="19">
        <f>INDEX(Products!$E$2:$E$101,MATCH(C688,Products!$A$2:$A$101,0))</f>
        <v>152.66</v>
      </c>
      <c r="K688" s="19">
        <f t="shared" si="31"/>
        <v>610.64</v>
      </c>
      <c r="L688" s="19">
        <f t="shared" si="32"/>
        <v>542.28800000000012</v>
      </c>
    </row>
    <row r="689" spans="1:12" ht="15" customHeight="1" x14ac:dyDescent="0.25">
      <c r="A689" s="10">
        <v>688</v>
      </c>
      <c r="B689" s="10">
        <v>220</v>
      </c>
      <c r="C689" s="10">
        <v>55</v>
      </c>
      <c r="D689" s="10">
        <v>2</v>
      </c>
      <c r="E689" s="19">
        <v>378.27</v>
      </c>
      <c r="F689" s="10">
        <v>0</v>
      </c>
      <c r="G689" s="19">
        <f t="shared" si="30"/>
        <v>756.54</v>
      </c>
      <c r="H689" s="10">
        <f>INDEX(Products!$C$2:$C$101,MATCH(C689,Products!$A$2:$A$101,0))</f>
        <v>6</v>
      </c>
      <c r="I689" s="10" t="str">
        <f>INDEX(Categories!$B$2:$B$11,MATCH(H689,Categories!$A$2:$A$11,0))</f>
        <v>Sporting Goods</v>
      </c>
      <c r="J689" s="19">
        <f>INDEX(Products!$E$2:$E$101,MATCH(C689,Products!$A$2:$A$101,0))</f>
        <v>163.92</v>
      </c>
      <c r="K689" s="19">
        <f t="shared" si="31"/>
        <v>327.84</v>
      </c>
      <c r="L689" s="19">
        <f t="shared" si="32"/>
        <v>428.7</v>
      </c>
    </row>
    <row r="690" spans="1:12" ht="15" customHeight="1" x14ac:dyDescent="0.25">
      <c r="A690" s="10">
        <v>689</v>
      </c>
      <c r="B690" s="10">
        <v>220</v>
      </c>
      <c r="C690" s="10">
        <v>18</v>
      </c>
      <c r="D690" s="10">
        <v>10</v>
      </c>
      <c r="E690" s="19">
        <v>185.81</v>
      </c>
      <c r="F690" s="10">
        <v>0.1</v>
      </c>
      <c r="G690" s="19">
        <f t="shared" si="30"/>
        <v>1672.29</v>
      </c>
      <c r="H690" s="10">
        <f>INDEX(Products!$C$2:$C$101,MATCH(C690,Products!$A$2:$A$101,0))</f>
        <v>2</v>
      </c>
      <c r="I690" s="10" t="str">
        <f>INDEX(Categories!$B$2:$B$11,MATCH(H690,Categories!$A$2:$A$11,0))</f>
        <v>Office Supplies</v>
      </c>
      <c r="J690" s="19">
        <f>INDEX(Products!$E$2:$E$101,MATCH(C690,Products!$A$2:$A$101,0))</f>
        <v>108.81</v>
      </c>
      <c r="K690" s="19">
        <f t="shared" si="31"/>
        <v>1088.0999999999999</v>
      </c>
      <c r="L690" s="19">
        <f t="shared" si="32"/>
        <v>584.19000000000005</v>
      </c>
    </row>
    <row r="691" spans="1:12" ht="15" customHeight="1" x14ac:dyDescent="0.25">
      <c r="A691" s="10">
        <v>690</v>
      </c>
      <c r="B691" s="10">
        <v>220</v>
      </c>
      <c r="C691" s="10">
        <v>33</v>
      </c>
      <c r="D691" s="10">
        <v>7</v>
      </c>
      <c r="E691" s="19">
        <v>432.05</v>
      </c>
      <c r="F691" s="10">
        <v>0</v>
      </c>
      <c r="G691" s="19">
        <f t="shared" si="30"/>
        <v>3024.35</v>
      </c>
      <c r="H691" s="10">
        <f>INDEX(Products!$C$2:$C$101,MATCH(C691,Products!$A$2:$A$101,0))</f>
        <v>4</v>
      </c>
      <c r="I691" s="10" t="str">
        <f>INDEX(Categories!$B$2:$B$11,MATCH(H691,Categories!$A$2:$A$11,0))</f>
        <v>Apparel</v>
      </c>
      <c r="J691" s="19">
        <f>INDEX(Products!$E$2:$E$101,MATCH(C691,Products!$A$2:$A$101,0))</f>
        <v>181.97</v>
      </c>
      <c r="K691" s="19">
        <f t="shared" si="31"/>
        <v>1273.79</v>
      </c>
      <c r="L691" s="19">
        <f t="shared" si="32"/>
        <v>1750.56</v>
      </c>
    </row>
    <row r="692" spans="1:12" ht="15" customHeight="1" x14ac:dyDescent="0.25">
      <c r="A692" s="10">
        <v>691</v>
      </c>
      <c r="B692" s="10">
        <v>220</v>
      </c>
      <c r="C692" s="10">
        <v>62</v>
      </c>
      <c r="D692" s="10">
        <v>4</v>
      </c>
      <c r="E692" s="19">
        <v>321.75</v>
      </c>
      <c r="F692" s="10">
        <v>0</v>
      </c>
      <c r="G692" s="19">
        <f t="shared" si="30"/>
        <v>1287</v>
      </c>
      <c r="H692" s="10">
        <f>INDEX(Products!$C$2:$C$101,MATCH(C692,Products!$A$2:$A$101,0))</f>
        <v>7</v>
      </c>
      <c r="I692" s="10" t="str">
        <f>INDEX(Categories!$B$2:$B$11,MATCH(H692,Categories!$A$2:$A$11,0))</f>
        <v>Toys &amp; Games</v>
      </c>
      <c r="J692" s="19">
        <f>INDEX(Products!$E$2:$E$101,MATCH(C692,Products!$A$2:$A$101,0))</f>
        <v>138.66</v>
      </c>
      <c r="K692" s="19">
        <f t="shared" si="31"/>
        <v>554.64</v>
      </c>
      <c r="L692" s="19">
        <f t="shared" si="32"/>
        <v>732.36</v>
      </c>
    </row>
    <row r="693" spans="1:12" ht="15" customHeight="1" x14ac:dyDescent="0.25">
      <c r="A693" s="10">
        <v>692</v>
      </c>
      <c r="B693" s="10">
        <v>221</v>
      </c>
      <c r="C693" s="10">
        <v>14</v>
      </c>
      <c r="D693" s="10">
        <v>10</v>
      </c>
      <c r="E693" s="19">
        <v>342.37</v>
      </c>
      <c r="F693" s="10">
        <v>0</v>
      </c>
      <c r="G693" s="19">
        <f t="shared" si="30"/>
        <v>3423.7</v>
      </c>
      <c r="H693" s="10">
        <f>INDEX(Products!$C$2:$C$101,MATCH(C693,Products!$A$2:$A$101,0))</f>
        <v>2</v>
      </c>
      <c r="I693" s="10" t="str">
        <f>INDEX(Categories!$B$2:$B$11,MATCH(H693,Categories!$A$2:$A$11,0))</f>
        <v>Office Supplies</v>
      </c>
      <c r="J693" s="19">
        <f>INDEX(Products!$E$2:$E$101,MATCH(C693,Products!$A$2:$A$101,0))</f>
        <v>241.29</v>
      </c>
      <c r="K693" s="19">
        <f t="shared" si="31"/>
        <v>2412.9</v>
      </c>
      <c r="L693" s="19">
        <f t="shared" si="32"/>
        <v>1010.7999999999997</v>
      </c>
    </row>
    <row r="694" spans="1:12" ht="15" customHeight="1" x14ac:dyDescent="0.25">
      <c r="A694" s="10">
        <v>693</v>
      </c>
      <c r="B694" s="10">
        <v>221</v>
      </c>
      <c r="C694" s="10">
        <v>20</v>
      </c>
      <c r="D694" s="10">
        <v>5</v>
      </c>
      <c r="E694" s="19">
        <v>316.14999999999998</v>
      </c>
      <c r="F694" s="10">
        <v>0.2</v>
      </c>
      <c r="G694" s="19">
        <f t="shared" si="30"/>
        <v>1264.6000000000001</v>
      </c>
      <c r="H694" s="10">
        <f>INDEX(Products!$C$2:$C$101,MATCH(C694,Products!$A$2:$A$101,0))</f>
        <v>2</v>
      </c>
      <c r="I694" s="10" t="str">
        <f>INDEX(Categories!$B$2:$B$11,MATCH(H694,Categories!$A$2:$A$11,0))</f>
        <v>Office Supplies</v>
      </c>
      <c r="J694" s="19">
        <f>INDEX(Products!$E$2:$E$101,MATCH(C694,Products!$A$2:$A$101,0))</f>
        <v>177.71</v>
      </c>
      <c r="K694" s="19">
        <f t="shared" si="31"/>
        <v>888.55000000000007</v>
      </c>
      <c r="L694" s="19">
        <f t="shared" si="32"/>
        <v>376.05000000000007</v>
      </c>
    </row>
    <row r="695" spans="1:12" ht="15" customHeight="1" x14ac:dyDescent="0.25">
      <c r="A695" s="10">
        <v>694</v>
      </c>
      <c r="B695" s="10">
        <v>221</v>
      </c>
      <c r="C695" s="10">
        <v>55</v>
      </c>
      <c r="D695" s="10">
        <v>9</v>
      </c>
      <c r="E695" s="19">
        <v>378.27</v>
      </c>
      <c r="F695" s="10">
        <v>0.05</v>
      </c>
      <c r="G695" s="19">
        <f t="shared" si="30"/>
        <v>3234.2084999999997</v>
      </c>
      <c r="H695" s="10">
        <f>INDEX(Products!$C$2:$C$101,MATCH(C695,Products!$A$2:$A$101,0))</f>
        <v>6</v>
      </c>
      <c r="I695" s="10" t="str">
        <f>INDEX(Categories!$B$2:$B$11,MATCH(H695,Categories!$A$2:$A$11,0))</f>
        <v>Sporting Goods</v>
      </c>
      <c r="J695" s="19">
        <f>INDEX(Products!$E$2:$E$101,MATCH(C695,Products!$A$2:$A$101,0))</f>
        <v>163.92</v>
      </c>
      <c r="K695" s="19">
        <f t="shared" si="31"/>
        <v>1475.28</v>
      </c>
      <c r="L695" s="19">
        <f t="shared" si="32"/>
        <v>1758.9284999999998</v>
      </c>
    </row>
    <row r="696" spans="1:12" ht="15" customHeight="1" x14ac:dyDescent="0.25">
      <c r="A696" s="10">
        <v>695</v>
      </c>
      <c r="B696" s="10">
        <v>222</v>
      </c>
      <c r="C696" s="10">
        <v>62</v>
      </c>
      <c r="D696" s="10">
        <v>5</v>
      </c>
      <c r="E696" s="19">
        <v>321.75</v>
      </c>
      <c r="F696" s="10">
        <v>0.1</v>
      </c>
      <c r="G696" s="19">
        <f t="shared" si="30"/>
        <v>1447.875</v>
      </c>
      <c r="H696" s="10">
        <f>INDEX(Products!$C$2:$C$101,MATCH(C696,Products!$A$2:$A$101,0))</f>
        <v>7</v>
      </c>
      <c r="I696" s="10" t="str">
        <f>INDEX(Categories!$B$2:$B$11,MATCH(H696,Categories!$A$2:$A$11,0))</f>
        <v>Toys &amp; Games</v>
      </c>
      <c r="J696" s="19">
        <f>INDEX(Products!$E$2:$E$101,MATCH(C696,Products!$A$2:$A$101,0))</f>
        <v>138.66</v>
      </c>
      <c r="K696" s="19">
        <f t="shared" si="31"/>
        <v>693.3</v>
      </c>
      <c r="L696" s="19">
        <f t="shared" si="32"/>
        <v>754.57500000000005</v>
      </c>
    </row>
    <row r="697" spans="1:12" ht="15" customHeight="1" x14ac:dyDescent="0.25">
      <c r="A697" s="10">
        <v>696</v>
      </c>
      <c r="B697" s="10">
        <v>222</v>
      </c>
      <c r="C697" s="10">
        <v>23</v>
      </c>
      <c r="D697" s="10">
        <v>6</v>
      </c>
      <c r="E697" s="19">
        <v>346.21</v>
      </c>
      <c r="F697" s="10">
        <v>0.2</v>
      </c>
      <c r="G697" s="19">
        <f t="shared" si="30"/>
        <v>1661.808</v>
      </c>
      <c r="H697" s="10">
        <f>INDEX(Products!$C$2:$C$101,MATCH(C697,Products!$A$2:$A$101,0))</f>
        <v>3</v>
      </c>
      <c r="I697" s="10" t="str">
        <f>INDEX(Categories!$B$2:$B$11,MATCH(H697,Categories!$A$2:$A$11,0))</f>
        <v>Furniture</v>
      </c>
      <c r="J697" s="19">
        <f>INDEX(Products!$E$2:$E$101,MATCH(C697,Products!$A$2:$A$101,0))</f>
        <v>220.76</v>
      </c>
      <c r="K697" s="19">
        <f t="shared" si="31"/>
        <v>1324.56</v>
      </c>
      <c r="L697" s="19">
        <f t="shared" si="32"/>
        <v>337.24800000000005</v>
      </c>
    </row>
    <row r="698" spans="1:12" ht="15" customHeight="1" x14ac:dyDescent="0.25">
      <c r="A698" s="10">
        <v>697</v>
      </c>
      <c r="B698" s="10">
        <v>222</v>
      </c>
      <c r="C698" s="10">
        <v>48</v>
      </c>
      <c r="D698" s="10">
        <v>7</v>
      </c>
      <c r="E698" s="19">
        <v>205.11</v>
      </c>
      <c r="F698" s="10">
        <v>0.15</v>
      </c>
      <c r="G698" s="19">
        <f t="shared" si="30"/>
        <v>1220.4044999999999</v>
      </c>
      <c r="H698" s="10">
        <f>INDEX(Products!$C$2:$C$101,MATCH(C698,Products!$A$2:$A$101,0))</f>
        <v>5</v>
      </c>
      <c r="I698" s="10" t="str">
        <f>INDEX(Categories!$B$2:$B$11,MATCH(H698,Categories!$A$2:$A$11,0))</f>
        <v>Home &amp; Kitchen</v>
      </c>
      <c r="J698" s="19">
        <f>INDEX(Products!$E$2:$E$101,MATCH(C698,Products!$A$2:$A$101,0))</f>
        <v>108.01</v>
      </c>
      <c r="K698" s="19">
        <f t="shared" si="31"/>
        <v>756.07</v>
      </c>
      <c r="L698" s="19">
        <f t="shared" si="32"/>
        <v>464.33449999999982</v>
      </c>
    </row>
    <row r="699" spans="1:12" ht="15" customHeight="1" x14ac:dyDescent="0.25">
      <c r="A699" s="10">
        <v>698</v>
      </c>
      <c r="B699" s="10">
        <v>222</v>
      </c>
      <c r="C699" s="10">
        <v>72</v>
      </c>
      <c r="D699" s="10">
        <v>3</v>
      </c>
      <c r="E699" s="19">
        <v>526.70000000000005</v>
      </c>
      <c r="F699" s="10">
        <v>0.2</v>
      </c>
      <c r="G699" s="19">
        <f t="shared" si="30"/>
        <v>1264.0800000000002</v>
      </c>
      <c r="H699" s="10">
        <f>INDEX(Products!$C$2:$C$101,MATCH(C699,Products!$A$2:$A$101,0))</f>
        <v>8</v>
      </c>
      <c r="I699" s="10" t="str">
        <f>INDEX(Categories!$B$2:$B$11,MATCH(H699,Categories!$A$2:$A$11,0))</f>
        <v>Health &amp; Beauty</v>
      </c>
      <c r="J699" s="19">
        <f>INDEX(Products!$E$2:$E$101,MATCH(C699,Products!$A$2:$A$101,0))</f>
        <v>233.41</v>
      </c>
      <c r="K699" s="19">
        <f t="shared" si="31"/>
        <v>700.23</v>
      </c>
      <c r="L699" s="19">
        <f t="shared" si="32"/>
        <v>563.85000000000014</v>
      </c>
    </row>
    <row r="700" spans="1:12" ht="15" customHeight="1" x14ac:dyDescent="0.25">
      <c r="A700" s="10">
        <v>699</v>
      </c>
      <c r="B700" s="10">
        <v>222</v>
      </c>
      <c r="C700" s="10">
        <v>33</v>
      </c>
      <c r="D700" s="10">
        <v>2</v>
      </c>
      <c r="E700" s="19">
        <v>432.05</v>
      </c>
      <c r="F700" s="10">
        <v>0.15</v>
      </c>
      <c r="G700" s="19">
        <f t="shared" si="30"/>
        <v>734.48500000000001</v>
      </c>
      <c r="H700" s="10">
        <f>INDEX(Products!$C$2:$C$101,MATCH(C700,Products!$A$2:$A$101,0))</f>
        <v>4</v>
      </c>
      <c r="I700" s="10" t="str">
        <f>INDEX(Categories!$B$2:$B$11,MATCH(H700,Categories!$A$2:$A$11,0))</f>
        <v>Apparel</v>
      </c>
      <c r="J700" s="19">
        <f>INDEX(Products!$E$2:$E$101,MATCH(C700,Products!$A$2:$A$101,0))</f>
        <v>181.97</v>
      </c>
      <c r="K700" s="19">
        <f t="shared" si="31"/>
        <v>363.94</v>
      </c>
      <c r="L700" s="19">
        <f t="shared" si="32"/>
        <v>370.54500000000002</v>
      </c>
    </row>
    <row r="701" spans="1:12" ht="15" customHeight="1" x14ac:dyDescent="0.25">
      <c r="A701" s="10">
        <v>700</v>
      </c>
      <c r="B701" s="10">
        <v>223</v>
      </c>
      <c r="C701" s="10">
        <v>71</v>
      </c>
      <c r="D701" s="10">
        <v>1</v>
      </c>
      <c r="E701" s="19">
        <v>228.48</v>
      </c>
      <c r="F701" s="10">
        <v>0</v>
      </c>
      <c r="G701" s="19">
        <f t="shared" si="30"/>
        <v>228.48</v>
      </c>
      <c r="H701" s="10">
        <f>INDEX(Products!$C$2:$C$101,MATCH(C701,Products!$A$2:$A$101,0))</f>
        <v>8</v>
      </c>
      <c r="I701" s="10" t="str">
        <f>INDEX(Categories!$B$2:$B$11,MATCH(H701,Categories!$A$2:$A$11,0))</f>
        <v>Health &amp; Beauty</v>
      </c>
      <c r="J701" s="19">
        <f>INDEX(Products!$E$2:$E$101,MATCH(C701,Products!$A$2:$A$101,0))</f>
        <v>136.03</v>
      </c>
      <c r="K701" s="19">
        <f t="shared" si="31"/>
        <v>136.03</v>
      </c>
      <c r="L701" s="19">
        <f t="shared" si="32"/>
        <v>92.449999999999989</v>
      </c>
    </row>
    <row r="702" spans="1:12" ht="15" customHeight="1" x14ac:dyDescent="0.25">
      <c r="A702" s="10">
        <v>701</v>
      </c>
      <c r="B702" s="10">
        <v>223</v>
      </c>
      <c r="C702" s="10">
        <v>79</v>
      </c>
      <c r="D702" s="10">
        <v>7</v>
      </c>
      <c r="E702" s="19">
        <v>369.82</v>
      </c>
      <c r="F702" s="10">
        <v>0.15</v>
      </c>
      <c r="G702" s="19">
        <f t="shared" si="30"/>
        <v>2200.4289999999996</v>
      </c>
      <c r="H702" s="10">
        <f>INDEX(Products!$C$2:$C$101,MATCH(C702,Products!$A$2:$A$101,0))</f>
        <v>8</v>
      </c>
      <c r="I702" s="10" t="str">
        <f>INDEX(Categories!$B$2:$B$11,MATCH(H702,Categories!$A$2:$A$11,0))</f>
        <v>Health &amp; Beauty</v>
      </c>
      <c r="J702" s="19">
        <f>INDEX(Products!$E$2:$E$101,MATCH(C702,Products!$A$2:$A$101,0))</f>
        <v>215.26</v>
      </c>
      <c r="K702" s="19">
        <f t="shared" si="31"/>
        <v>1506.82</v>
      </c>
      <c r="L702" s="19">
        <f t="shared" si="32"/>
        <v>693.6089999999997</v>
      </c>
    </row>
    <row r="703" spans="1:12" ht="15" customHeight="1" x14ac:dyDescent="0.25">
      <c r="A703" s="10">
        <v>702</v>
      </c>
      <c r="B703" s="10">
        <v>223</v>
      </c>
      <c r="C703" s="10">
        <v>90</v>
      </c>
      <c r="D703" s="10">
        <v>1</v>
      </c>
      <c r="E703" s="19">
        <v>50.45</v>
      </c>
      <c r="F703" s="10">
        <v>0.2</v>
      </c>
      <c r="G703" s="19">
        <f t="shared" si="30"/>
        <v>40.360000000000007</v>
      </c>
      <c r="H703" s="10">
        <f>INDEX(Products!$C$2:$C$101,MATCH(C703,Products!$A$2:$A$101,0))</f>
        <v>9</v>
      </c>
      <c r="I703" s="10" t="str">
        <f>INDEX(Categories!$B$2:$B$11,MATCH(H703,Categories!$A$2:$A$11,0))</f>
        <v>Automotive Parts</v>
      </c>
      <c r="J703" s="19">
        <f>INDEX(Products!$E$2:$E$101,MATCH(C703,Products!$A$2:$A$101,0))</f>
        <v>29.34</v>
      </c>
      <c r="K703" s="19">
        <f t="shared" si="31"/>
        <v>29.34</v>
      </c>
      <c r="L703" s="19">
        <f t="shared" si="32"/>
        <v>11.020000000000007</v>
      </c>
    </row>
    <row r="704" spans="1:12" ht="15" customHeight="1" x14ac:dyDescent="0.25">
      <c r="A704" s="10">
        <v>703</v>
      </c>
      <c r="B704" s="10">
        <v>224</v>
      </c>
      <c r="C704" s="10">
        <v>11</v>
      </c>
      <c r="D704" s="10">
        <v>7</v>
      </c>
      <c r="E704" s="19">
        <v>417.1</v>
      </c>
      <c r="F704" s="10">
        <v>0.05</v>
      </c>
      <c r="G704" s="19">
        <f t="shared" si="30"/>
        <v>2773.7150000000001</v>
      </c>
      <c r="H704" s="10">
        <f>INDEX(Products!$C$2:$C$101,MATCH(C704,Products!$A$2:$A$101,0))</f>
        <v>2</v>
      </c>
      <c r="I704" s="10" t="str">
        <f>INDEX(Categories!$B$2:$B$11,MATCH(H704,Categories!$A$2:$A$11,0))</f>
        <v>Office Supplies</v>
      </c>
      <c r="J704" s="19">
        <f>INDEX(Products!$E$2:$E$101,MATCH(C704,Products!$A$2:$A$101,0))</f>
        <v>210.29</v>
      </c>
      <c r="K704" s="19">
        <f t="shared" si="31"/>
        <v>1472.03</v>
      </c>
      <c r="L704" s="19">
        <f t="shared" si="32"/>
        <v>1301.6850000000002</v>
      </c>
    </row>
    <row r="705" spans="1:12" ht="15" customHeight="1" x14ac:dyDescent="0.25">
      <c r="A705" s="10">
        <v>704</v>
      </c>
      <c r="B705" s="10">
        <v>224</v>
      </c>
      <c r="C705" s="10">
        <v>78</v>
      </c>
      <c r="D705" s="10">
        <v>10</v>
      </c>
      <c r="E705" s="19">
        <v>178.61</v>
      </c>
      <c r="F705" s="10">
        <v>0.15</v>
      </c>
      <c r="G705" s="19">
        <f t="shared" si="30"/>
        <v>1518.1850000000002</v>
      </c>
      <c r="H705" s="10">
        <f>INDEX(Products!$C$2:$C$101,MATCH(C705,Products!$A$2:$A$101,0))</f>
        <v>8</v>
      </c>
      <c r="I705" s="10" t="str">
        <f>INDEX(Categories!$B$2:$B$11,MATCH(H705,Categories!$A$2:$A$11,0))</f>
        <v>Health &amp; Beauty</v>
      </c>
      <c r="J705" s="19">
        <f>INDEX(Products!$E$2:$E$101,MATCH(C705,Products!$A$2:$A$101,0))</f>
        <v>86.62</v>
      </c>
      <c r="K705" s="19">
        <f t="shared" si="31"/>
        <v>866.2</v>
      </c>
      <c r="L705" s="19">
        <f t="shared" si="32"/>
        <v>651.98500000000013</v>
      </c>
    </row>
    <row r="706" spans="1:12" ht="15" customHeight="1" x14ac:dyDescent="0.25">
      <c r="A706" s="10">
        <v>705</v>
      </c>
      <c r="B706" s="10">
        <v>224</v>
      </c>
      <c r="C706" s="10">
        <v>5</v>
      </c>
      <c r="D706" s="10">
        <v>9</v>
      </c>
      <c r="E706" s="19">
        <v>310.02</v>
      </c>
      <c r="F706" s="10">
        <v>0</v>
      </c>
      <c r="G706" s="19">
        <f t="shared" ref="G706:G769" si="33">D706*E706*(1-F706)</f>
        <v>2790.18</v>
      </c>
      <c r="H706" s="10">
        <f>INDEX(Products!$C$2:$C$101,MATCH(C706,Products!$A$2:$A$101,0))</f>
        <v>1</v>
      </c>
      <c r="I706" s="10" t="str">
        <f>INDEX(Categories!$B$2:$B$11,MATCH(H706,Categories!$A$2:$A$11,0))</f>
        <v>Electronics</v>
      </c>
      <c r="J706" s="19">
        <f>INDEX(Products!$E$2:$E$101,MATCH(C706,Products!$A$2:$A$101,0))</f>
        <v>134.93</v>
      </c>
      <c r="K706" s="19">
        <f t="shared" ref="K706:K769" si="34">D706*J706</f>
        <v>1214.3700000000001</v>
      </c>
      <c r="L706" s="19">
        <f t="shared" ref="L706:L769" si="35">G706-K706</f>
        <v>1575.8099999999997</v>
      </c>
    </row>
    <row r="707" spans="1:12" ht="15" customHeight="1" x14ac:dyDescent="0.25">
      <c r="A707" s="10">
        <v>706</v>
      </c>
      <c r="B707" s="10">
        <v>225</v>
      </c>
      <c r="C707" s="10">
        <v>37</v>
      </c>
      <c r="D707" s="10">
        <v>9</v>
      </c>
      <c r="E707" s="19">
        <v>262.99</v>
      </c>
      <c r="F707" s="10">
        <v>0.15</v>
      </c>
      <c r="G707" s="19">
        <f t="shared" si="33"/>
        <v>2011.8734999999999</v>
      </c>
      <c r="H707" s="10">
        <f>INDEX(Products!$C$2:$C$101,MATCH(C707,Products!$A$2:$A$101,0))</f>
        <v>4</v>
      </c>
      <c r="I707" s="10" t="str">
        <f>INDEX(Categories!$B$2:$B$11,MATCH(H707,Categories!$A$2:$A$11,0))</f>
        <v>Apparel</v>
      </c>
      <c r="J707" s="19">
        <f>INDEX(Products!$E$2:$E$101,MATCH(C707,Products!$A$2:$A$101,0))</f>
        <v>144.79</v>
      </c>
      <c r="K707" s="19">
        <f t="shared" si="34"/>
        <v>1303.1099999999999</v>
      </c>
      <c r="L707" s="19">
        <f t="shared" si="35"/>
        <v>708.76350000000002</v>
      </c>
    </row>
    <row r="708" spans="1:12" ht="15" customHeight="1" x14ac:dyDescent="0.25">
      <c r="A708" s="10">
        <v>707</v>
      </c>
      <c r="B708" s="10">
        <v>225</v>
      </c>
      <c r="C708" s="10">
        <v>25</v>
      </c>
      <c r="D708" s="10">
        <v>4</v>
      </c>
      <c r="E708" s="19">
        <v>334.98</v>
      </c>
      <c r="F708" s="10">
        <v>0.1</v>
      </c>
      <c r="G708" s="19">
        <f t="shared" si="33"/>
        <v>1205.9280000000001</v>
      </c>
      <c r="H708" s="10">
        <f>INDEX(Products!$C$2:$C$101,MATCH(C708,Products!$A$2:$A$101,0))</f>
        <v>3</v>
      </c>
      <c r="I708" s="10" t="str">
        <f>INDEX(Categories!$B$2:$B$11,MATCH(H708,Categories!$A$2:$A$11,0))</f>
        <v>Furniture</v>
      </c>
      <c r="J708" s="19">
        <f>INDEX(Products!$E$2:$E$101,MATCH(C708,Products!$A$2:$A$101,0))</f>
        <v>200.06</v>
      </c>
      <c r="K708" s="19">
        <f t="shared" si="34"/>
        <v>800.24</v>
      </c>
      <c r="L708" s="19">
        <f t="shared" si="35"/>
        <v>405.6880000000001</v>
      </c>
    </row>
    <row r="709" spans="1:12" ht="15" customHeight="1" x14ac:dyDescent="0.25">
      <c r="A709" s="10">
        <v>708</v>
      </c>
      <c r="B709" s="10">
        <v>225</v>
      </c>
      <c r="C709" s="10">
        <v>5</v>
      </c>
      <c r="D709" s="10">
        <v>3</v>
      </c>
      <c r="E709" s="19">
        <v>310.02</v>
      </c>
      <c r="F709" s="10">
        <v>0.15</v>
      </c>
      <c r="G709" s="19">
        <f t="shared" si="33"/>
        <v>790.55099999999993</v>
      </c>
      <c r="H709" s="10">
        <f>INDEX(Products!$C$2:$C$101,MATCH(C709,Products!$A$2:$A$101,0))</f>
        <v>1</v>
      </c>
      <c r="I709" s="10" t="str">
        <f>INDEX(Categories!$B$2:$B$11,MATCH(H709,Categories!$A$2:$A$11,0))</f>
        <v>Electronics</v>
      </c>
      <c r="J709" s="19">
        <f>INDEX(Products!$E$2:$E$101,MATCH(C709,Products!$A$2:$A$101,0))</f>
        <v>134.93</v>
      </c>
      <c r="K709" s="19">
        <f t="shared" si="34"/>
        <v>404.79</v>
      </c>
      <c r="L709" s="19">
        <f t="shared" si="35"/>
        <v>385.76099999999991</v>
      </c>
    </row>
    <row r="710" spans="1:12" ht="15" customHeight="1" x14ac:dyDescent="0.25">
      <c r="A710" s="10">
        <v>709</v>
      </c>
      <c r="B710" s="10">
        <v>225</v>
      </c>
      <c r="C710" s="10">
        <v>77</v>
      </c>
      <c r="D710" s="10">
        <v>1</v>
      </c>
      <c r="E710" s="19">
        <v>87.18</v>
      </c>
      <c r="F710" s="10">
        <v>0</v>
      </c>
      <c r="G710" s="19">
        <f t="shared" si="33"/>
        <v>87.18</v>
      </c>
      <c r="H710" s="10">
        <f>INDEX(Products!$C$2:$C$101,MATCH(C710,Products!$A$2:$A$101,0))</f>
        <v>8</v>
      </c>
      <c r="I710" s="10" t="str">
        <f>INDEX(Categories!$B$2:$B$11,MATCH(H710,Categories!$A$2:$A$11,0))</f>
        <v>Health &amp; Beauty</v>
      </c>
      <c r="J710" s="19">
        <f>INDEX(Products!$E$2:$E$101,MATCH(C710,Products!$A$2:$A$101,0))</f>
        <v>38.61</v>
      </c>
      <c r="K710" s="19">
        <f t="shared" si="34"/>
        <v>38.61</v>
      </c>
      <c r="L710" s="19">
        <f t="shared" si="35"/>
        <v>48.570000000000007</v>
      </c>
    </row>
    <row r="711" spans="1:12" ht="15" customHeight="1" x14ac:dyDescent="0.25">
      <c r="A711" s="10">
        <v>710</v>
      </c>
      <c r="B711" s="10">
        <v>225</v>
      </c>
      <c r="C711" s="10">
        <v>66</v>
      </c>
      <c r="D711" s="10">
        <v>4</v>
      </c>
      <c r="E711" s="19">
        <v>155.88</v>
      </c>
      <c r="F711" s="10">
        <v>0.15</v>
      </c>
      <c r="G711" s="19">
        <f t="shared" si="33"/>
        <v>529.99199999999996</v>
      </c>
      <c r="H711" s="10">
        <f>INDEX(Products!$C$2:$C$101,MATCH(C711,Products!$A$2:$A$101,0))</f>
        <v>7</v>
      </c>
      <c r="I711" s="10" t="str">
        <f>INDEX(Categories!$B$2:$B$11,MATCH(H711,Categories!$A$2:$A$11,0))</f>
        <v>Toys &amp; Games</v>
      </c>
      <c r="J711" s="19">
        <f>INDEX(Products!$E$2:$E$101,MATCH(C711,Products!$A$2:$A$101,0))</f>
        <v>75.09</v>
      </c>
      <c r="K711" s="19">
        <f t="shared" si="34"/>
        <v>300.36</v>
      </c>
      <c r="L711" s="19">
        <f t="shared" si="35"/>
        <v>229.63199999999995</v>
      </c>
    </row>
    <row r="712" spans="1:12" ht="15" customHeight="1" x14ac:dyDescent="0.25">
      <c r="A712" s="10">
        <v>711</v>
      </c>
      <c r="B712" s="10">
        <v>226</v>
      </c>
      <c r="C712" s="10">
        <v>26</v>
      </c>
      <c r="D712" s="10">
        <v>2</v>
      </c>
      <c r="E712" s="19">
        <v>262.08</v>
      </c>
      <c r="F712" s="10">
        <v>0</v>
      </c>
      <c r="G712" s="19">
        <f t="shared" si="33"/>
        <v>524.16</v>
      </c>
      <c r="H712" s="10">
        <f>INDEX(Products!$C$2:$C$101,MATCH(C712,Products!$A$2:$A$101,0))</f>
        <v>3</v>
      </c>
      <c r="I712" s="10" t="str">
        <f>INDEX(Categories!$B$2:$B$11,MATCH(H712,Categories!$A$2:$A$11,0))</f>
        <v>Furniture</v>
      </c>
      <c r="J712" s="19">
        <f>INDEX(Products!$E$2:$E$101,MATCH(C712,Products!$A$2:$A$101,0))</f>
        <v>140.28</v>
      </c>
      <c r="K712" s="19">
        <f t="shared" si="34"/>
        <v>280.56</v>
      </c>
      <c r="L712" s="19">
        <f t="shared" si="35"/>
        <v>243.59999999999997</v>
      </c>
    </row>
    <row r="713" spans="1:12" ht="15" customHeight="1" x14ac:dyDescent="0.25">
      <c r="A713" s="10">
        <v>712</v>
      </c>
      <c r="B713" s="10">
        <v>226</v>
      </c>
      <c r="C713" s="10">
        <v>67</v>
      </c>
      <c r="D713" s="10">
        <v>9</v>
      </c>
      <c r="E713" s="19">
        <v>120.48</v>
      </c>
      <c r="F713" s="10">
        <v>0</v>
      </c>
      <c r="G713" s="19">
        <f t="shared" si="33"/>
        <v>1084.32</v>
      </c>
      <c r="H713" s="10">
        <f>INDEX(Products!$C$2:$C$101,MATCH(C713,Products!$A$2:$A$101,0))</f>
        <v>7</v>
      </c>
      <c r="I713" s="10" t="str">
        <f>INDEX(Categories!$B$2:$B$11,MATCH(H713,Categories!$A$2:$A$11,0))</f>
        <v>Toys &amp; Games</v>
      </c>
      <c r="J713" s="19">
        <f>INDEX(Products!$E$2:$E$101,MATCH(C713,Products!$A$2:$A$101,0))</f>
        <v>63.2</v>
      </c>
      <c r="K713" s="19">
        <f t="shared" si="34"/>
        <v>568.80000000000007</v>
      </c>
      <c r="L713" s="19">
        <f t="shared" si="35"/>
        <v>515.51999999999987</v>
      </c>
    </row>
    <row r="714" spans="1:12" ht="15" customHeight="1" x14ac:dyDescent="0.25">
      <c r="A714" s="10">
        <v>713</v>
      </c>
      <c r="B714" s="10">
        <v>226</v>
      </c>
      <c r="C714" s="10">
        <v>2</v>
      </c>
      <c r="D714" s="10">
        <v>9</v>
      </c>
      <c r="E714" s="19">
        <v>286.57</v>
      </c>
      <c r="F714" s="10">
        <v>0.1</v>
      </c>
      <c r="G714" s="19">
        <f t="shared" si="33"/>
        <v>2321.2170000000001</v>
      </c>
      <c r="H714" s="10">
        <f>INDEX(Products!$C$2:$C$101,MATCH(C714,Products!$A$2:$A$101,0))</f>
        <v>1</v>
      </c>
      <c r="I714" s="10" t="str">
        <f>INDEX(Categories!$B$2:$B$11,MATCH(H714,Categories!$A$2:$A$11,0))</f>
        <v>Electronics</v>
      </c>
      <c r="J714" s="19">
        <f>INDEX(Products!$E$2:$E$101,MATCH(C714,Products!$A$2:$A$101,0))</f>
        <v>135.94</v>
      </c>
      <c r="K714" s="19">
        <f t="shared" si="34"/>
        <v>1223.46</v>
      </c>
      <c r="L714" s="19">
        <f t="shared" si="35"/>
        <v>1097.7570000000001</v>
      </c>
    </row>
    <row r="715" spans="1:12" ht="15" customHeight="1" x14ac:dyDescent="0.25">
      <c r="A715" s="10">
        <v>714</v>
      </c>
      <c r="B715" s="10">
        <v>226</v>
      </c>
      <c r="C715" s="10">
        <v>95</v>
      </c>
      <c r="D715" s="10">
        <v>6</v>
      </c>
      <c r="E715" s="19">
        <v>394.56</v>
      </c>
      <c r="F715" s="10">
        <v>0</v>
      </c>
      <c r="G715" s="19">
        <f t="shared" si="33"/>
        <v>2367.36</v>
      </c>
      <c r="H715" s="10">
        <f>INDEX(Products!$C$2:$C$101,MATCH(C715,Products!$A$2:$A$101,0))</f>
        <v>10</v>
      </c>
      <c r="I715" s="10" t="str">
        <f>INDEX(Categories!$B$2:$B$11,MATCH(H715,Categories!$A$2:$A$11,0))</f>
        <v>Groceries</v>
      </c>
      <c r="J715" s="19">
        <f>INDEX(Products!$E$2:$E$101,MATCH(C715,Products!$A$2:$A$101,0))</f>
        <v>192.57</v>
      </c>
      <c r="K715" s="19">
        <f t="shared" si="34"/>
        <v>1155.42</v>
      </c>
      <c r="L715" s="19">
        <f t="shared" si="35"/>
        <v>1211.94</v>
      </c>
    </row>
    <row r="716" spans="1:12" ht="15" customHeight="1" x14ac:dyDescent="0.25">
      <c r="A716" s="10">
        <v>715</v>
      </c>
      <c r="B716" s="10">
        <v>226</v>
      </c>
      <c r="C716" s="10">
        <v>91</v>
      </c>
      <c r="D716" s="10">
        <v>5</v>
      </c>
      <c r="E716" s="19">
        <v>180.37</v>
      </c>
      <c r="F716" s="10">
        <v>0</v>
      </c>
      <c r="G716" s="19">
        <f t="shared" si="33"/>
        <v>901.85</v>
      </c>
      <c r="H716" s="10">
        <f>INDEX(Products!$C$2:$C$101,MATCH(C716,Products!$A$2:$A$101,0))</f>
        <v>10</v>
      </c>
      <c r="I716" s="10" t="str">
        <f>INDEX(Categories!$B$2:$B$11,MATCH(H716,Categories!$A$2:$A$11,0))</f>
        <v>Groceries</v>
      </c>
      <c r="J716" s="19">
        <f>INDEX(Products!$E$2:$E$101,MATCH(C716,Products!$A$2:$A$101,0))</f>
        <v>75.92</v>
      </c>
      <c r="K716" s="19">
        <f t="shared" si="34"/>
        <v>379.6</v>
      </c>
      <c r="L716" s="19">
        <f t="shared" si="35"/>
        <v>522.25</v>
      </c>
    </row>
    <row r="717" spans="1:12" ht="15" customHeight="1" x14ac:dyDescent="0.25">
      <c r="A717" s="10">
        <v>716</v>
      </c>
      <c r="B717" s="10">
        <v>227</v>
      </c>
      <c r="C717" s="10">
        <v>34</v>
      </c>
      <c r="D717" s="10">
        <v>3</v>
      </c>
      <c r="E717" s="19">
        <v>339.25</v>
      </c>
      <c r="F717" s="10">
        <v>0.05</v>
      </c>
      <c r="G717" s="19">
        <f t="shared" si="33"/>
        <v>966.86249999999995</v>
      </c>
      <c r="H717" s="10">
        <f>INDEX(Products!$C$2:$C$101,MATCH(C717,Products!$A$2:$A$101,0))</f>
        <v>4</v>
      </c>
      <c r="I717" s="10" t="str">
        <f>INDEX(Categories!$B$2:$B$11,MATCH(H717,Categories!$A$2:$A$11,0))</f>
        <v>Apparel</v>
      </c>
      <c r="J717" s="19">
        <f>INDEX(Products!$E$2:$E$101,MATCH(C717,Products!$A$2:$A$101,0))</f>
        <v>208.66</v>
      </c>
      <c r="K717" s="19">
        <f t="shared" si="34"/>
        <v>625.98</v>
      </c>
      <c r="L717" s="19">
        <f t="shared" si="35"/>
        <v>340.88249999999994</v>
      </c>
    </row>
    <row r="718" spans="1:12" ht="15" customHeight="1" x14ac:dyDescent="0.25">
      <c r="A718" s="10">
        <v>717</v>
      </c>
      <c r="B718" s="10">
        <v>228</v>
      </c>
      <c r="C718" s="10">
        <v>33</v>
      </c>
      <c r="D718" s="10">
        <v>7</v>
      </c>
      <c r="E718" s="19">
        <v>432.05</v>
      </c>
      <c r="F718" s="10">
        <v>0.1</v>
      </c>
      <c r="G718" s="19">
        <f t="shared" si="33"/>
        <v>2721.915</v>
      </c>
      <c r="H718" s="10">
        <f>INDEX(Products!$C$2:$C$101,MATCH(C718,Products!$A$2:$A$101,0))</f>
        <v>4</v>
      </c>
      <c r="I718" s="10" t="str">
        <f>INDEX(Categories!$B$2:$B$11,MATCH(H718,Categories!$A$2:$A$11,0))</f>
        <v>Apparel</v>
      </c>
      <c r="J718" s="19">
        <f>INDEX(Products!$E$2:$E$101,MATCH(C718,Products!$A$2:$A$101,0))</f>
        <v>181.97</v>
      </c>
      <c r="K718" s="19">
        <f t="shared" si="34"/>
        <v>1273.79</v>
      </c>
      <c r="L718" s="19">
        <f t="shared" si="35"/>
        <v>1448.125</v>
      </c>
    </row>
    <row r="719" spans="1:12" ht="15" customHeight="1" x14ac:dyDescent="0.25">
      <c r="A719" s="10">
        <v>718</v>
      </c>
      <c r="B719" s="10">
        <v>228</v>
      </c>
      <c r="C719" s="10">
        <v>69</v>
      </c>
      <c r="D719" s="10">
        <v>8</v>
      </c>
      <c r="E719" s="19">
        <v>188.38</v>
      </c>
      <c r="F719" s="10">
        <v>0.2</v>
      </c>
      <c r="G719" s="19">
        <f t="shared" si="33"/>
        <v>1205.6320000000001</v>
      </c>
      <c r="H719" s="10">
        <f>INDEX(Products!$C$2:$C$101,MATCH(C719,Products!$A$2:$A$101,0))</f>
        <v>7</v>
      </c>
      <c r="I719" s="10" t="str">
        <f>INDEX(Categories!$B$2:$B$11,MATCH(H719,Categories!$A$2:$A$11,0))</f>
        <v>Toys &amp; Games</v>
      </c>
      <c r="J719" s="19">
        <f>INDEX(Products!$E$2:$E$101,MATCH(C719,Products!$A$2:$A$101,0))</f>
        <v>86.95</v>
      </c>
      <c r="K719" s="19">
        <f t="shared" si="34"/>
        <v>695.6</v>
      </c>
      <c r="L719" s="19">
        <f t="shared" si="35"/>
        <v>510.03200000000004</v>
      </c>
    </row>
    <row r="720" spans="1:12" ht="15" customHeight="1" x14ac:dyDescent="0.25">
      <c r="A720" s="10">
        <v>719</v>
      </c>
      <c r="B720" s="10">
        <v>228</v>
      </c>
      <c r="C720" s="10">
        <v>74</v>
      </c>
      <c r="D720" s="10">
        <v>4</v>
      </c>
      <c r="E720" s="19">
        <v>199.68</v>
      </c>
      <c r="F720" s="10">
        <v>0.2</v>
      </c>
      <c r="G720" s="19">
        <f t="shared" si="33"/>
        <v>638.97600000000011</v>
      </c>
      <c r="H720" s="10">
        <f>INDEX(Products!$C$2:$C$101,MATCH(C720,Products!$A$2:$A$101,0))</f>
        <v>8</v>
      </c>
      <c r="I720" s="10" t="str">
        <f>INDEX(Categories!$B$2:$B$11,MATCH(H720,Categories!$A$2:$A$11,0))</f>
        <v>Health &amp; Beauty</v>
      </c>
      <c r="J720" s="19">
        <f>INDEX(Products!$E$2:$E$101,MATCH(C720,Products!$A$2:$A$101,0))</f>
        <v>98.36</v>
      </c>
      <c r="K720" s="19">
        <f t="shared" si="34"/>
        <v>393.44</v>
      </c>
      <c r="L720" s="19">
        <f t="shared" si="35"/>
        <v>245.53600000000012</v>
      </c>
    </row>
    <row r="721" spans="1:12" ht="15" customHeight="1" x14ac:dyDescent="0.25">
      <c r="A721" s="10">
        <v>720</v>
      </c>
      <c r="B721" s="10">
        <v>228</v>
      </c>
      <c r="C721" s="10">
        <v>89</v>
      </c>
      <c r="D721" s="10">
        <v>6</v>
      </c>
      <c r="E721" s="19">
        <v>312.76</v>
      </c>
      <c r="F721" s="10">
        <v>0.2</v>
      </c>
      <c r="G721" s="19">
        <f t="shared" si="33"/>
        <v>1501.248</v>
      </c>
      <c r="H721" s="10">
        <f>INDEX(Products!$C$2:$C$101,MATCH(C721,Products!$A$2:$A$101,0))</f>
        <v>9</v>
      </c>
      <c r="I721" s="10" t="str">
        <f>INDEX(Categories!$B$2:$B$11,MATCH(H721,Categories!$A$2:$A$11,0))</f>
        <v>Automotive Parts</v>
      </c>
      <c r="J721" s="19">
        <f>INDEX(Products!$E$2:$E$101,MATCH(C721,Products!$A$2:$A$101,0))</f>
        <v>173.51</v>
      </c>
      <c r="K721" s="19">
        <f t="shared" si="34"/>
        <v>1041.06</v>
      </c>
      <c r="L721" s="19">
        <f t="shared" si="35"/>
        <v>460.1880000000001</v>
      </c>
    </row>
    <row r="722" spans="1:12" ht="15" customHeight="1" x14ac:dyDescent="0.25">
      <c r="A722" s="10">
        <v>721</v>
      </c>
      <c r="B722" s="10">
        <v>228</v>
      </c>
      <c r="C722" s="10">
        <v>57</v>
      </c>
      <c r="D722" s="10">
        <v>8</v>
      </c>
      <c r="E722" s="19">
        <v>357.27</v>
      </c>
      <c r="F722" s="10">
        <v>0.15</v>
      </c>
      <c r="G722" s="19">
        <f t="shared" si="33"/>
        <v>2429.4359999999997</v>
      </c>
      <c r="H722" s="10">
        <f>INDEX(Products!$C$2:$C$101,MATCH(C722,Products!$A$2:$A$101,0))</f>
        <v>6</v>
      </c>
      <c r="I722" s="10" t="str">
        <f>INDEX(Categories!$B$2:$B$11,MATCH(H722,Categories!$A$2:$A$11,0))</f>
        <v>Sporting Goods</v>
      </c>
      <c r="J722" s="19">
        <f>INDEX(Products!$E$2:$E$101,MATCH(C722,Products!$A$2:$A$101,0))</f>
        <v>214.86</v>
      </c>
      <c r="K722" s="19">
        <f t="shared" si="34"/>
        <v>1718.88</v>
      </c>
      <c r="L722" s="19">
        <f t="shared" si="35"/>
        <v>710.55599999999959</v>
      </c>
    </row>
    <row r="723" spans="1:12" ht="15" customHeight="1" x14ac:dyDescent="0.25">
      <c r="A723" s="10">
        <v>722</v>
      </c>
      <c r="B723" s="10">
        <v>229</v>
      </c>
      <c r="C723" s="10">
        <v>41</v>
      </c>
      <c r="D723" s="10">
        <v>6</v>
      </c>
      <c r="E723" s="19">
        <v>331.46</v>
      </c>
      <c r="F723" s="10">
        <v>0.1</v>
      </c>
      <c r="G723" s="19">
        <f t="shared" si="33"/>
        <v>1789.8839999999998</v>
      </c>
      <c r="H723" s="10">
        <f>INDEX(Products!$C$2:$C$101,MATCH(C723,Products!$A$2:$A$101,0))</f>
        <v>5</v>
      </c>
      <c r="I723" s="10" t="str">
        <f>INDEX(Categories!$B$2:$B$11,MATCH(H723,Categories!$A$2:$A$11,0))</f>
        <v>Home &amp; Kitchen</v>
      </c>
      <c r="J723" s="19">
        <f>INDEX(Products!$E$2:$E$101,MATCH(C723,Products!$A$2:$A$101,0))</f>
        <v>152.76</v>
      </c>
      <c r="K723" s="19">
        <f t="shared" si="34"/>
        <v>916.56</v>
      </c>
      <c r="L723" s="19">
        <f t="shared" si="35"/>
        <v>873.32399999999984</v>
      </c>
    </row>
    <row r="724" spans="1:12" ht="15" customHeight="1" x14ac:dyDescent="0.25">
      <c r="A724" s="10">
        <v>723</v>
      </c>
      <c r="B724" s="10">
        <v>229</v>
      </c>
      <c r="C724" s="10">
        <v>53</v>
      </c>
      <c r="D724" s="10">
        <v>9</v>
      </c>
      <c r="E724" s="19">
        <v>534</v>
      </c>
      <c r="F724" s="10">
        <v>0</v>
      </c>
      <c r="G724" s="19">
        <f t="shared" si="33"/>
        <v>4806</v>
      </c>
      <c r="H724" s="10">
        <f>INDEX(Products!$C$2:$C$101,MATCH(C724,Products!$A$2:$A$101,0))</f>
        <v>6</v>
      </c>
      <c r="I724" s="10" t="str">
        <f>INDEX(Categories!$B$2:$B$11,MATCH(H724,Categories!$A$2:$A$11,0))</f>
        <v>Sporting Goods</v>
      </c>
      <c r="J724" s="19">
        <f>INDEX(Products!$E$2:$E$101,MATCH(C724,Products!$A$2:$A$101,0))</f>
        <v>240.59</v>
      </c>
      <c r="K724" s="19">
        <f t="shared" si="34"/>
        <v>2165.31</v>
      </c>
      <c r="L724" s="19">
        <f t="shared" si="35"/>
        <v>2640.69</v>
      </c>
    </row>
    <row r="725" spans="1:12" ht="15" customHeight="1" x14ac:dyDescent="0.25">
      <c r="A725" s="10">
        <v>724</v>
      </c>
      <c r="B725" s="10">
        <v>230</v>
      </c>
      <c r="C725" s="10">
        <v>71</v>
      </c>
      <c r="D725" s="10">
        <v>3</v>
      </c>
      <c r="E725" s="19">
        <v>228.48</v>
      </c>
      <c r="F725" s="10">
        <v>0.05</v>
      </c>
      <c r="G725" s="19">
        <f t="shared" si="33"/>
        <v>651.16799999999989</v>
      </c>
      <c r="H725" s="10">
        <f>INDEX(Products!$C$2:$C$101,MATCH(C725,Products!$A$2:$A$101,0))</f>
        <v>8</v>
      </c>
      <c r="I725" s="10" t="str">
        <f>INDEX(Categories!$B$2:$B$11,MATCH(H725,Categories!$A$2:$A$11,0))</f>
        <v>Health &amp; Beauty</v>
      </c>
      <c r="J725" s="19">
        <f>INDEX(Products!$E$2:$E$101,MATCH(C725,Products!$A$2:$A$101,0))</f>
        <v>136.03</v>
      </c>
      <c r="K725" s="19">
        <f t="shared" si="34"/>
        <v>408.09000000000003</v>
      </c>
      <c r="L725" s="19">
        <f t="shared" si="35"/>
        <v>243.07799999999986</v>
      </c>
    </row>
    <row r="726" spans="1:12" ht="15" customHeight="1" x14ac:dyDescent="0.25">
      <c r="A726" s="10">
        <v>725</v>
      </c>
      <c r="B726" s="10">
        <v>231</v>
      </c>
      <c r="C726" s="10">
        <v>95</v>
      </c>
      <c r="D726" s="10">
        <v>4</v>
      </c>
      <c r="E726" s="19">
        <v>394.56</v>
      </c>
      <c r="F726" s="10">
        <v>0</v>
      </c>
      <c r="G726" s="19">
        <f t="shared" si="33"/>
        <v>1578.24</v>
      </c>
      <c r="H726" s="10">
        <f>INDEX(Products!$C$2:$C$101,MATCH(C726,Products!$A$2:$A$101,0))</f>
        <v>10</v>
      </c>
      <c r="I726" s="10" t="str">
        <f>INDEX(Categories!$B$2:$B$11,MATCH(H726,Categories!$A$2:$A$11,0))</f>
        <v>Groceries</v>
      </c>
      <c r="J726" s="19">
        <f>INDEX(Products!$E$2:$E$101,MATCH(C726,Products!$A$2:$A$101,0))</f>
        <v>192.57</v>
      </c>
      <c r="K726" s="19">
        <f t="shared" si="34"/>
        <v>770.28</v>
      </c>
      <c r="L726" s="19">
        <f t="shared" si="35"/>
        <v>807.96</v>
      </c>
    </row>
    <row r="727" spans="1:12" ht="15" customHeight="1" x14ac:dyDescent="0.25">
      <c r="A727" s="10">
        <v>726</v>
      </c>
      <c r="B727" s="10">
        <v>231</v>
      </c>
      <c r="C727" s="10">
        <v>26</v>
      </c>
      <c r="D727" s="10">
        <v>4</v>
      </c>
      <c r="E727" s="19">
        <v>262.08</v>
      </c>
      <c r="F727" s="10">
        <v>0.2</v>
      </c>
      <c r="G727" s="19">
        <f t="shared" si="33"/>
        <v>838.65599999999995</v>
      </c>
      <c r="H727" s="10">
        <f>INDEX(Products!$C$2:$C$101,MATCH(C727,Products!$A$2:$A$101,0))</f>
        <v>3</v>
      </c>
      <c r="I727" s="10" t="str">
        <f>INDEX(Categories!$B$2:$B$11,MATCH(H727,Categories!$A$2:$A$11,0))</f>
        <v>Furniture</v>
      </c>
      <c r="J727" s="19">
        <f>INDEX(Products!$E$2:$E$101,MATCH(C727,Products!$A$2:$A$101,0))</f>
        <v>140.28</v>
      </c>
      <c r="K727" s="19">
        <f t="shared" si="34"/>
        <v>561.12</v>
      </c>
      <c r="L727" s="19">
        <f t="shared" si="35"/>
        <v>277.53599999999994</v>
      </c>
    </row>
    <row r="728" spans="1:12" ht="15" customHeight="1" x14ac:dyDescent="0.25">
      <c r="A728" s="10">
        <v>727</v>
      </c>
      <c r="B728" s="10">
        <v>231</v>
      </c>
      <c r="C728" s="10">
        <v>31</v>
      </c>
      <c r="D728" s="10">
        <v>4</v>
      </c>
      <c r="E728" s="19">
        <v>93.27</v>
      </c>
      <c r="F728" s="10">
        <v>0.2</v>
      </c>
      <c r="G728" s="19">
        <f t="shared" si="33"/>
        <v>298.464</v>
      </c>
      <c r="H728" s="10">
        <f>INDEX(Products!$C$2:$C$101,MATCH(C728,Products!$A$2:$A$101,0))</f>
        <v>4</v>
      </c>
      <c r="I728" s="10" t="str">
        <f>INDEX(Categories!$B$2:$B$11,MATCH(H728,Categories!$A$2:$A$11,0))</f>
        <v>Apparel</v>
      </c>
      <c r="J728" s="19">
        <f>INDEX(Products!$E$2:$E$101,MATCH(C728,Products!$A$2:$A$101,0))</f>
        <v>65.099999999999994</v>
      </c>
      <c r="K728" s="19">
        <f t="shared" si="34"/>
        <v>260.39999999999998</v>
      </c>
      <c r="L728" s="19">
        <f t="shared" si="35"/>
        <v>38.064000000000021</v>
      </c>
    </row>
    <row r="729" spans="1:12" ht="15" customHeight="1" x14ac:dyDescent="0.25">
      <c r="A729" s="10">
        <v>728</v>
      </c>
      <c r="B729" s="10">
        <v>231</v>
      </c>
      <c r="C729" s="10">
        <v>34</v>
      </c>
      <c r="D729" s="10">
        <v>10</v>
      </c>
      <c r="E729" s="19">
        <v>339.25</v>
      </c>
      <c r="F729" s="10">
        <v>0</v>
      </c>
      <c r="G729" s="19">
        <f t="shared" si="33"/>
        <v>3392.5</v>
      </c>
      <c r="H729" s="10">
        <f>INDEX(Products!$C$2:$C$101,MATCH(C729,Products!$A$2:$A$101,0))</f>
        <v>4</v>
      </c>
      <c r="I729" s="10" t="str">
        <f>INDEX(Categories!$B$2:$B$11,MATCH(H729,Categories!$A$2:$A$11,0))</f>
        <v>Apparel</v>
      </c>
      <c r="J729" s="19">
        <f>INDEX(Products!$E$2:$E$101,MATCH(C729,Products!$A$2:$A$101,0))</f>
        <v>208.66</v>
      </c>
      <c r="K729" s="19">
        <f t="shared" si="34"/>
        <v>2086.6</v>
      </c>
      <c r="L729" s="19">
        <f t="shared" si="35"/>
        <v>1305.9000000000001</v>
      </c>
    </row>
    <row r="730" spans="1:12" ht="15" customHeight="1" x14ac:dyDescent="0.25">
      <c r="A730" s="10">
        <v>729</v>
      </c>
      <c r="B730" s="10">
        <v>232</v>
      </c>
      <c r="C730" s="10">
        <v>48</v>
      </c>
      <c r="D730" s="10">
        <v>10</v>
      </c>
      <c r="E730" s="19">
        <v>205.11</v>
      </c>
      <c r="F730" s="10">
        <v>0.2</v>
      </c>
      <c r="G730" s="19">
        <f t="shared" si="33"/>
        <v>1640.8800000000003</v>
      </c>
      <c r="H730" s="10">
        <f>INDEX(Products!$C$2:$C$101,MATCH(C730,Products!$A$2:$A$101,0))</f>
        <v>5</v>
      </c>
      <c r="I730" s="10" t="str">
        <f>INDEX(Categories!$B$2:$B$11,MATCH(H730,Categories!$A$2:$A$11,0))</f>
        <v>Home &amp; Kitchen</v>
      </c>
      <c r="J730" s="19">
        <f>INDEX(Products!$E$2:$E$101,MATCH(C730,Products!$A$2:$A$101,0))</f>
        <v>108.01</v>
      </c>
      <c r="K730" s="19">
        <f t="shared" si="34"/>
        <v>1080.1000000000001</v>
      </c>
      <c r="L730" s="19">
        <f t="shared" si="35"/>
        <v>560.7800000000002</v>
      </c>
    </row>
    <row r="731" spans="1:12" ht="15" customHeight="1" x14ac:dyDescent="0.25">
      <c r="A731" s="10">
        <v>730</v>
      </c>
      <c r="B731" s="10">
        <v>232</v>
      </c>
      <c r="C731" s="10">
        <v>80</v>
      </c>
      <c r="D731" s="10">
        <v>5</v>
      </c>
      <c r="E731" s="19">
        <v>292.64999999999998</v>
      </c>
      <c r="F731" s="10">
        <v>0.05</v>
      </c>
      <c r="G731" s="19">
        <f t="shared" si="33"/>
        <v>1390.0874999999999</v>
      </c>
      <c r="H731" s="10">
        <f>INDEX(Products!$C$2:$C$101,MATCH(C731,Products!$A$2:$A$101,0))</f>
        <v>8</v>
      </c>
      <c r="I731" s="10" t="str">
        <f>INDEX(Categories!$B$2:$B$11,MATCH(H731,Categories!$A$2:$A$11,0))</f>
        <v>Health &amp; Beauty</v>
      </c>
      <c r="J731" s="19">
        <f>INDEX(Products!$E$2:$E$101,MATCH(C731,Products!$A$2:$A$101,0))</f>
        <v>218.48</v>
      </c>
      <c r="K731" s="19">
        <f t="shared" si="34"/>
        <v>1092.3999999999999</v>
      </c>
      <c r="L731" s="19">
        <f t="shared" si="35"/>
        <v>297.6875</v>
      </c>
    </row>
    <row r="732" spans="1:12" ht="15" customHeight="1" x14ac:dyDescent="0.25">
      <c r="A732" s="10">
        <v>731</v>
      </c>
      <c r="B732" s="10">
        <v>232</v>
      </c>
      <c r="C732" s="10">
        <v>41</v>
      </c>
      <c r="D732" s="10">
        <v>3</v>
      </c>
      <c r="E732" s="19">
        <v>331.46</v>
      </c>
      <c r="F732" s="10">
        <v>0.2</v>
      </c>
      <c r="G732" s="19">
        <f t="shared" si="33"/>
        <v>795.50399999999991</v>
      </c>
      <c r="H732" s="10">
        <f>INDEX(Products!$C$2:$C$101,MATCH(C732,Products!$A$2:$A$101,0))</f>
        <v>5</v>
      </c>
      <c r="I732" s="10" t="str">
        <f>INDEX(Categories!$B$2:$B$11,MATCH(H732,Categories!$A$2:$A$11,0))</f>
        <v>Home &amp; Kitchen</v>
      </c>
      <c r="J732" s="19">
        <f>INDEX(Products!$E$2:$E$101,MATCH(C732,Products!$A$2:$A$101,0))</f>
        <v>152.76</v>
      </c>
      <c r="K732" s="19">
        <f t="shared" si="34"/>
        <v>458.28</v>
      </c>
      <c r="L732" s="19">
        <f t="shared" si="35"/>
        <v>337.22399999999993</v>
      </c>
    </row>
    <row r="733" spans="1:12" ht="15" customHeight="1" x14ac:dyDescent="0.25">
      <c r="A733" s="10">
        <v>732</v>
      </c>
      <c r="B733" s="10">
        <v>232</v>
      </c>
      <c r="C733" s="10">
        <v>64</v>
      </c>
      <c r="D733" s="10">
        <v>9</v>
      </c>
      <c r="E733" s="19">
        <v>265.25</v>
      </c>
      <c r="F733" s="10">
        <v>0</v>
      </c>
      <c r="G733" s="19">
        <f t="shared" si="33"/>
        <v>2387.25</v>
      </c>
      <c r="H733" s="10">
        <f>INDEX(Products!$C$2:$C$101,MATCH(C733,Products!$A$2:$A$101,0))</f>
        <v>7</v>
      </c>
      <c r="I733" s="10" t="str">
        <f>INDEX(Categories!$B$2:$B$11,MATCH(H733,Categories!$A$2:$A$11,0))</f>
        <v>Toys &amp; Games</v>
      </c>
      <c r="J733" s="19">
        <f>INDEX(Products!$E$2:$E$101,MATCH(C733,Products!$A$2:$A$101,0))</f>
        <v>139.06</v>
      </c>
      <c r="K733" s="19">
        <f t="shared" si="34"/>
        <v>1251.54</v>
      </c>
      <c r="L733" s="19">
        <f t="shared" si="35"/>
        <v>1135.71</v>
      </c>
    </row>
    <row r="734" spans="1:12" ht="15" customHeight="1" x14ac:dyDescent="0.25">
      <c r="A734" s="10">
        <v>733</v>
      </c>
      <c r="B734" s="10">
        <v>233</v>
      </c>
      <c r="C734" s="10">
        <v>5</v>
      </c>
      <c r="D734" s="10">
        <v>3</v>
      </c>
      <c r="E734" s="19">
        <v>310.02</v>
      </c>
      <c r="F734" s="10">
        <v>0.05</v>
      </c>
      <c r="G734" s="19">
        <f t="shared" si="33"/>
        <v>883.5569999999999</v>
      </c>
      <c r="H734" s="10">
        <f>INDEX(Products!$C$2:$C$101,MATCH(C734,Products!$A$2:$A$101,0))</f>
        <v>1</v>
      </c>
      <c r="I734" s="10" t="str">
        <f>INDEX(Categories!$B$2:$B$11,MATCH(H734,Categories!$A$2:$A$11,0))</f>
        <v>Electronics</v>
      </c>
      <c r="J734" s="19">
        <f>INDEX(Products!$E$2:$E$101,MATCH(C734,Products!$A$2:$A$101,0))</f>
        <v>134.93</v>
      </c>
      <c r="K734" s="19">
        <f t="shared" si="34"/>
        <v>404.79</v>
      </c>
      <c r="L734" s="19">
        <f t="shared" si="35"/>
        <v>478.76699999999988</v>
      </c>
    </row>
    <row r="735" spans="1:12" ht="15" customHeight="1" x14ac:dyDescent="0.25">
      <c r="A735" s="10">
        <v>734</v>
      </c>
      <c r="B735" s="10">
        <v>233</v>
      </c>
      <c r="C735" s="10">
        <v>65</v>
      </c>
      <c r="D735" s="10">
        <v>2</v>
      </c>
      <c r="E735" s="19">
        <v>167.19</v>
      </c>
      <c r="F735" s="10">
        <v>0.15</v>
      </c>
      <c r="G735" s="19">
        <f t="shared" si="33"/>
        <v>284.22300000000001</v>
      </c>
      <c r="H735" s="10">
        <f>INDEX(Products!$C$2:$C$101,MATCH(C735,Products!$A$2:$A$101,0))</f>
        <v>7</v>
      </c>
      <c r="I735" s="10" t="str">
        <f>INDEX(Categories!$B$2:$B$11,MATCH(H735,Categories!$A$2:$A$11,0))</f>
        <v>Toys &amp; Games</v>
      </c>
      <c r="J735" s="19">
        <f>INDEX(Products!$E$2:$E$101,MATCH(C735,Products!$A$2:$A$101,0))</f>
        <v>116.98</v>
      </c>
      <c r="K735" s="19">
        <f t="shared" si="34"/>
        <v>233.96</v>
      </c>
      <c r="L735" s="19">
        <f t="shared" si="35"/>
        <v>50.263000000000005</v>
      </c>
    </row>
    <row r="736" spans="1:12" ht="15" customHeight="1" x14ac:dyDescent="0.25">
      <c r="A736" s="10">
        <v>735</v>
      </c>
      <c r="B736" s="10">
        <v>233</v>
      </c>
      <c r="C736" s="10">
        <v>45</v>
      </c>
      <c r="D736" s="10">
        <v>9</v>
      </c>
      <c r="E736" s="19">
        <v>72.88</v>
      </c>
      <c r="F736" s="10">
        <v>0.05</v>
      </c>
      <c r="G736" s="19">
        <f t="shared" si="33"/>
        <v>623.12399999999991</v>
      </c>
      <c r="H736" s="10">
        <f>INDEX(Products!$C$2:$C$101,MATCH(C736,Products!$A$2:$A$101,0))</f>
        <v>5</v>
      </c>
      <c r="I736" s="10" t="str">
        <f>INDEX(Categories!$B$2:$B$11,MATCH(H736,Categories!$A$2:$A$11,0))</f>
        <v>Home &amp; Kitchen</v>
      </c>
      <c r="J736" s="19">
        <f>INDEX(Products!$E$2:$E$101,MATCH(C736,Products!$A$2:$A$101,0))</f>
        <v>41.66</v>
      </c>
      <c r="K736" s="19">
        <f t="shared" si="34"/>
        <v>374.93999999999994</v>
      </c>
      <c r="L736" s="19">
        <f t="shared" si="35"/>
        <v>248.18399999999997</v>
      </c>
    </row>
    <row r="737" spans="1:12" ht="15" customHeight="1" x14ac:dyDescent="0.25">
      <c r="A737" s="10">
        <v>736</v>
      </c>
      <c r="B737" s="10">
        <v>233</v>
      </c>
      <c r="C737" s="10">
        <v>51</v>
      </c>
      <c r="D737" s="10">
        <v>6</v>
      </c>
      <c r="E737" s="19">
        <v>436.43</v>
      </c>
      <c r="F737" s="10">
        <v>0.15</v>
      </c>
      <c r="G737" s="19">
        <f t="shared" si="33"/>
        <v>2225.7929999999997</v>
      </c>
      <c r="H737" s="10">
        <f>INDEX(Products!$C$2:$C$101,MATCH(C737,Products!$A$2:$A$101,0))</f>
        <v>6</v>
      </c>
      <c r="I737" s="10" t="str">
        <f>INDEX(Categories!$B$2:$B$11,MATCH(H737,Categories!$A$2:$A$11,0))</f>
        <v>Sporting Goods</v>
      </c>
      <c r="J737" s="19">
        <f>INDEX(Products!$E$2:$E$101,MATCH(C737,Products!$A$2:$A$101,0))</f>
        <v>235.84</v>
      </c>
      <c r="K737" s="19">
        <f t="shared" si="34"/>
        <v>1415.04</v>
      </c>
      <c r="L737" s="19">
        <f t="shared" si="35"/>
        <v>810.7529999999997</v>
      </c>
    </row>
    <row r="738" spans="1:12" ht="15" customHeight="1" x14ac:dyDescent="0.25">
      <c r="A738" s="10">
        <v>737</v>
      </c>
      <c r="B738" s="10">
        <v>233</v>
      </c>
      <c r="C738" s="10">
        <v>88</v>
      </c>
      <c r="D738" s="10">
        <v>1</v>
      </c>
      <c r="E738" s="19">
        <v>188.36</v>
      </c>
      <c r="F738" s="10">
        <v>0</v>
      </c>
      <c r="G738" s="19">
        <f t="shared" si="33"/>
        <v>188.36</v>
      </c>
      <c r="H738" s="10">
        <f>INDEX(Products!$C$2:$C$101,MATCH(C738,Products!$A$2:$A$101,0))</f>
        <v>9</v>
      </c>
      <c r="I738" s="10" t="str">
        <f>INDEX(Categories!$B$2:$B$11,MATCH(H738,Categories!$A$2:$A$11,0))</f>
        <v>Automotive Parts</v>
      </c>
      <c r="J738" s="19">
        <f>INDEX(Products!$E$2:$E$101,MATCH(C738,Products!$A$2:$A$101,0))</f>
        <v>112.11</v>
      </c>
      <c r="K738" s="19">
        <f t="shared" si="34"/>
        <v>112.11</v>
      </c>
      <c r="L738" s="19">
        <f t="shared" si="35"/>
        <v>76.250000000000014</v>
      </c>
    </row>
    <row r="739" spans="1:12" ht="15" customHeight="1" x14ac:dyDescent="0.25">
      <c r="A739" s="10">
        <v>738</v>
      </c>
      <c r="B739" s="10">
        <v>234</v>
      </c>
      <c r="C739" s="10">
        <v>34</v>
      </c>
      <c r="D739" s="10">
        <v>8</v>
      </c>
      <c r="E739" s="19">
        <v>339.25</v>
      </c>
      <c r="F739" s="10">
        <v>0.1</v>
      </c>
      <c r="G739" s="19">
        <f t="shared" si="33"/>
        <v>2442.6</v>
      </c>
      <c r="H739" s="10">
        <f>INDEX(Products!$C$2:$C$101,MATCH(C739,Products!$A$2:$A$101,0))</f>
        <v>4</v>
      </c>
      <c r="I739" s="10" t="str">
        <f>INDEX(Categories!$B$2:$B$11,MATCH(H739,Categories!$A$2:$A$11,0))</f>
        <v>Apparel</v>
      </c>
      <c r="J739" s="19">
        <f>INDEX(Products!$E$2:$E$101,MATCH(C739,Products!$A$2:$A$101,0))</f>
        <v>208.66</v>
      </c>
      <c r="K739" s="19">
        <f t="shared" si="34"/>
        <v>1669.28</v>
      </c>
      <c r="L739" s="19">
        <f t="shared" si="35"/>
        <v>773.31999999999994</v>
      </c>
    </row>
    <row r="740" spans="1:12" ht="15" customHeight="1" x14ac:dyDescent="0.25">
      <c r="A740" s="10">
        <v>739</v>
      </c>
      <c r="B740" s="10">
        <v>234</v>
      </c>
      <c r="C740" s="10">
        <v>24</v>
      </c>
      <c r="D740" s="10">
        <v>6</v>
      </c>
      <c r="E740" s="19">
        <v>158.72999999999999</v>
      </c>
      <c r="F740" s="10">
        <v>0</v>
      </c>
      <c r="G740" s="19">
        <f t="shared" si="33"/>
        <v>952.37999999999988</v>
      </c>
      <c r="H740" s="10">
        <f>INDEX(Products!$C$2:$C$101,MATCH(C740,Products!$A$2:$A$101,0))</f>
        <v>3</v>
      </c>
      <c r="I740" s="10" t="str">
        <f>INDEX(Categories!$B$2:$B$11,MATCH(H740,Categories!$A$2:$A$11,0))</f>
        <v>Furniture</v>
      </c>
      <c r="J740" s="19">
        <f>INDEX(Products!$E$2:$E$101,MATCH(C740,Products!$A$2:$A$101,0))</f>
        <v>86.09</v>
      </c>
      <c r="K740" s="19">
        <f t="shared" si="34"/>
        <v>516.54</v>
      </c>
      <c r="L740" s="19">
        <f t="shared" si="35"/>
        <v>435.83999999999992</v>
      </c>
    </row>
    <row r="741" spans="1:12" ht="15" customHeight="1" x14ac:dyDescent="0.25">
      <c r="A741" s="10">
        <v>740</v>
      </c>
      <c r="B741" s="10">
        <v>234</v>
      </c>
      <c r="C741" s="10">
        <v>71</v>
      </c>
      <c r="D741" s="10">
        <v>3</v>
      </c>
      <c r="E741" s="19">
        <v>228.48</v>
      </c>
      <c r="F741" s="10">
        <v>0.05</v>
      </c>
      <c r="G741" s="19">
        <f t="shared" si="33"/>
        <v>651.16799999999989</v>
      </c>
      <c r="H741" s="10">
        <f>INDEX(Products!$C$2:$C$101,MATCH(C741,Products!$A$2:$A$101,0))</f>
        <v>8</v>
      </c>
      <c r="I741" s="10" t="str">
        <f>INDEX(Categories!$B$2:$B$11,MATCH(H741,Categories!$A$2:$A$11,0))</f>
        <v>Health &amp; Beauty</v>
      </c>
      <c r="J741" s="19">
        <f>INDEX(Products!$E$2:$E$101,MATCH(C741,Products!$A$2:$A$101,0))</f>
        <v>136.03</v>
      </c>
      <c r="K741" s="19">
        <f t="shared" si="34"/>
        <v>408.09000000000003</v>
      </c>
      <c r="L741" s="19">
        <f t="shared" si="35"/>
        <v>243.07799999999986</v>
      </c>
    </row>
    <row r="742" spans="1:12" ht="15" customHeight="1" x14ac:dyDescent="0.25">
      <c r="A742" s="10">
        <v>741</v>
      </c>
      <c r="B742" s="10">
        <v>234</v>
      </c>
      <c r="C742" s="10">
        <v>31</v>
      </c>
      <c r="D742" s="10">
        <v>7</v>
      </c>
      <c r="E742" s="19">
        <v>93.27</v>
      </c>
      <c r="F742" s="10">
        <v>0</v>
      </c>
      <c r="G742" s="19">
        <f t="shared" si="33"/>
        <v>652.89</v>
      </c>
      <c r="H742" s="10">
        <f>INDEX(Products!$C$2:$C$101,MATCH(C742,Products!$A$2:$A$101,0))</f>
        <v>4</v>
      </c>
      <c r="I742" s="10" t="str">
        <f>INDEX(Categories!$B$2:$B$11,MATCH(H742,Categories!$A$2:$A$11,0))</f>
        <v>Apparel</v>
      </c>
      <c r="J742" s="19">
        <f>INDEX(Products!$E$2:$E$101,MATCH(C742,Products!$A$2:$A$101,0))</f>
        <v>65.099999999999994</v>
      </c>
      <c r="K742" s="19">
        <f t="shared" si="34"/>
        <v>455.69999999999993</v>
      </c>
      <c r="L742" s="19">
        <f t="shared" si="35"/>
        <v>197.19000000000005</v>
      </c>
    </row>
    <row r="743" spans="1:12" ht="15" customHeight="1" x14ac:dyDescent="0.25">
      <c r="A743" s="10">
        <v>742</v>
      </c>
      <c r="B743" s="10">
        <v>234</v>
      </c>
      <c r="C743" s="10">
        <v>35</v>
      </c>
      <c r="D743" s="10">
        <v>7</v>
      </c>
      <c r="E743" s="19">
        <v>216.12</v>
      </c>
      <c r="F743" s="10">
        <v>0.15</v>
      </c>
      <c r="G743" s="19">
        <f t="shared" si="33"/>
        <v>1285.914</v>
      </c>
      <c r="H743" s="10">
        <f>INDEX(Products!$C$2:$C$101,MATCH(C743,Products!$A$2:$A$101,0))</f>
        <v>4</v>
      </c>
      <c r="I743" s="10" t="str">
        <f>INDEX(Categories!$B$2:$B$11,MATCH(H743,Categories!$A$2:$A$11,0))</f>
        <v>Apparel</v>
      </c>
      <c r="J743" s="19">
        <f>INDEX(Products!$E$2:$E$101,MATCH(C743,Products!$A$2:$A$101,0))</f>
        <v>134.93</v>
      </c>
      <c r="K743" s="19">
        <f t="shared" si="34"/>
        <v>944.51</v>
      </c>
      <c r="L743" s="19">
        <f t="shared" si="35"/>
        <v>341.404</v>
      </c>
    </row>
    <row r="744" spans="1:12" ht="15" customHeight="1" x14ac:dyDescent="0.25">
      <c r="A744" s="10">
        <v>743</v>
      </c>
      <c r="B744" s="10">
        <v>235</v>
      </c>
      <c r="C744" s="10">
        <v>74</v>
      </c>
      <c r="D744" s="10">
        <v>4</v>
      </c>
      <c r="E744" s="19">
        <v>199.68</v>
      </c>
      <c r="F744" s="10">
        <v>0.2</v>
      </c>
      <c r="G744" s="19">
        <f t="shared" si="33"/>
        <v>638.97600000000011</v>
      </c>
      <c r="H744" s="10">
        <f>INDEX(Products!$C$2:$C$101,MATCH(C744,Products!$A$2:$A$101,0))</f>
        <v>8</v>
      </c>
      <c r="I744" s="10" t="str">
        <f>INDEX(Categories!$B$2:$B$11,MATCH(H744,Categories!$A$2:$A$11,0))</f>
        <v>Health &amp; Beauty</v>
      </c>
      <c r="J744" s="19">
        <f>INDEX(Products!$E$2:$E$101,MATCH(C744,Products!$A$2:$A$101,0))</f>
        <v>98.36</v>
      </c>
      <c r="K744" s="19">
        <f t="shared" si="34"/>
        <v>393.44</v>
      </c>
      <c r="L744" s="19">
        <f t="shared" si="35"/>
        <v>245.53600000000012</v>
      </c>
    </row>
    <row r="745" spans="1:12" ht="15" customHeight="1" x14ac:dyDescent="0.25">
      <c r="A745" s="10">
        <v>744</v>
      </c>
      <c r="B745" s="10">
        <v>235</v>
      </c>
      <c r="C745" s="10">
        <v>88</v>
      </c>
      <c r="D745" s="10">
        <v>2</v>
      </c>
      <c r="E745" s="19">
        <v>188.36</v>
      </c>
      <c r="F745" s="10">
        <v>0.15</v>
      </c>
      <c r="G745" s="19">
        <f t="shared" si="33"/>
        <v>320.21199999999999</v>
      </c>
      <c r="H745" s="10">
        <f>INDEX(Products!$C$2:$C$101,MATCH(C745,Products!$A$2:$A$101,0))</f>
        <v>9</v>
      </c>
      <c r="I745" s="10" t="str">
        <f>INDEX(Categories!$B$2:$B$11,MATCH(H745,Categories!$A$2:$A$11,0))</f>
        <v>Automotive Parts</v>
      </c>
      <c r="J745" s="19">
        <f>INDEX(Products!$E$2:$E$101,MATCH(C745,Products!$A$2:$A$101,0))</f>
        <v>112.11</v>
      </c>
      <c r="K745" s="19">
        <f t="shared" si="34"/>
        <v>224.22</v>
      </c>
      <c r="L745" s="19">
        <f t="shared" si="35"/>
        <v>95.99199999999999</v>
      </c>
    </row>
    <row r="746" spans="1:12" ht="15" customHeight="1" x14ac:dyDescent="0.25">
      <c r="A746" s="10">
        <v>745</v>
      </c>
      <c r="B746" s="10">
        <v>236</v>
      </c>
      <c r="C746" s="10">
        <v>23</v>
      </c>
      <c r="D746" s="10">
        <v>7</v>
      </c>
      <c r="E746" s="19">
        <v>346.21</v>
      </c>
      <c r="F746" s="10">
        <v>0.05</v>
      </c>
      <c r="G746" s="19">
        <f t="shared" si="33"/>
        <v>2302.2964999999999</v>
      </c>
      <c r="H746" s="10">
        <f>INDEX(Products!$C$2:$C$101,MATCH(C746,Products!$A$2:$A$101,0))</f>
        <v>3</v>
      </c>
      <c r="I746" s="10" t="str">
        <f>INDEX(Categories!$B$2:$B$11,MATCH(H746,Categories!$A$2:$A$11,0))</f>
        <v>Furniture</v>
      </c>
      <c r="J746" s="19">
        <f>INDEX(Products!$E$2:$E$101,MATCH(C746,Products!$A$2:$A$101,0))</f>
        <v>220.76</v>
      </c>
      <c r="K746" s="19">
        <f t="shared" si="34"/>
        <v>1545.32</v>
      </c>
      <c r="L746" s="19">
        <f t="shared" si="35"/>
        <v>756.97649999999999</v>
      </c>
    </row>
    <row r="747" spans="1:12" ht="15" customHeight="1" x14ac:dyDescent="0.25">
      <c r="A747" s="10">
        <v>746</v>
      </c>
      <c r="B747" s="10">
        <v>237</v>
      </c>
      <c r="C747" s="10">
        <v>51</v>
      </c>
      <c r="D747" s="10">
        <v>2</v>
      </c>
      <c r="E747" s="19">
        <v>436.43</v>
      </c>
      <c r="F747" s="10">
        <v>0.15</v>
      </c>
      <c r="G747" s="19">
        <f t="shared" si="33"/>
        <v>741.93100000000004</v>
      </c>
      <c r="H747" s="10">
        <f>INDEX(Products!$C$2:$C$101,MATCH(C747,Products!$A$2:$A$101,0))</f>
        <v>6</v>
      </c>
      <c r="I747" s="10" t="str">
        <f>INDEX(Categories!$B$2:$B$11,MATCH(H747,Categories!$A$2:$A$11,0))</f>
        <v>Sporting Goods</v>
      </c>
      <c r="J747" s="19">
        <f>INDEX(Products!$E$2:$E$101,MATCH(C747,Products!$A$2:$A$101,0))</f>
        <v>235.84</v>
      </c>
      <c r="K747" s="19">
        <f t="shared" si="34"/>
        <v>471.68</v>
      </c>
      <c r="L747" s="19">
        <f t="shared" si="35"/>
        <v>270.25100000000003</v>
      </c>
    </row>
    <row r="748" spans="1:12" ht="15" customHeight="1" x14ac:dyDescent="0.25">
      <c r="A748" s="10">
        <v>747</v>
      </c>
      <c r="B748" s="10">
        <v>238</v>
      </c>
      <c r="C748" s="10">
        <v>47</v>
      </c>
      <c r="D748" s="10">
        <v>6</v>
      </c>
      <c r="E748" s="19">
        <v>96.51</v>
      </c>
      <c r="F748" s="10">
        <v>0</v>
      </c>
      <c r="G748" s="19">
        <f t="shared" si="33"/>
        <v>579.06000000000006</v>
      </c>
      <c r="H748" s="10">
        <f>INDEX(Products!$C$2:$C$101,MATCH(C748,Products!$A$2:$A$101,0))</f>
        <v>5</v>
      </c>
      <c r="I748" s="10" t="str">
        <f>INDEX(Categories!$B$2:$B$11,MATCH(H748,Categories!$A$2:$A$11,0))</f>
        <v>Home &amp; Kitchen</v>
      </c>
      <c r="J748" s="19">
        <f>INDEX(Products!$E$2:$E$101,MATCH(C748,Products!$A$2:$A$101,0))</f>
        <v>60.66</v>
      </c>
      <c r="K748" s="19">
        <f t="shared" si="34"/>
        <v>363.96</v>
      </c>
      <c r="L748" s="19">
        <f t="shared" si="35"/>
        <v>215.10000000000008</v>
      </c>
    </row>
    <row r="749" spans="1:12" ht="15" customHeight="1" x14ac:dyDescent="0.25">
      <c r="A749" s="10">
        <v>748</v>
      </c>
      <c r="B749" s="10">
        <v>238</v>
      </c>
      <c r="C749" s="10">
        <v>72</v>
      </c>
      <c r="D749" s="10">
        <v>7</v>
      </c>
      <c r="E749" s="19">
        <v>526.70000000000005</v>
      </c>
      <c r="F749" s="10">
        <v>0</v>
      </c>
      <c r="G749" s="19">
        <f t="shared" si="33"/>
        <v>3686.9000000000005</v>
      </c>
      <c r="H749" s="10">
        <f>INDEX(Products!$C$2:$C$101,MATCH(C749,Products!$A$2:$A$101,0))</f>
        <v>8</v>
      </c>
      <c r="I749" s="10" t="str">
        <f>INDEX(Categories!$B$2:$B$11,MATCH(H749,Categories!$A$2:$A$11,0))</f>
        <v>Health &amp; Beauty</v>
      </c>
      <c r="J749" s="19">
        <f>INDEX(Products!$E$2:$E$101,MATCH(C749,Products!$A$2:$A$101,0))</f>
        <v>233.41</v>
      </c>
      <c r="K749" s="19">
        <f t="shared" si="34"/>
        <v>1633.87</v>
      </c>
      <c r="L749" s="19">
        <f t="shared" si="35"/>
        <v>2053.0300000000007</v>
      </c>
    </row>
    <row r="750" spans="1:12" ht="15" customHeight="1" x14ac:dyDescent="0.25">
      <c r="A750" s="10">
        <v>749</v>
      </c>
      <c r="B750" s="10">
        <v>238</v>
      </c>
      <c r="C750" s="10">
        <v>33</v>
      </c>
      <c r="D750" s="10">
        <v>6</v>
      </c>
      <c r="E750" s="19">
        <v>432.05</v>
      </c>
      <c r="F750" s="10">
        <v>0.2</v>
      </c>
      <c r="G750" s="19">
        <f t="shared" si="33"/>
        <v>2073.84</v>
      </c>
      <c r="H750" s="10">
        <f>INDEX(Products!$C$2:$C$101,MATCH(C750,Products!$A$2:$A$101,0))</f>
        <v>4</v>
      </c>
      <c r="I750" s="10" t="str">
        <f>INDEX(Categories!$B$2:$B$11,MATCH(H750,Categories!$A$2:$A$11,0))</f>
        <v>Apparel</v>
      </c>
      <c r="J750" s="19">
        <f>INDEX(Products!$E$2:$E$101,MATCH(C750,Products!$A$2:$A$101,0))</f>
        <v>181.97</v>
      </c>
      <c r="K750" s="19">
        <f t="shared" si="34"/>
        <v>1091.82</v>
      </c>
      <c r="L750" s="19">
        <f t="shared" si="35"/>
        <v>982.02000000000021</v>
      </c>
    </row>
    <row r="751" spans="1:12" ht="15" customHeight="1" x14ac:dyDescent="0.25">
      <c r="A751" s="10">
        <v>750</v>
      </c>
      <c r="B751" s="10">
        <v>239</v>
      </c>
      <c r="C751" s="10">
        <v>63</v>
      </c>
      <c r="D751" s="10">
        <v>7</v>
      </c>
      <c r="E751" s="19">
        <v>20.190000000000001</v>
      </c>
      <c r="F751" s="10">
        <v>0.1</v>
      </c>
      <c r="G751" s="19">
        <f t="shared" si="33"/>
        <v>127.19700000000002</v>
      </c>
      <c r="H751" s="10">
        <f>INDEX(Products!$C$2:$C$101,MATCH(C751,Products!$A$2:$A$101,0))</f>
        <v>7</v>
      </c>
      <c r="I751" s="10" t="str">
        <f>INDEX(Categories!$B$2:$B$11,MATCH(H751,Categories!$A$2:$A$11,0))</f>
        <v>Toys &amp; Games</v>
      </c>
      <c r="J751" s="19">
        <f>INDEX(Products!$E$2:$E$101,MATCH(C751,Products!$A$2:$A$101,0))</f>
        <v>10.130000000000001</v>
      </c>
      <c r="K751" s="19">
        <f t="shared" si="34"/>
        <v>70.910000000000011</v>
      </c>
      <c r="L751" s="19">
        <f t="shared" si="35"/>
        <v>56.287000000000006</v>
      </c>
    </row>
    <row r="752" spans="1:12" ht="15" customHeight="1" x14ac:dyDescent="0.25">
      <c r="A752" s="10">
        <v>751</v>
      </c>
      <c r="B752" s="10">
        <v>239</v>
      </c>
      <c r="C752" s="10">
        <v>100</v>
      </c>
      <c r="D752" s="10">
        <v>5</v>
      </c>
      <c r="E752" s="19">
        <v>313.44</v>
      </c>
      <c r="F752" s="10">
        <v>0.05</v>
      </c>
      <c r="G752" s="19">
        <f t="shared" si="33"/>
        <v>1488.84</v>
      </c>
      <c r="H752" s="10">
        <f>INDEX(Products!$C$2:$C$101,MATCH(C752,Products!$A$2:$A$101,0))</f>
        <v>10</v>
      </c>
      <c r="I752" s="10" t="str">
        <f>INDEX(Categories!$B$2:$B$11,MATCH(H752,Categories!$A$2:$A$11,0))</f>
        <v>Groceries</v>
      </c>
      <c r="J752" s="19">
        <f>INDEX(Products!$E$2:$E$101,MATCH(C752,Products!$A$2:$A$101,0))</f>
        <v>187.4</v>
      </c>
      <c r="K752" s="19">
        <f t="shared" si="34"/>
        <v>937</v>
      </c>
      <c r="L752" s="19">
        <f t="shared" si="35"/>
        <v>551.83999999999992</v>
      </c>
    </row>
    <row r="753" spans="1:12" ht="15" customHeight="1" x14ac:dyDescent="0.25">
      <c r="A753" s="10">
        <v>752</v>
      </c>
      <c r="B753" s="10">
        <v>239</v>
      </c>
      <c r="C753" s="10">
        <v>95</v>
      </c>
      <c r="D753" s="10">
        <v>3</v>
      </c>
      <c r="E753" s="19">
        <v>394.56</v>
      </c>
      <c r="F753" s="10">
        <v>0.2</v>
      </c>
      <c r="G753" s="19">
        <f t="shared" si="33"/>
        <v>946.94400000000007</v>
      </c>
      <c r="H753" s="10">
        <f>INDEX(Products!$C$2:$C$101,MATCH(C753,Products!$A$2:$A$101,0))</f>
        <v>10</v>
      </c>
      <c r="I753" s="10" t="str">
        <f>INDEX(Categories!$B$2:$B$11,MATCH(H753,Categories!$A$2:$A$11,0))</f>
        <v>Groceries</v>
      </c>
      <c r="J753" s="19">
        <f>INDEX(Products!$E$2:$E$101,MATCH(C753,Products!$A$2:$A$101,0))</f>
        <v>192.57</v>
      </c>
      <c r="K753" s="19">
        <f t="shared" si="34"/>
        <v>577.71</v>
      </c>
      <c r="L753" s="19">
        <f t="shared" si="35"/>
        <v>369.23400000000004</v>
      </c>
    </row>
    <row r="754" spans="1:12" ht="15" customHeight="1" x14ac:dyDescent="0.25">
      <c r="A754" s="10">
        <v>753</v>
      </c>
      <c r="B754" s="10">
        <v>239</v>
      </c>
      <c r="C754" s="10">
        <v>58</v>
      </c>
      <c r="D754" s="10">
        <v>3</v>
      </c>
      <c r="E754" s="19">
        <v>388.55</v>
      </c>
      <c r="F754" s="10">
        <v>0.15</v>
      </c>
      <c r="G754" s="19">
        <f t="shared" si="33"/>
        <v>990.80250000000001</v>
      </c>
      <c r="H754" s="10">
        <f>INDEX(Products!$C$2:$C$101,MATCH(C754,Products!$A$2:$A$101,0))</f>
        <v>6</v>
      </c>
      <c r="I754" s="10" t="str">
        <f>INDEX(Categories!$B$2:$B$11,MATCH(H754,Categories!$A$2:$A$11,0))</f>
        <v>Sporting Goods</v>
      </c>
      <c r="J754" s="19">
        <f>INDEX(Products!$E$2:$E$101,MATCH(C754,Products!$A$2:$A$101,0))</f>
        <v>203.95</v>
      </c>
      <c r="K754" s="19">
        <f t="shared" si="34"/>
        <v>611.84999999999991</v>
      </c>
      <c r="L754" s="19">
        <f t="shared" si="35"/>
        <v>378.9525000000001</v>
      </c>
    </row>
    <row r="755" spans="1:12" ht="15" customHeight="1" x14ac:dyDescent="0.25">
      <c r="A755" s="10">
        <v>754</v>
      </c>
      <c r="B755" s="10">
        <v>239</v>
      </c>
      <c r="C755" s="10">
        <v>11</v>
      </c>
      <c r="D755" s="10">
        <v>6</v>
      </c>
      <c r="E755" s="19">
        <v>417.1</v>
      </c>
      <c r="F755" s="10">
        <v>0.05</v>
      </c>
      <c r="G755" s="19">
        <f t="shared" si="33"/>
        <v>2377.4700000000003</v>
      </c>
      <c r="H755" s="10">
        <f>INDEX(Products!$C$2:$C$101,MATCH(C755,Products!$A$2:$A$101,0))</f>
        <v>2</v>
      </c>
      <c r="I755" s="10" t="str">
        <f>INDEX(Categories!$B$2:$B$11,MATCH(H755,Categories!$A$2:$A$11,0))</f>
        <v>Office Supplies</v>
      </c>
      <c r="J755" s="19">
        <f>INDEX(Products!$E$2:$E$101,MATCH(C755,Products!$A$2:$A$101,0))</f>
        <v>210.29</v>
      </c>
      <c r="K755" s="19">
        <f t="shared" si="34"/>
        <v>1261.74</v>
      </c>
      <c r="L755" s="19">
        <f t="shared" si="35"/>
        <v>1115.7300000000002</v>
      </c>
    </row>
    <row r="756" spans="1:12" ht="15" customHeight="1" x14ac:dyDescent="0.25">
      <c r="A756" s="10">
        <v>755</v>
      </c>
      <c r="B756" s="10">
        <v>240</v>
      </c>
      <c r="C756" s="10">
        <v>91</v>
      </c>
      <c r="D756" s="10">
        <v>7</v>
      </c>
      <c r="E756" s="19">
        <v>180.37</v>
      </c>
      <c r="F756" s="10">
        <v>0</v>
      </c>
      <c r="G756" s="19">
        <f t="shared" si="33"/>
        <v>1262.5900000000001</v>
      </c>
      <c r="H756" s="10">
        <f>INDEX(Products!$C$2:$C$101,MATCH(C756,Products!$A$2:$A$101,0))</f>
        <v>10</v>
      </c>
      <c r="I756" s="10" t="str">
        <f>INDEX(Categories!$B$2:$B$11,MATCH(H756,Categories!$A$2:$A$11,0))</f>
        <v>Groceries</v>
      </c>
      <c r="J756" s="19">
        <f>INDEX(Products!$E$2:$E$101,MATCH(C756,Products!$A$2:$A$101,0))</f>
        <v>75.92</v>
      </c>
      <c r="K756" s="19">
        <f t="shared" si="34"/>
        <v>531.44000000000005</v>
      </c>
      <c r="L756" s="19">
        <f t="shared" si="35"/>
        <v>731.15000000000009</v>
      </c>
    </row>
    <row r="757" spans="1:12" ht="15" customHeight="1" x14ac:dyDescent="0.25">
      <c r="A757" s="10">
        <v>756</v>
      </c>
      <c r="B757" s="10">
        <v>240</v>
      </c>
      <c r="C757" s="10">
        <v>35</v>
      </c>
      <c r="D757" s="10">
        <v>8</v>
      </c>
      <c r="E757" s="19">
        <v>216.12</v>
      </c>
      <c r="F757" s="10">
        <v>0.2</v>
      </c>
      <c r="G757" s="19">
        <f t="shared" si="33"/>
        <v>1383.1680000000001</v>
      </c>
      <c r="H757" s="10">
        <f>INDEX(Products!$C$2:$C$101,MATCH(C757,Products!$A$2:$A$101,0))</f>
        <v>4</v>
      </c>
      <c r="I757" s="10" t="str">
        <f>INDEX(Categories!$B$2:$B$11,MATCH(H757,Categories!$A$2:$A$11,0))</f>
        <v>Apparel</v>
      </c>
      <c r="J757" s="19">
        <f>INDEX(Products!$E$2:$E$101,MATCH(C757,Products!$A$2:$A$101,0))</f>
        <v>134.93</v>
      </c>
      <c r="K757" s="19">
        <f t="shared" si="34"/>
        <v>1079.44</v>
      </c>
      <c r="L757" s="19">
        <f t="shared" si="35"/>
        <v>303.72800000000007</v>
      </c>
    </row>
    <row r="758" spans="1:12" ht="15" customHeight="1" x14ac:dyDescent="0.25">
      <c r="A758" s="10">
        <v>757</v>
      </c>
      <c r="B758" s="10">
        <v>240</v>
      </c>
      <c r="C758" s="10">
        <v>78</v>
      </c>
      <c r="D758" s="10">
        <v>6</v>
      </c>
      <c r="E758" s="19">
        <v>178.61</v>
      </c>
      <c r="F758" s="10">
        <v>0.15</v>
      </c>
      <c r="G758" s="19">
        <f t="shared" si="33"/>
        <v>910.91100000000006</v>
      </c>
      <c r="H758" s="10">
        <f>INDEX(Products!$C$2:$C$101,MATCH(C758,Products!$A$2:$A$101,0))</f>
        <v>8</v>
      </c>
      <c r="I758" s="10" t="str">
        <f>INDEX(Categories!$B$2:$B$11,MATCH(H758,Categories!$A$2:$A$11,0))</f>
        <v>Health &amp; Beauty</v>
      </c>
      <c r="J758" s="19">
        <f>INDEX(Products!$E$2:$E$101,MATCH(C758,Products!$A$2:$A$101,0))</f>
        <v>86.62</v>
      </c>
      <c r="K758" s="19">
        <f t="shared" si="34"/>
        <v>519.72</v>
      </c>
      <c r="L758" s="19">
        <f t="shared" si="35"/>
        <v>391.19100000000003</v>
      </c>
    </row>
    <row r="759" spans="1:12" ht="15" customHeight="1" x14ac:dyDescent="0.25">
      <c r="A759" s="10">
        <v>758</v>
      </c>
      <c r="B759" s="10">
        <v>241</v>
      </c>
      <c r="C759" s="10">
        <v>22</v>
      </c>
      <c r="D759" s="10">
        <v>2</v>
      </c>
      <c r="E759" s="19">
        <v>247.09</v>
      </c>
      <c r="F759" s="10">
        <v>0</v>
      </c>
      <c r="G759" s="19">
        <f t="shared" si="33"/>
        <v>494.18</v>
      </c>
      <c r="H759" s="10">
        <f>INDEX(Products!$C$2:$C$101,MATCH(C759,Products!$A$2:$A$101,0))</f>
        <v>3</v>
      </c>
      <c r="I759" s="10" t="str">
        <f>INDEX(Categories!$B$2:$B$11,MATCH(H759,Categories!$A$2:$A$11,0))</f>
        <v>Furniture</v>
      </c>
      <c r="J759" s="19">
        <f>INDEX(Products!$E$2:$E$101,MATCH(C759,Products!$A$2:$A$101,0))</f>
        <v>149.34</v>
      </c>
      <c r="K759" s="19">
        <f t="shared" si="34"/>
        <v>298.68</v>
      </c>
      <c r="L759" s="19">
        <f t="shared" si="35"/>
        <v>195.5</v>
      </c>
    </row>
    <row r="760" spans="1:12" ht="15" customHeight="1" x14ac:dyDescent="0.25">
      <c r="A760" s="10">
        <v>759</v>
      </c>
      <c r="B760" s="10">
        <v>241</v>
      </c>
      <c r="C760" s="10">
        <v>51</v>
      </c>
      <c r="D760" s="10">
        <v>2</v>
      </c>
      <c r="E760" s="19">
        <v>436.43</v>
      </c>
      <c r="F760" s="10">
        <v>0.05</v>
      </c>
      <c r="G760" s="19">
        <f t="shared" si="33"/>
        <v>829.21699999999998</v>
      </c>
      <c r="H760" s="10">
        <f>INDEX(Products!$C$2:$C$101,MATCH(C760,Products!$A$2:$A$101,0))</f>
        <v>6</v>
      </c>
      <c r="I760" s="10" t="str">
        <f>INDEX(Categories!$B$2:$B$11,MATCH(H760,Categories!$A$2:$A$11,0))</f>
        <v>Sporting Goods</v>
      </c>
      <c r="J760" s="19">
        <f>INDEX(Products!$E$2:$E$101,MATCH(C760,Products!$A$2:$A$101,0))</f>
        <v>235.84</v>
      </c>
      <c r="K760" s="19">
        <f t="shared" si="34"/>
        <v>471.68</v>
      </c>
      <c r="L760" s="19">
        <f t="shared" si="35"/>
        <v>357.53699999999998</v>
      </c>
    </row>
    <row r="761" spans="1:12" ht="15" customHeight="1" x14ac:dyDescent="0.25">
      <c r="A761" s="10">
        <v>760</v>
      </c>
      <c r="B761" s="10">
        <v>242</v>
      </c>
      <c r="C761" s="10">
        <v>20</v>
      </c>
      <c r="D761" s="10">
        <v>4</v>
      </c>
      <c r="E761" s="19">
        <v>316.14999999999998</v>
      </c>
      <c r="F761" s="10">
        <v>0</v>
      </c>
      <c r="G761" s="19">
        <f t="shared" si="33"/>
        <v>1264.5999999999999</v>
      </c>
      <c r="H761" s="10">
        <f>INDEX(Products!$C$2:$C$101,MATCH(C761,Products!$A$2:$A$101,0))</f>
        <v>2</v>
      </c>
      <c r="I761" s="10" t="str">
        <f>INDEX(Categories!$B$2:$B$11,MATCH(H761,Categories!$A$2:$A$11,0))</f>
        <v>Office Supplies</v>
      </c>
      <c r="J761" s="19">
        <f>INDEX(Products!$E$2:$E$101,MATCH(C761,Products!$A$2:$A$101,0))</f>
        <v>177.71</v>
      </c>
      <c r="K761" s="19">
        <f t="shared" si="34"/>
        <v>710.84</v>
      </c>
      <c r="L761" s="19">
        <f t="shared" si="35"/>
        <v>553.75999999999988</v>
      </c>
    </row>
    <row r="762" spans="1:12" ht="15" customHeight="1" x14ac:dyDescent="0.25">
      <c r="A762" s="10">
        <v>761</v>
      </c>
      <c r="B762" s="10">
        <v>242</v>
      </c>
      <c r="C762" s="10">
        <v>11</v>
      </c>
      <c r="D762" s="10">
        <v>5</v>
      </c>
      <c r="E762" s="19">
        <v>417.1</v>
      </c>
      <c r="F762" s="10">
        <v>0.05</v>
      </c>
      <c r="G762" s="19">
        <f t="shared" si="33"/>
        <v>1981.2249999999999</v>
      </c>
      <c r="H762" s="10">
        <f>INDEX(Products!$C$2:$C$101,MATCH(C762,Products!$A$2:$A$101,0))</f>
        <v>2</v>
      </c>
      <c r="I762" s="10" t="str">
        <f>INDEX(Categories!$B$2:$B$11,MATCH(H762,Categories!$A$2:$A$11,0))</f>
        <v>Office Supplies</v>
      </c>
      <c r="J762" s="19">
        <f>INDEX(Products!$E$2:$E$101,MATCH(C762,Products!$A$2:$A$101,0))</f>
        <v>210.29</v>
      </c>
      <c r="K762" s="19">
        <f t="shared" si="34"/>
        <v>1051.45</v>
      </c>
      <c r="L762" s="19">
        <f t="shared" si="35"/>
        <v>929.77499999999986</v>
      </c>
    </row>
    <row r="763" spans="1:12" ht="15" customHeight="1" x14ac:dyDescent="0.25">
      <c r="A763" s="10">
        <v>762</v>
      </c>
      <c r="B763" s="10">
        <v>242</v>
      </c>
      <c r="C763" s="10">
        <v>84</v>
      </c>
      <c r="D763" s="10">
        <v>3</v>
      </c>
      <c r="E763" s="19">
        <v>258</v>
      </c>
      <c r="F763" s="10">
        <v>0</v>
      </c>
      <c r="G763" s="19">
        <f t="shared" si="33"/>
        <v>774</v>
      </c>
      <c r="H763" s="10">
        <f>INDEX(Products!$C$2:$C$101,MATCH(C763,Products!$A$2:$A$101,0))</f>
        <v>9</v>
      </c>
      <c r="I763" s="10" t="str">
        <f>INDEX(Categories!$B$2:$B$11,MATCH(H763,Categories!$A$2:$A$11,0))</f>
        <v>Automotive Parts</v>
      </c>
      <c r="J763" s="19">
        <f>INDEX(Products!$E$2:$E$101,MATCH(C763,Products!$A$2:$A$101,0))</f>
        <v>134.19999999999999</v>
      </c>
      <c r="K763" s="19">
        <f t="shared" si="34"/>
        <v>402.59999999999997</v>
      </c>
      <c r="L763" s="19">
        <f t="shared" si="35"/>
        <v>371.40000000000003</v>
      </c>
    </row>
    <row r="764" spans="1:12" ht="15" customHeight="1" x14ac:dyDescent="0.25">
      <c r="A764" s="10">
        <v>763</v>
      </c>
      <c r="B764" s="10">
        <v>242</v>
      </c>
      <c r="C764" s="10">
        <v>50</v>
      </c>
      <c r="D764" s="10">
        <v>9</v>
      </c>
      <c r="E764" s="19">
        <v>411.05</v>
      </c>
      <c r="F764" s="10">
        <v>0.2</v>
      </c>
      <c r="G764" s="19">
        <f t="shared" si="33"/>
        <v>2959.5600000000004</v>
      </c>
      <c r="H764" s="10">
        <f>INDEX(Products!$C$2:$C$101,MATCH(C764,Products!$A$2:$A$101,0))</f>
        <v>5</v>
      </c>
      <c r="I764" s="10" t="str">
        <f>INDEX(Categories!$B$2:$B$11,MATCH(H764,Categories!$A$2:$A$11,0))</f>
        <v>Home &amp; Kitchen</v>
      </c>
      <c r="J764" s="19">
        <f>INDEX(Products!$E$2:$E$101,MATCH(C764,Products!$A$2:$A$101,0))</f>
        <v>230.53</v>
      </c>
      <c r="K764" s="19">
        <f t="shared" si="34"/>
        <v>2074.77</v>
      </c>
      <c r="L764" s="19">
        <f t="shared" si="35"/>
        <v>884.79000000000042</v>
      </c>
    </row>
    <row r="765" spans="1:12" ht="15" customHeight="1" x14ac:dyDescent="0.25">
      <c r="A765" s="10">
        <v>764</v>
      </c>
      <c r="B765" s="10">
        <v>242</v>
      </c>
      <c r="C765" s="10">
        <v>40</v>
      </c>
      <c r="D765" s="10">
        <v>3</v>
      </c>
      <c r="E765" s="19">
        <v>330.91</v>
      </c>
      <c r="F765" s="10">
        <v>0</v>
      </c>
      <c r="G765" s="19">
        <f t="shared" si="33"/>
        <v>992.73</v>
      </c>
      <c r="H765" s="10">
        <f>INDEX(Products!$C$2:$C$101,MATCH(C765,Products!$A$2:$A$101,0))</f>
        <v>4</v>
      </c>
      <c r="I765" s="10" t="str">
        <f>INDEX(Categories!$B$2:$B$11,MATCH(H765,Categories!$A$2:$A$11,0))</f>
        <v>Apparel</v>
      </c>
      <c r="J765" s="19">
        <f>INDEX(Products!$E$2:$E$101,MATCH(C765,Products!$A$2:$A$101,0))</f>
        <v>237.43</v>
      </c>
      <c r="K765" s="19">
        <f t="shared" si="34"/>
        <v>712.29</v>
      </c>
      <c r="L765" s="19">
        <f t="shared" si="35"/>
        <v>280.44000000000005</v>
      </c>
    </row>
    <row r="766" spans="1:12" ht="15" customHeight="1" x14ac:dyDescent="0.25">
      <c r="A766" s="10">
        <v>765</v>
      </c>
      <c r="B766" s="10">
        <v>243</v>
      </c>
      <c r="C766" s="10">
        <v>57</v>
      </c>
      <c r="D766" s="10">
        <v>10</v>
      </c>
      <c r="E766" s="19">
        <v>357.27</v>
      </c>
      <c r="F766" s="10">
        <v>0.1</v>
      </c>
      <c r="G766" s="19">
        <f t="shared" si="33"/>
        <v>3215.43</v>
      </c>
      <c r="H766" s="10">
        <f>INDEX(Products!$C$2:$C$101,MATCH(C766,Products!$A$2:$A$101,0))</f>
        <v>6</v>
      </c>
      <c r="I766" s="10" t="str">
        <f>INDEX(Categories!$B$2:$B$11,MATCH(H766,Categories!$A$2:$A$11,0))</f>
        <v>Sporting Goods</v>
      </c>
      <c r="J766" s="19">
        <f>INDEX(Products!$E$2:$E$101,MATCH(C766,Products!$A$2:$A$101,0))</f>
        <v>214.86</v>
      </c>
      <c r="K766" s="19">
        <f t="shared" si="34"/>
        <v>2148.6000000000004</v>
      </c>
      <c r="L766" s="19">
        <f t="shared" si="35"/>
        <v>1066.8299999999995</v>
      </c>
    </row>
    <row r="767" spans="1:12" ht="15" customHeight="1" x14ac:dyDescent="0.25">
      <c r="A767" s="10">
        <v>766</v>
      </c>
      <c r="B767" s="10">
        <v>243</v>
      </c>
      <c r="C767" s="10">
        <v>18</v>
      </c>
      <c r="D767" s="10">
        <v>8</v>
      </c>
      <c r="E767" s="19">
        <v>185.81</v>
      </c>
      <c r="F767" s="10">
        <v>0.15</v>
      </c>
      <c r="G767" s="19">
        <f t="shared" si="33"/>
        <v>1263.508</v>
      </c>
      <c r="H767" s="10">
        <f>INDEX(Products!$C$2:$C$101,MATCH(C767,Products!$A$2:$A$101,0))</f>
        <v>2</v>
      </c>
      <c r="I767" s="10" t="str">
        <f>INDEX(Categories!$B$2:$B$11,MATCH(H767,Categories!$A$2:$A$11,0))</f>
        <v>Office Supplies</v>
      </c>
      <c r="J767" s="19">
        <f>INDEX(Products!$E$2:$E$101,MATCH(C767,Products!$A$2:$A$101,0))</f>
        <v>108.81</v>
      </c>
      <c r="K767" s="19">
        <f t="shared" si="34"/>
        <v>870.48</v>
      </c>
      <c r="L767" s="19">
        <f t="shared" si="35"/>
        <v>393.02800000000002</v>
      </c>
    </row>
    <row r="768" spans="1:12" ht="15" customHeight="1" x14ac:dyDescent="0.25">
      <c r="A768" s="10">
        <v>767</v>
      </c>
      <c r="B768" s="10">
        <v>243</v>
      </c>
      <c r="C768" s="10">
        <v>90</v>
      </c>
      <c r="D768" s="10">
        <v>10</v>
      </c>
      <c r="E768" s="19">
        <v>50.45</v>
      </c>
      <c r="F768" s="10">
        <v>0.05</v>
      </c>
      <c r="G768" s="19">
        <f t="shared" si="33"/>
        <v>479.27499999999998</v>
      </c>
      <c r="H768" s="10">
        <f>INDEX(Products!$C$2:$C$101,MATCH(C768,Products!$A$2:$A$101,0))</f>
        <v>9</v>
      </c>
      <c r="I768" s="10" t="str">
        <f>INDEX(Categories!$B$2:$B$11,MATCH(H768,Categories!$A$2:$A$11,0))</f>
        <v>Automotive Parts</v>
      </c>
      <c r="J768" s="19">
        <f>INDEX(Products!$E$2:$E$101,MATCH(C768,Products!$A$2:$A$101,0))</f>
        <v>29.34</v>
      </c>
      <c r="K768" s="19">
        <f t="shared" si="34"/>
        <v>293.39999999999998</v>
      </c>
      <c r="L768" s="19">
        <f t="shared" si="35"/>
        <v>185.875</v>
      </c>
    </row>
    <row r="769" spans="1:12" ht="15" customHeight="1" x14ac:dyDescent="0.25">
      <c r="A769" s="10">
        <v>768</v>
      </c>
      <c r="B769" s="10">
        <v>243</v>
      </c>
      <c r="C769" s="10">
        <v>70</v>
      </c>
      <c r="D769" s="10">
        <v>9</v>
      </c>
      <c r="E769" s="19">
        <v>149.31</v>
      </c>
      <c r="F769" s="10">
        <v>0.15</v>
      </c>
      <c r="G769" s="19">
        <f t="shared" si="33"/>
        <v>1142.2214999999999</v>
      </c>
      <c r="H769" s="10">
        <f>INDEX(Products!$C$2:$C$101,MATCH(C769,Products!$A$2:$A$101,0))</f>
        <v>7</v>
      </c>
      <c r="I769" s="10" t="str">
        <f>INDEX(Categories!$B$2:$B$11,MATCH(H769,Categories!$A$2:$A$11,0))</f>
        <v>Toys &amp; Games</v>
      </c>
      <c r="J769" s="19">
        <f>INDEX(Products!$E$2:$E$101,MATCH(C769,Products!$A$2:$A$101,0))</f>
        <v>76.739999999999995</v>
      </c>
      <c r="K769" s="19">
        <f t="shared" si="34"/>
        <v>690.66</v>
      </c>
      <c r="L769" s="19">
        <f t="shared" si="35"/>
        <v>451.56149999999991</v>
      </c>
    </row>
    <row r="770" spans="1:12" ht="15" customHeight="1" x14ac:dyDescent="0.25">
      <c r="A770" s="10">
        <v>769</v>
      </c>
      <c r="B770" s="10">
        <v>243</v>
      </c>
      <c r="C770" s="10">
        <v>23</v>
      </c>
      <c r="D770" s="10">
        <v>9</v>
      </c>
      <c r="E770" s="19">
        <v>346.21</v>
      </c>
      <c r="F770" s="10">
        <v>0</v>
      </c>
      <c r="G770" s="19">
        <f t="shared" ref="G770:G833" si="36">D770*E770*(1-F770)</f>
        <v>3115.89</v>
      </c>
      <c r="H770" s="10">
        <f>INDEX(Products!$C$2:$C$101,MATCH(C770,Products!$A$2:$A$101,0))</f>
        <v>3</v>
      </c>
      <c r="I770" s="10" t="str">
        <f>INDEX(Categories!$B$2:$B$11,MATCH(H770,Categories!$A$2:$A$11,0))</f>
        <v>Furniture</v>
      </c>
      <c r="J770" s="19">
        <f>INDEX(Products!$E$2:$E$101,MATCH(C770,Products!$A$2:$A$101,0))</f>
        <v>220.76</v>
      </c>
      <c r="K770" s="19">
        <f t="shared" ref="K770:K833" si="37">D770*J770</f>
        <v>1986.84</v>
      </c>
      <c r="L770" s="19">
        <f t="shared" ref="L770:L833" si="38">G770-K770</f>
        <v>1129.05</v>
      </c>
    </row>
    <row r="771" spans="1:12" ht="15" customHeight="1" x14ac:dyDescent="0.25">
      <c r="A771" s="10">
        <v>770</v>
      </c>
      <c r="B771" s="10">
        <v>244</v>
      </c>
      <c r="C771" s="10">
        <v>20</v>
      </c>
      <c r="D771" s="10">
        <v>1</v>
      </c>
      <c r="E771" s="19">
        <v>316.14999999999998</v>
      </c>
      <c r="F771" s="10">
        <v>0.1</v>
      </c>
      <c r="G771" s="19">
        <f t="shared" si="36"/>
        <v>284.53499999999997</v>
      </c>
      <c r="H771" s="10">
        <f>INDEX(Products!$C$2:$C$101,MATCH(C771,Products!$A$2:$A$101,0))</f>
        <v>2</v>
      </c>
      <c r="I771" s="10" t="str">
        <f>INDEX(Categories!$B$2:$B$11,MATCH(H771,Categories!$A$2:$A$11,0))</f>
        <v>Office Supplies</v>
      </c>
      <c r="J771" s="19">
        <f>INDEX(Products!$E$2:$E$101,MATCH(C771,Products!$A$2:$A$101,0))</f>
        <v>177.71</v>
      </c>
      <c r="K771" s="19">
        <f t="shared" si="37"/>
        <v>177.71</v>
      </c>
      <c r="L771" s="19">
        <f t="shared" si="38"/>
        <v>106.82499999999996</v>
      </c>
    </row>
    <row r="772" spans="1:12" ht="15" customHeight="1" x14ac:dyDescent="0.25">
      <c r="A772" s="10">
        <v>771</v>
      </c>
      <c r="B772" s="10">
        <v>244</v>
      </c>
      <c r="C772" s="10">
        <v>39</v>
      </c>
      <c r="D772" s="10">
        <v>3</v>
      </c>
      <c r="E772" s="19">
        <v>42.44</v>
      </c>
      <c r="F772" s="10">
        <v>0</v>
      </c>
      <c r="G772" s="19">
        <f t="shared" si="36"/>
        <v>127.32</v>
      </c>
      <c r="H772" s="10">
        <f>INDEX(Products!$C$2:$C$101,MATCH(C772,Products!$A$2:$A$101,0))</f>
        <v>4</v>
      </c>
      <c r="I772" s="10" t="str">
        <f>INDEX(Categories!$B$2:$B$11,MATCH(H772,Categories!$A$2:$A$11,0))</f>
        <v>Apparel</v>
      </c>
      <c r="J772" s="19">
        <f>INDEX(Products!$E$2:$E$101,MATCH(C772,Products!$A$2:$A$101,0))</f>
        <v>21.3</v>
      </c>
      <c r="K772" s="19">
        <f t="shared" si="37"/>
        <v>63.900000000000006</v>
      </c>
      <c r="L772" s="19">
        <f t="shared" si="38"/>
        <v>63.419999999999987</v>
      </c>
    </row>
    <row r="773" spans="1:12" ht="15" customHeight="1" x14ac:dyDescent="0.25">
      <c r="A773" s="10">
        <v>772</v>
      </c>
      <c r="B773" s="10">
        <v>244</v>
      </c>
      <c r="C773" s="10">
        <v>2</v>
      </c>
      <c r="D773" s="10">
        <v>5</v>
      </c>
      <c r="E773" s="19">
        <v>286.57</v>
      </c>
      <c r="F773" s="10">
        <v>0.05</v>
      </c>
      <c r="G773" s="19">
        <f t="shared" si="36"/>
        <v>1361.2074999999998</v>
      </c>
      <c r="H773" s="10">
        <f>INDEX(Products!$C$2:$C$101,MATCH(C773,Products!$A$2:$A$101,0))</f>
        <v>1</v>
      </c>
      <c r="I773" s="10" t="str">
        <f>INDEX(Categories!$B$2:$B$11,MATCH(H773,Categories!$A$2:$A$11,0))</f>
        <v>Electronics</v>
      </c>
      <c r="J773" s="19">
        <f>INDEX(Products!$E$2:$E$101,MATCH(C773,Products!$A$2:$A$101,0))</f>
        <v>135.94</v>
      </c>
      <c r="K773" s="19">
        <f t="shared" si="37"/>
        <v>679.7</v>
      </c>
      <c r="L773" s="19">
        <f t="shared" si="38"/>
        <v>681.50749999999971</v>
      </c>
    </row>
    <row r="774" spans="1:12" ht="15" customHeight="1" x14ac:dyDescent="0.25">
      <c r="A774" s="10">
        <v>773</v>
      </c>
      <c r="B774" s="10">
        <v>245</v>
      </c>
      <c r="C774" s="10">
        <v>77</v>
      </c>
      <c r="D774" s="10">
        <v>9</v>
      </c>
      <c r="E774" s="19">
        <v>87.18</v>
      </c>
      <c r="F774" s="10">
        <v>0</v>
      </c>
      <c r="G774" s="19">
        <f t="shared" si="36"/>
        <v>784.62000000000012</v>
      </c>
      <c r="H774" s="10">
        <f>INDEX(Products!$C$2:$C$101,MATCH(C774,Products!$A$2:$A$101,0))</f>
        <v>8</v>
      </c>
      <c r="I774" s="10" t="str">
        <f>INDEX(Categories!$B$2:$B$11,MATCH(H774,Categories!$A$2:$A$11,0))</f>
        <v>Health &amp; Beauty</v>
      </c>
      <c r="J774" s="19">
        <f>INDEX(Products!$E$2:$E$101,MATCH(C774,Products!$A$2:$A$101,0))</f>
        <v>38.61</v>
      </c>
      <c r="K774" s="19">
        <f t="shared" si="37"/>
        <v>347.49</v>
      </c>
      <c r="L774" s="19">
        <f t="shared" si="38"/>
        <v>437.13000000000011</v>
      </c>
    </row>
    <row r="775" spans="1:12" ht="15" customHeight="1" x14ac:dyDescent="0.25">
      <c r="A775" s="10">
        <v>774</v>
      </c>
      <c r="B775" s="10">
        <v>245</v>
      </c>
      <c r="C775" s="10">
        <v>30</v>
      </c>
      <c r="D775" s="10">
        <v>4</v>
      </c>
      <c r="E775" s="19">
        <v>474.78</v>
      </c>
      <c r="F775" s="10">
        <v>0.05</v>
      </c>
      <c r="G775" s="19">
        <f t="shared" si="36"/>
        <v>1804.1639999999998</v>
      </c>
      <c r="H775" s="10">
        <f>INDEX(Products!$C$2:$C$101,MATCH(C775,Products!$A$2:$A$101,0))</f>
        <v>3</v>
      </c>
      <c r="I775" s="10" t="str">
        <f>INDEX(Categories!$B$2:$B$11,MATCH(H775,Categories!$A$2:$A$11,0))</f>
        <v>Furniture</v>
      </c>
      <c r="J775" s="19">
        <f>INDEX(Products!$E$2:$E$101,MATCH(C775,Products!$A$2:$A$101,0))</f>
        <v>249.17</v>
      </c>
      <c r="K775" s="19">
        <f t="shared" si="37"/>
        <v>996.68</v>
      </c>
      <c r="L775" s="19">
        <f t="shared" si="38"/>
        <v>807.48399999999981</v>
      </c>
    </row>
    <row r="776" spans="1:12" ht="15" customHeight="1" x14ac:dyDescent="0.25">
      <c r="A776" s="10">
        <v>775</v>
      </c>
      <c r="B776" s="10">
        <v>245</v>
      </c>
      <c r="C776" s="10">
        <v>1</v>
      </c>
      <c r="D776" s="10">
        <v>9</v>
      </c>
      <c r="E776" s="19">
        <v>384.09</v>
      </c>
      <c r="F776" s="10">
        <v>0.05</v>
      </c>
      <c r="G776" s="19">
        <f t="shared" si="36"/>
        <v>3283.9694999999997</v>
      </c>
      <c r="H776" s="10">
        <f>INDEX(Products!$C$2:$C$101,MATCH(C776,Products!$A$2:$A$101,0))</f>
        <v>1</v>
      </c>
      <c r="I776" s="10" t="str">
        <f>INDEX(Categories!$B$2:$B$11,MATCH(H776,Categories!$A$2:$A$11,0))</f>
        <v>Electronics</v>
      </c>
      <c r="J776" s="19">
        <f>INDEX(Products!$E$2:$E$101,MATCH(C776,Products!$A$2:$A$101,0))</f>
        <v>235.86</v>
      </c>
      <c r="K776" s="19">
        <f t="shared" si="37"/>
        <v>2122.7400000000002</v>
      </c>
      <c r="L776" s="19">
        <f t="shared" si="38"/>
        <v>1161.2294999999995</v>
      </c>
    </row>
    <row r="777" spans="1:12" ht="15" customHeight="1" x14ac:dyDescent="0.25">
      <c r="A777" s="10">
        <v>776</v>
      </c>
      <c r="B777" s="10">
        <v>246</v>
      </c>
      <c r="C777" s="10">
        <v>81</v>
      </c>
      <c r="D777" s="10">
        <v>10</v>
      </c>
      <c r="E777" s="19">
        <v>529</v>
      </c>
      <c r="F777" s="10">
        <v>0.2</v>
      </c>
      <c r="G777" s="19">
        <f t="shared" si="36"/>
        <v>4232</v>
      </c>
      <c r="H777" s="10">
        <f>INDEX(Products!$C$2:$C$101,MATCH(C777,Products!$A$2:$A$101,0))</f>
        <v>9</v>
      </c>
      <c r="I777" s="10" t="str">
        <f>INDEX(Categories!$B$2:$B$11,MATCH(H777,Categories!$A$2:$A$11,0))</f>
        <v>Automotive Parts</v>
      </c>
      <c r="J777" s="19">
        <f>INDEX(Products!$E$2:$E$101,MATCH(C777,Products!$A$2:$A$101,0))</f>
        <v>249.36</v>
      </c>
      <c r="K777" s="19">
        <f t="shared" si="37"/>
        <v>2493.6000000000004</v>
      </c>
      <c r="L777" s="19">
        <f t="shared" si="38"/>
        <v>1738.3999999999996</v>
      </c>
    </row>
    <row r="778" spans="1:12" ht="15" customHeight="1" x14ac:dyDescent="0.25">
      <c r="A778" s="10">
        <v>777</v>
      </c>
      <c r="B778" s="10">
        <v>246</v>
      </c>
      <c r="C778" s="10">
        <v>31</v>
      </c>
      <c r="D778" s="10">
        <v>5</v>
      </c>
      <c r="E778" s="19">
        <v>93.27</v>
      </c>
      <c r="F778" s="10">
        <v>0</v>
      </c>
      <c r="G778" s="19">
        <f t="shared" si="36"/>
        <v>466.34999999999997</v>
      </c>
      <c r="H778" s="10">
        <f>INDEX(Products!$C$2:$C$101,MATCH(C778,Products!$A$2:$A$101,0))</f>
        <v>4</v>
      </c>
      <c r="I778" s="10" t="str">
        <f>INDEX(Categories!$B$2:$B$11,MATCH(H778,Categories!$A$2:$A$11,0))</f>
        <v>Apparel</v>
      </c>
      <c r="J778" s="19">
        <f>INDEX(Products!$E$2:$E$101,MATCH(C778,Products!$A$2:$A$101,0))</f>
        <v>65.099999999999994</v>
      </c>
      <c r="K778" s="19">
        <f t="shared" si="37"/>
        <v>325.5</v>
      </c>
      <c r="L778" s="19">
        <f t="shared" si="38"/>
        <v>140.84999999999997</v>
      </c>
    </row>
    <row r="779" spans="1:12" ht="15" customHeight="1" x14ac:dyDescent="0.25">
      <c r="A779" s="10">
        <v>778</v>
      </c>
      <c r="B779" s="10">
        <v>246</v>
      </c>
      <c r="C779" s="10">
        <v>67</v>
      </c>
      <c r="D779" s="10">
        <v>9</v>
      </c>
      <c r="E779" s="19">
        <v>120.48</v>
      </c>
      <c r="F779" s="10">
        <v>0.2</v>
      </c>
      <c r="G779" s="19">
        <f t="shared" si="36"/>
        <v>867.45600000000002</v>
      </c>
      <c r="H779" s="10">
        <f>INDEX(Products!$C$2:$C$101,MATCH(C779,Products!$A$2:$A$101,0))</f>
        <v>7</v>
      </c>
      <c r="I779" s="10" t="str">
        <f>INDEX(Categories!$B$2:$B$11,MATCH(H779,Categories!$A$2:$A$11,0))</f>
        <v>Toys &amp; Games</v>
      </c>
      <c r="J779" s="19">
        <f>INDEX(Products!$E$2:$E$101,MATCH(C779,Products!$A$2:$A$101,0))</f>
        <v>63.2</v>
      </c>
      <c r="K779" s="19">
        <f t="shared" si="37"/>
        <v>568.80000000000007</v>
      </c>
      <c r="L779" s="19">
        <f t="shared" si="38"/>
        <v>298.65599999999995</v>
      </c>
    </row>
    <row r="780" spans="1:12" ht="15" customHeight="1" x14ac:dyDescent="0.25">
      <c r="A780" s="10">
        <v>779</v>
      </c>
      <c r="B780" s="10">
        <v>246</v>
      </c>
      <c r="C780" s="10">
        <v>98</v>
      </c>
      <c r="D780" s="10">
        <v>5</v>
      </c>
      <c r="E780" s="19">
        <v>67.48</v>
      </c>
      <c r="F780" s="10">
        <v>0.05</v>
      </c>
      <c r="G780" s="19">
        <f t="shared" si="36"/>
        <v>320.53000000000003</v>
      </c>
      <c r="H780" s="10">
        <f>INDEX(Products!$C$2:$C$101,MATCH(C780,Products!$A$2:$A$101,0))</f>
        <v>10</v>
      </c>
      <c r="I780" s="10" t="str">
        <f>INDEX(Categories!$B$2:$B$11,MATCH(H780,Categories!$A$2:$A$11,0))</f>
        <v>Groceries</v>
      </c>
      <c r="J780" s="19">
        <f>INDEX(Products!$E$2:$E$101,MATCH(C780,Products!$A$2:$A$101,0))</f>
        <v>35.64</v>
      </c>
      <c r="K780" s="19">
        <f t="shared" si="37"/>
        <v>178.2</v>
      </c>
      <c r="L780" s="19">
        <f t="shared" si="38"/>
        <v>142.33000000000004</v>
      </c>
    </row>
    <row r="781" spans="1:12" ht="15" customHeight="1" x14ac:dyDescent="0.25">
      <c r="A781" s="10">
        <v>780</v>
      </c>
      <c r="B781" s="10">
        <v>247</v>
      </c>
      <c r="C781" s="10">
        <v>35</v>
      </c>
      <c r="D781" s="10">
        <v>4</v>
      </c>
      <c r="E781" s="19">
        <v>216.12</v>
      </c>
      <c r="F781" s="10">
        <v>0</v>
      </c>
      <c r="G781" s="19">
        <f t="shared" si="36"/>
        <v>864.48</v>
      </c>
      <c r="H781" s="10">
        <f>INDEX(Products!$C$2:$C$101,MATCH(C781,Products!$A$2:$A$101,0))</f>
        <v>4</v>
      </c>
      <c r="I781" s="10" t="str">
        <f>INDEX(Categories!$B$2:$B$11,MATCH(H781,Categories!$A$2:$A$11,0))</f>
        <v>Apparel</v>
      </c>
      <c r="J781" s="19">
        <f>INDEX(Products!$E$2:$E$101,MATCH(C781,Products!$A$2:$A$101,0))</f>
        <v>134.93</v>
      </c>
      <c r="K781" s="19">
        <f t="shared" si="37"/>
        <v>539.72</v>
      </c>
      <c r="L781" s="19">
        <f t="shared" si="38"/>
        <v>324.76</v>
      </c>
    </row>
    <row r="782" spans="1:12" ht="15" customHeight="1" x14ac:dyDescent="0.25">
      <c r="A782" s="10">
        <v>781</v>
      </c>
      <c r="B782" s="10">
        <v>247</v>
      </c>
      <c r="C782" s="10">
        <v>90</v>
      </c>
      <c r="D782" s="10">
        <v>1</v>
      </c>
      <c r="E782" s="19">
        <v>50.45</v>
      </c>
      <c r="F782" s="10">
        <v>0</v>
      </c>
      <c r="G782" s="19">
        <f t="shared" si="36"/>
        <v>50.45</v>
      </c>
      <c r="H782" s="10">
        <f>INDEX(Products!$C$2:$C$101,MATCH(C782,Products!$A$2:$A$101,0))</f>
        <v>9</v>
      </c>
      <c r="I782" s="10" t="str">
        <f>INDEX(Categories!$B$2:$B$11,MATCH(H782,Categories!$A$2:$A$11,0))</f>
        <v>Automotive Parts</v>
      </c>
      <c r="J782" s="19">
        <f>INDEX(Products!$E$2:$E$101,MATCH(C782,Products!$A$2:$A$101,0))</f>
        <v>29.34</v>
      </c>
      <c r="K782" s="19">
        <f t="shared" si="37"/>
        <v>29.34</v>
      </c>
      <c r="L782" s="19">
        <f t="shared" si="38"/>
        <v>21.110000000000003</v>
      </c>
    </row>
    <row r="783" spans="1:12" ht="15" customHeight="1" x14ac:dyDescent="0.25">
      <c r="A783" s="10">
        <v>782</v>
      </c>
      <c r="B783" s="10">
        <v>247</v>
      </c>
      <c r="C783" s="10">
        <v>80</v>
      </c>
      <c r="D783" s="10">
        <v>1</v>
      </c>
      <c r="E783" s="19">
        <v>292.64999999999998</v>
      </c>
      <c r="F783" s="10">
        <v>0.1</v>
      </c>
      <c r="G783" s="19">
        <f t="shared" si="36"/>
        <v>263.38499999999999</v>
      </c>
      <c r="H783" s="10">
        <f>INDEX(Products!$C$2:$C$101,MATCH(C783,Products!$A$2:$A$101,0))</f>
        <v>8</v>
      </c>
      <c r="I783" s="10" t="str">
        <f>INDEX(Categories!$B$2:$B$11,MATCH(H783,Categories!$A$2:$A$11,0))</f>
        <v>Health &amp; Beauty</v>
      </c>
      <c r="J783" s="19">
        <f>INDEX(Products!$E$2:$E$101,MATCH(C783,Products!$A$2:$A$101,0))</f>
        <v>218.48</v>
      </c>
      <c r="K783" s="19">
        <f t="shared" si="37"/>
        <v>218.48</v>
      </c>
      <c r="L783" s="19">
        <f t="shared" si="38"/>
        <v>44.905000000000001</v>
      </c>
    </row>
    <row r="784" spans="1:12" ht="15" customHeight="1" x14ac:dyDescent="0.25">
      <c r="A784" s="10">
        <v>783</v>
      </c>
      <c r="B784" s="10">
        <v>247</v>
      </c>
      <c r="C784" s="10">
        <v>63</v>
      </c>
      <c r="D784" s="10">
        <v>1</v>
      </c>
      <c r="E784" s="19">
        <v>20.190000000000001</v>
      </c>
      <c r="F784" s="10">
        <v>0</v>
      </c>
      <c r="G784" s="19">
        <f t="shared" si="36"/>
        <v>20.190000000000001</v>
      </c>
      <c r="H784" s="10">
        <f>INDEX(Products!$C$2:$C$101,MATCH(C784,Products!$A$2:$A$101,0))</f>
        <v>7</v>
      </c>
      <c r="I784" s="10" t="str">
        <f>INDEX(Categories!$B$2:$B$11,MATCH(H784,Categories!$A$2:$A$11,0))</f>
        <v>Toys &amp; Games</v>
      </c>
      <c r="J784" s="19">
        <f>INDEX(Products!$E$2:$E$101,MATCH(C784,Products!$A$2:$A$101,0))</f>
        <v>10.130000000000001</v>
      </c>
      <c r="K784" s="19">
        <f t="shared" si="37"/>
        <v>10.130000000000001</v>
      </c>
      <c r="L784" s="19">
        <f t="shared" si="38"/>
        <v>10.06</v>
      </c>
    </row>
    <row r="785" spans="1:12" ht="15" customHeight="1" x14ac:dyDescent="0.25">
      <c r="A785" s="10">
        <v>784</v>
      </c>
      <c r="B785" s="10">
        <v>248</v>
      </c>
      <c r="C785" s="10">
        <v>2</v>
      </c>
      <c r="D785" s="10">
        <v>4</v>
      </c>
      <c r="E785" s="19">
        <v>286.57</v>
      </c>
      <c r="F785" s="10">
        <v>0</v>
      </c>
      <c r="G785" s="19">
        <f t="shared" si="36"/>
        <v>1146.28</v>
      </c>
      <c r="H785" s="10">
        <f>INDEX(Products!$C$2:$C$101,MATCH(C785,Products!$A$2:$A$101,0))</f>
        <v>1</v>
      </c>
      <c r="I785" s="10" t="str">
        <f>INDEX(Categories!$B$2:$B$11,MATCH(H785,Categories!$A$2:$A$11,0))</f>
        <v>Electronics</v>
      </c>
      <c r="J785" s="19">
        <f>INDEX(Products!$E$2:$E$101,MATCH(C785,Products!$A$2:$A$101,0))</f>
        <v>135.94</v>
      </c>
      <c r="K785" s="19">
        <f t="shared" si="37"/>
        <v>543.76</v>
      </c>
      <c r="L785" s="19">
        <f t="shared" si="38"/>
        <v>602.52</v>
      </c>
    </row>
    <row r="786" spans="1:12" ht="15" customHeight="1" x14ac:dyDescent="0.25">
      <c r="A786" s="10">
        <v>785</v>
      </c>
      <c r="B786" s="10">
        <v>248</v>
      </c>
      <c r="C786" s="10">
        <v>64</v>
      </c>
      <c r="D786" s="10">
        <v>7</v>
      </c>
      <c r="E786" s="19">
        <v>265.25</v>
      </c>
      <c r="F786" s="10">
        <v>0</v>
      </c>
      <c r="G786" s="19">
        <f t="shared" si="36"/>
        <v>1856.75</v>
      </c>
      <c r="H786" s="10">
        <f>INDEX(Products!$C$2:$C$101,MATCH(C786,Products!$A$2:$A$101,0))</f>
        <v>7</v>
      </c>
      <c r="I786" s="10" t="str">
        <f>INDEX(Categories!$B$2:$B$11,MATCH(H786,Categories!$A$2:$A$11,0))</f>
        <v>Toys &amp; Games</v>
      </c>
      <c r="J786" s="19">
        <f>INDEX(Products!$E$2:$E$101,MATCH(C786,Products!$A$2:$A$101,0))</f>
        <v>139.06</v>
      </c>
      <c r="K786" s="19">
        <f t="shared" si="37"/>
        <v>973.42000000000007</v>
      </c>
      <c r="L786" s="19">
        <f t="shared" si="38"/>
        <v>883.32999999999993</v>
      </c>
    </row>
    <row r="787" spans="1:12" ht="15" customHeight="1" x14ac:dyDescent="0.25">
      <c r="A787" s="10">
        <v>786</v>
      </c>
      <c r="B787" s="10">
        <v>249</v>
      </c>
      <c r="C787" s="10">
        <v>100</v>
      </c>
      <c r="D787" s="10">
        <v>9</v>
      </c>
      <c r="E787" s="19">
        <v>313.44</v>
      </c>
      <c r="F787" s="10">
        <v>0.05</v>
      </c>
      <c r="G787" s="19">
        <f t="shared" si="36"/>
        <v>2679.9119999999998</v>
      </c>
      <c r="H787" s="10">
        <f>INDEX(Products!$C$2:$C$101,MATCH(C787,Products!$A$2:$A$101,0))</f>
        <v>10</v>
      </c>
      <c r="I787" s="10" t="str">
        <f>INDEX(Categories!$B$2:$B$11,MATCH(H787,Categories!$A$2:$A$11,0))</f>
        <v>Groceries</v>
      </c>
      <c r="J787" s="19">
        <f>INDEX(Products!$E$2:$E$101,MATCH(C787,Products!$A$2:$A$101,0))</f>
        <v>187.4</v>
      </c>
      <c r="K787" s="19">
        <f t="shared" si="37"/>
        <v>1686.6000000000001</v>
      </c>
      <c r="L787" s="19">
        <f t="shared" si="38"/>
        <v>993.31199999999967</v>
      </c>
    </row>
    <row r="788" spans="1:12" ht="15" customHeight="1" x14ac:dyDescent="0.25">
      <c r="A788" s="10">
        <v>787</v>
      </c>
      <c r="B788" s="10">
        <v>249</v>
      </c>
      <c r="C788" s="10">
        <v>51</v>
      </c>
      <c r="D788" s="10">
        <v>3</v>
      </c>
      <c r="E788" s="19">
        <v>436.43</v>
      </c>
      <c r="F788" s="10">
        <v>0</v>
      </c>
      <c r="G788" s="19">
        <f t="shared" si="36"/>
        <v>1309.29</v>
      </c>
      <c r="H788" s="10">
        <f>INDEX(Products!$C$2:$C$101,MATCH(C788,Products!$A$2:$A$101,0))</f>
        <v>6</v>
      </c>
      <c r="I788" s="10" t="str">
        <f>INDEX(Categories!$B$2:$B$11,MATCH(H788,Categories!$A$2:$A$11,0))</f>
        <v>Sporting Goods</v>
      </c>
      <c r="J788" s="19">
        <f>INDEX(Products!$E$2:$E$101,MATCH(C788,Products!$A$2:$A$101,0))</f>
        <v>235.84</v>
      </c>
      <c r="K788" s="19">
        <f t="shared" si="37"/>
        <v>707.52</v>
      </c>
      <c r="L788" s="19">
        <f t="shared" si="38"/>
        <v>601.77</v>
      </c>
    </row>
    <row r="789" spans="1:12" ht="15" customHeight="1" x14ac:dyDescent="0.25">
      <c r="A789" s="10">
        <v>788</v>
      </c>
      <c r="B789" s="10">
        <v>249</v>
      </c>
      <c r="C789" s="10">
        <v>10</v>
      </c>
      <c r="D789" s="10">
        <v>5</v>
      </c>
      <c r="E789" s="19">
        <v>395.24</v>
      </c>
      <c r="F789" s="10">
        <v>0.2</v>
      </c>
      <c r="G789" s="19">
        <f t="shared" si="36"/>
        <v>1580.96</v>
      </c>
      <c r="H789" s="10">
        <f>INDEX(Products!$C$2:$C$101,MATCH(C789,Products!$A$2:$A$101,0))</f>
        <v>1</v>
      </c>
      <c r="I789" s="10" t="str">
        <f>INDEX(Categories!$B$2:$B$11,MATCH(H789,Categories!$A$2:$A$11,0))</f>
        <v>Electronics</v>
      </c>
      <c r="J789" s="19">
        <f>INDEX(Products!$E$2:$E$101,MATCH(C789,Products!$A$2:$A$101,0))</f>
        <v>195.96</v>
      </c>
      <c r="K789" s="19">
        <f t="shared" si="37"/>
        <v>979.80000000000007</v>
      </c>
      <c r="L789" s="19">
        <f t="shared" si="38"/>
        <v>601.16</v>
      </c>
    </row>
    <row r="790" spans="1:12" ht="15" customHeight="1" x14ac:dyDescent="0.25">
      <c r="A790" s="10">
        <v>789</v>
      </c>
      <c r="B790" s="10">
        <v>250</v>
      </c>
      <c r="C790" s="10">
        <v>59</v>
      </c>
      <c r="D790" s="10">
        <v>2</v>
      </c>
      <c r="E790" s="19">
        <v>68</v>
      </c>
      <c r="F790" s="10">
        <v>0.1</v>
      </c>
      <c r="G790" s="19">
        <f t="shared" si="36"/>
        <v>122.4</v>
      </c>
      <c r="H790" s="10">
        <f>INDEX(Products!$C$2:$C$101,MATCH(C790,Products!$A$2:$A$101,0))</f>
        <v>6</v>
      </c>
      <c r="I790" s="10" t="str">
        <f>INDEX(Categories!$B$2:$B$11,MATCH(H790,Categories!$A$2:$A$11,0))</f>
        <v>Sporting Goods</v>
      </c>
      <c r="J790" s="19">
        <f>INDEX(Products!$E$2:$E$101,MATCH(C790,Products!$A$2:$A$101,0))</f>
        <v>31.63</v>
      </c>
      <c r="K790" s="19">
        <f t="shared" si="37"/>
        <v>63.26</v>
      </c>
      <c r="L790" s="19">
        <f t="shared" si="38"/>
        <v>59.140000000000008</v>
      </c>
    </row>
    <row r="791" spans="1:12" ht="15" customHeight="1" x14ac:dyDescent="0.25">
      <c r="A791" s="10">
        <v>790</v>
      </c>
      <c r="B791" s="10">
        <v>250</v>
      </c>
      <c r="C791" s="10">
        <v>95</v>
      </c>
      <c r="D791" s="10">
        <v>4</v>
      </c>
      <c r="E791" s="19">
        <v>394.56</v>
      </c>
      <c r="F791" s="10">
        <v>0.05</v>
      </c>
      <c r="G791" s="19">
        <f t="shared" si="36"/>
        <v>1499.328</v>
      </c>
      <c r="H791" s="10">
        <f>INDEX(Products!$C$2:$C$101,MATCH(C791,Products!$A$2:$A$101,0))</f>
        <v>10</v>
      </c>
      <c r="I791" s="10" t="str">
        <f>INDEX(Categories!$B$2:$B$11,MATCH(H791,Categories!$A$2:$A$11,0))</f>
        <v>Groceries</v>
      </c>
      <c r="J791" s="19">
        <f>INDEX(Products!$E$2:$E$101,MATCH(C791,Products!$A$2:$A$101,0))</f>
        <v>192.57</v>
      </c>
      <c r="K791" s="19">
        <f t="shared" si="37"/>
        <v>770.28</v>
      </c>
      <c r="L791" s="19">
        <f t="shared" si="38"/>
        <v>729.048</v>
      </c>
    </row>
    <row r="792" spans="1:12" ht="15" customHeight="1" x14ac:dyDescent="0.25">
      <c r="A792" s="10">
        <v>791</v>
      </c>
      <c r="B792" s="10">
        <v>251</v>
      </c>
      <c r="C792" s="10">
        <v>26</v>
      </c>
      <c r="D792" s="10">
        <v>4</v>
      </c>
      <c r="E792" s="19">
        <v>262.08</v>
      </c>
      <c r="F792" s="10">
        <v>0</v>
      </c>
      <c r="G792" s="19">
        <f t="shared" si="36"/>
        <v>1048.32</v>
      </c>
      <c r="H792" s="10">
        <f>INDEX(Products!$C$2:$C$101,MATCH(C792,Products!$A$2:$A$101,0))</f>
        <v>3</v>
      </c>
      <c r="I792" s="10" t="str">
        <f>INDEX(Categories!$B$2:$B$11,MATCH(H792,Categories!$A$2:$A$11,0))</f>
        <v>Furniture</v>
      </c>
      <c r="J792" s="19">
        <f>INDEX(Products!$E$2:$E$101,MATCH(C792,Products!$A$2:$A$101,0))</f>
        <v>140.28</v>
      </c>
      <c r="K792" s="19">
        <f t="shared" si="37"/>
        <v>561.12</v>
      </c>
      <c r="L792" s="19">
        <f t="shared" si="38"/>
        <v>487.19999999999993</v>
      </c>
    </row>
    <row r="793" spans="1:12" ht="15" customHeight="1" x14ac:dyDescent="0.25">
      <c r="A793" s="10">
        <v>792</v>
      </c>
      <c r="B793" s="10">
        <v>251</v>
      </c>
      <c r="C793" s="10">
        <v>47</v>
      </c>
      <c r="D793" s="10">
        <v>4</v>
      </c>
      <c r="E793" s="19">
        <v>96.51</v>
      </c>
      <c r="F793" s="10">
        <v>0.15</v>
      </c>
      <c r="G793" s="19">
        <f t="shared" si="36"/>
        <v>328.13400000000001</v>
      </c>
      <c r="H793" s="10">
        <f>INDEX(Products!$C$2:$C$101,MATCH(C793,Products!$A$2:$A$101,0))</f>
        <v>5</v>
      </c>
      <c r="I793" s="10" t="str">
        <f>INDEX(Categories!$B$2:$B$11,MATCH(H793,Categories!$A$2:$A$11,0))</f>
        <v>Home &amp; Kitchen</v>
      </c>
      <c r="J793" s="19">
        <f>INDEX(Products!$E$2:$E$101,MATCH(C793,Products!$A$2:$A$101,0))</f>
        <v>60.66</v>
      </c>
      <c r="K793" s="19">
        <f t="shared" si="37"/>
        <v>242.64</v>
      </c>
      <c r="L793" s="19">
        <f t="shared" si="38"/>
        <v>85.494000000000028</v>
      </c>
    </row>
    <row r="794" spans="1:12" ht="15" customHeight="1" x14ac:dyDescent="0.25">
      <c r="A794" s="10">
        <v>793</v>
      </c>
      <c r="B794" s="10">
        <v>251</v>
      </c>
      <c r="C794" s="10">
        <v>7</v>
      </c>
      <c r="D794" s="10">
        <v>7</v>
      </c>
      <c r="E794" s="19">
        <v>150.96</v>
      </c>
      <c r="F794" s="10">
        <v>0</v>
      </c>
      <c r="G794" s="19">
        <f t="shared" si="36"/>
        <v>1056.72</v>
      </c>
      <c r="H794" s="10">
        <f>INDEX(Products!$C$2:$C$101,MATCH(C794,Products!$A$2:$A$101,0))</f>
        <v>1</v>
      </c>
      <c r="I794" s="10" t="str">
        <f>INDEX(Categories!$B$2:$B$11,MATCH(H794,Categories!$A$2:$A$11,0))</f>
        <v>Electronics</v>
      </c>
      <c r="J794" s="19">
        <f>INDEX(Products!$E$2:$E$101,MATCH(C794,Products!$A$2:$A$101,0))</f>
        <v>83.86</v>
      </c>
      <c r="K794" s="19">
        <f t="shared" si="37"/>
        <v>587.02</v>
      </c>
      <c r="L794" s="19">
        <f t="shared" si="38"/>
        <v>469.70000000000005</v>
      </c>
    </row>
    <row r="795" spans="1:12" ht="15" customHeight="1" x14ac:dyDescent="0.25">
      <c r="A795" s="10">
        <v>794</v>
      </c>
      <c r="B795" s="10">
        <v>252</v>
      </c>
      <c r="C795" s="10">
        <v>6</v>
      </c>
      <c r="D795" s="10">
        <v>10</v>
      </c>
      <c r="E795" s="19">
        <v>234.43</v>
      </c>
      <c r="F795" s="10">
        <v>0.2</v>
      </c>
      <c r="G795" s="19">
        <f t="shared" si="36"/>
        <v>1875.4400000000003</v>
      </c>
      <c r="H795" s="10">
        <f>INDEX(Products!$C$2:$C$101,MATCH(C795,Products!$A$2:$A$101,0))</f>
        <v>1</v>
      </c>
      <c r="I795" s="10" t="str">
        <f>INDEX(Categories!$B$2:$B$11,MATCH(H795,Categories!$A$2:$A$11,0))</f>
        <v>Electronics</v>
      </c>
      <c r="J795" s="19">
        <f>INDEX(Products!$E$2:$E$101,MATCH(C795,Products!$A$2:$A$101,0))</f>
        <v>161.76</v>
      </c>
      <c r="K795" s="19">
        <f t="shared" si="37"/>
        <v>1617.6</v>
      </c>
      <c r="L795" s="19">
        <f t="shared" si="38"/>
        <v>257.84000000000037</v>
      </c>
    </row>
    <row r="796" spans="1:12" ht="15" customHeight="1" x14ac:dyDescent="0.25">
      <c r="A796" s="10">
        <v>795</v>
      </c>
      <c r="B796" s="10">
        <v>253</v>
      </c>
      <c r="C796" s="10">
        <v>21</v>
      </c>
      <c r="D796" s="10">
        <v>2</v>
      </c>
      <c r="E796" s="19">
        <v>358.6</v>
      </c>
      <c r="F796" s="10">
        <v>0.15</v>
      </c>
      <c r="G796" s="19">
        <f t="shared" si="36"/>
        <v>609.62</v>
      </c>
      <c r="H796" s="10">
        <f>INDEX(Products!$C$2:$C$101,MATCH(C796,Products!$A$2:$A$101,0))</f>
        <v>3</v>
      </c>
      <c r="I796" s="10" t="str">
        <f>INDEX(Categories!$B$2:$B$11,MATCH(H796,Categories!$A$2:$A$11,0))</f>
        <v>Furniture</v>
      </c>
      <c r="J796" s="19">
        <f>INDEX(Products!$E$2:$E$101,MATCH(C796,Products!$A$2:$A$101,0))</f>
        <v>155.13</v>
      </c>
      <c r="K796" s="19">
        <f t="shared" si="37"/>
        <v>310.26</v>
      </c>
      <c r="L796" s="19">
        <f t="shared" si="38"/>
        <v>299.36</v>
      </c>
    </row>
    <row r="797" spans="1:12" ht="15" customHeight="1" x14ac:dyDescent="0.25">
      <c r="A797" s="10">
        <v>796</v>
      </c>
      <c r="B797" s="10">
        <v>253</v>
      </c>
      <c r="C797" s="10">
        <v>64</v>
      </c>
      <c r="D797" s="10">
        <v>10</v>
      </c>
      <c r="E797" s="19">
        <v>265.25</v>
      </c>
      <c r="F797" s="10">
        <v>0</v>
      </c>
      <c r="G797" s="19">
        <f t="shared" si="36"/>
        <v>2652.5</v>
      </c>
      <c r="H797" s="10">
        <f>INDEX(Products!$C$2:$C$101,MATCH(C797,Products!$A$2:$A$101,0))</f>
        <v>7</v>
      </c>
      <c r="I797" s="10" t="str">
        <f>INDEX(Categories!$B$2:$B$11,MATCH(H797,Categories!$A$2:$A$11,0))</f>
        <v>Toys &amp; Games</v>
      </c>
      <c r="J797" s="19">
        <f>INDEX(Products!$E$2:$E$101,MATCH(C797,Products!$A$2:$A$101,0))</f>
        <v>139.06</v>
      </c>
      <c r="K797" s="19">
        <f t="shared" si="37"/>
        <v>1390.6</v>
      </c>
      <c r="L797" s="19">
        <f t="shared" si="38"/>
        <v>1261.9000000000001</v>
      </c>
    </row>
    <row r="798" spans="1:12" ht="15" customHeight="1" x14ac:dyDescent="0.25">
      <c r="A798" s="10">
        <v>797</v>
      </c>
      <c r="B798" s="10">
        <v>254</v>
      </c>
      <c r="C798" s="10">
        <v>72</v>
      </c>
      <c r="D798" s="10">
        <v>6</v>
      </c>
      <c r="E798" s="19">
        <v>526.70000000000005</v>
      </c>
      <c r="F798" s="10">
        <v>0.2</v>
      </c>
      <c r="G798" s="19">
        <f t="shared" si="36"/>
        <v>2528.1600000000003</v>
      </c>
      <c r="H798" s="10">
        <f>INDEX(Products!$C$2:$C$101,MATCH(C798,Products!$A$2:$A$101,0))</f>
        <v>8</v>
      </c>
      <c r="I798" s="10" t="str">
        <f>INDEX(Categories!$B$2:$B$11,MATCH(H798,Categories!$A$2:$A$11,0))</f>
        <v>Health &amp; Beauty</v>
      </c>
      <c r="J798" s="19">
        <f>INDEX(Products!$E$2:$E$101,MATCH(C798,Products!$A$2:$A$101,0))</f>
        <v>233.41</v>
      </c>
      <c r="K798" s="19">
        <f t="shared" si="37"/>
        <v>1400.46</v>
      </c>
      <c r="L798" s="19">
        <f t="shared" si="38"/>
        <v>1127.7000000000003</v>
      </c>
    </row>
    <row r="799" spans="1:12" ht="15" customHeight="1" x14ac:dyDescent="0.25">
      <c r="A799" s="10">
        <v>798</v>
      </c>
      <c r="B799" s="10">
        <v>254</v>
      </c>
      <c r="C799" s="10">
        <v>83</v>
      </c>
      <c r="D799" s="10">
        <v>8</v>
      </c>
      <c r="E799" s="19">
        <v>113.19</v>
      </c>
      <c r="F799" s="10">
        <v>0.15</v>
      </c>
      <c r="G799" s="19">
        <f t="shared" si="36"/>
        <v>769.69200000000001</v>
      </c>
      <c r="H799" s="10">
        <f>INDEX(Products!$C$2:$C$101,MATCH(C799,Products!$A$2:$A$101,0))</f>
        <v>9</v>
      </c>
      <c r="I799" s="10" t="str">
        <f>INDEX(Categories!$B$2:$B$11,MATCH(H799,Categories!$A$2:$A$11,0))</f>
        <v>Automotive Parts</v>
      </c>
      <c r="J799" s="19">
        <f>INDEX(Products!$E$2:$E$101,MATCH(C799,Products!$A$2:$A$101,0))</f>
        <v>83.12</v>
      </c>
      <c r="K799" s="19">
        <f t="shared" si="37"/>
        <v>664.96</v>
      </c>
      <c r="L799" s="19">
        <f t="shared" si="38"/>
        <v>104.73199999999997</v>
      </c>
    </row>
    <row r="800" spans="1:12" ht="15" customHeight="1" x14ac:dyDescent="0.25">
      <c r="A800" s="10">
        <v>799</v>
      </c>
      <c r="B800" s="10">
        <v>254</v>
      </c>
      <c r="C800" s="10">
        <v>97</v>
      </c>
      <c r="D800" s="10">
        <v>4</v>
      </c>
      <c r="E800" s="19">
        <v>81.58</v>
      </c>
      <c r="F800" s="10">
        <v>0</v>
      </c>
      <c r="G800" s="19">
        <f t="shared" si="36"/>
        <v>326.32</v>
      </c>
      <c r="H800" s="10">
        <f>INDEX(Products!$C$2:$C$101,MATCH(C800,Products!$A$2:$A$101,0))</f>
        <v>10</v>
      </c>
      <c r="I800" s="10" t="str">
        <f>INDEX(Categories!$B$2:$B$11,MATCH(H800,Categories!$A$2:$A$11,0))</f>
        <v>Groceries</v>
      </c>
      <c r="J800" s="19">
        <f>INDEX(Products!$E$2:$E$101,MATCH(C800,Products!$A$2:$A$101,0))</f>
        <v>35.46</v>
      </c>
      <c r="K800" s="19">
        <f t="shared" si="37"/>
        <v>141.84</v>
      </c>
      <c r="L800" s="19">
        <f t="shared" si="38"/>
        <v>184.48</v>
      </c>
    </row>
    <row r="801" spans="1:12" ht="15" customHeight="1" x14ac:dyDescent="0.25">
      <c r="A801" s="10">
        <v>800</v>
      </c>
      <c r="B801" s="10">
        <v>255</v>
      </c>
      <c r="C801" s="10">
        <v>38</v>
      </c>
      <c r="D801" s="10">
        <v>10</v>
      </c>
      <c r="E801" s="19">
        <v>146.91999999999999</v>
      </c>
      <c r="F801" s="10">
        <v>0</v>
      </c>
      <c r="G801" s="19">
        <f t="shared" si="36"/>
        <v>1469.1999999999998</v>
      </c>
      <c r="H801" s="10">
        <f>INDEX(Products!$C$2:$C$101,MATCH(C801,Products!$A$2:$A$101,0))</f>
        <v>4</v>
      </c>
      <c r="I801" s="10" t="str">
        <f>INDEX(Categories!$B$2:$B$11,MATCH(H801,Categories!$A$2:$A$11,0))</f>
        <v>Apparel</v>
      </c>
      <c r="J801" s="19">
        <f>INDEX(Products!$E$2:$E$101,MATCH(C801,Products!$A$2:$A$101,0))</f>
        <v>65.36</v>
      </c>
      <c r="K801" s="19">
        <f t="shared" si="37"/>
        <v>653.6</v>
      </c>
      <c r="L801" s="19">
        <f t="shared" si="38"/>
        <v>815.5999999999998</v>
      </c>
    </row>
    <row r="802" spans="1:12" ht="15" customHeight="1" x14ac:dyDescent="0.25">
      <c r="A802" s="10">
        <v>801</v>
      </c>
      <c r="B802" s="10">
        <v>255</v>
      </c>
      <c r="C802" s="10">
        <v>70</v>
      </c>
      <c r="D802" s="10">
        <v>9</v>
      </c>
      <c r="E802" s="19">
        <v>149.31</v>
      </c>
      <c r="F802" s="10">
        <v>0</v>
      </c>
      <c r="G802" s="19">
        <f t="shared" si="36"/>
        <v>1343.79</v>
      </c>
      <c r="H802" s="10">
        <f>INDEX(Products!$C$2:$C$101,MATCH(C802,Products!$A$2:$A$101,0))</f>
        <v>7</v>
      </c>
      <c r="I802" s="10" t="str">
        <f>INDEX(Categories!$B$2:$B$11,MATCH(H802,Categories!$A$2:$A$11,0))</f>
        <v>Toys &amp; Games</v>
      </c>
      <c r="J802" s="19">
        <f>INDEX(Products!$E$2:$E$101,MATCH(C802,Products!$A$2:$A$101,0))</f>
        <v>76.739999999999995</v>
      </c>
      <c r="K802" s="19">
        <f t="shared" si="37"/>
        <v>690.66</v>
      </c>
      <c r="L802" s="19">
        <f t="shared" si="38"/>
        <v>653.13</v>
      </c>
    </row>
    <row r="803" spans="1:12" ht="15" customHeight="1" x14ac:dyDescent="0.25">
      <c r="A803" s="10">
        <v>802</v>
      </c>
      <c r="B803" s="10">
        <v>255</v>
      </c>
      <c r="C803" s="10">
        <v>90</v>
      </c>
      <c r="D803" s="10">
        <v>6</v>
      </c>
      <c r="E803" s="19">
        <v>50.45</v>
      </c>
      <c r="F803" s="10">
        <v>0.15</v>
      </c>
      <c r="G803" s="19">
        <f t="shared" si="36"/>
        <v>257.29500000000002</v>
      </c>
      <c r="H803" s="10">
        <f>INDEX(Products!$C$2:$C$101,MATCH(C803,Products!$A$2:$A$101,0))</f>
        <v>9</v>
      </c>
      <c r="I803" s="10" t="str">
        <f>INDEX(Categories!$B$2:$B$11,MATCH(H803,Categories!$A$2:$A$11,0))</f>
        <v>Automotive Parts</v>
      </c>
      <c r="J803" s="19">
        <f>INDEX(Products!$E$2:$E$101,MATCH(C803,Products!$A$2:$A$101,0))</f>
        <v>29.34</v>
      </c>
      <c r="K803" s="19">
        <f t="shared" si="37"/>
        <v>176.04</v>
      </c>
      <c r="L803" s="19">
        <f t="shared" si="38"/>
        <v>81.255000000000024</v>
      </c>
    </row>
    <row r="804" spans="1:12" ht="15" customHeight="1" x14ac:dyDescent="0.25">
      <c r="A804" s="10">
        <v>803</v>
      </c>
      <c r="B804" s="10">
        <v>255</v>
      </c>
      <c r="C804" s="10">
        <v>63</v>
      </c>
      <c r="D804" s="10">
        <v>8</v>
      </c>
      <c r="E804" s="19">
        <v>20.190000000000001</v>
      </c>
      <c r="F804" s="10">
        <v>0</v>
      </c>
      <c r="G804" s="19">
        <f t="shared" si="36"/>
        <v>161.52000000000001</v>
      </c>
      <c r="H804" s="10">
        <f>INDEX(Products!$C$2:$C$101,MATCH(C804,Products!$A$2:$A$101,0))</f>
        <v>7</v>
      </c>
      <c r="I804" s="10" t="str">
        <f>INDEX(Categories!$B$2:$B$11,MATCH(H804,Categories!$A$2:$A$11,0))</f>
        <v>Toys &amp; Games</v>
      </c>
      <c r="J804" s="19">
        <f>INDEX(Products!$E$2:$E$101,MATCH(C804,Products!$A$2:$A$101,0))</f>
        <v>10.130000000000001</v>
      </c>
      <c r="K804" s="19">
        <f t="shared" si="37"/>
        <v>81.040000000000006</v>
      </c>
      <c r="L804" s="19">
        <f t="shared" si="38"/>
        <v>80.48</v>
      </c>
    </row>
    <row r="805" spans="1:12" ht="15" customHeight="1" x14ac:dyDescent="0.25">
      <c r="A805" s="10">
        <v>804</v>
      </c>
      <c r="B805" s="10">
        <v>255</v>
      </c>
      <c r="C805" s="10">
        <v>25</v>
      </c>
      <c r="D805" s="10">
        <v>10</v>
      </c>
      <c r="E805" s="19">
        <v>334.98</v>
      </c>
      <c r="F805" s="10">
        <v>0.2</v>
      </c>
      <c r="G805" s="19">
        <f t="shared" si="36"/>
        <v>2679.84</v>
      </c>
      <c r="H805" s="10">
        <f>INDEX(Products!$C$2:$C$101,MATCH(C805,Products!$A$2:$A$101,0))</f>
        <v>3</v>
      </c>
      <c r="I805" s="10" t="str">
        <f>INDEX(Categories!$B$2:$B$11,MATCH(H805,Categories!$A$2:$A$11,0))</f>
        <v>Furniture</v>
      </c>
      <c r="J805" s="19">
        <f>INDEX(Products!$E$2:$E$101,MATCH(C805,Products!$A$2:$A$101,0))</f>
        <v>200.06</v>
      </c>
      <c r="K805" s="19">
        <f t="shared" si="37"/>
        <v>2000.6</v>
      </c>
      <c r="L805" s="19">
        <f t="shared" si="38"/>
        <v>679.24000000000024</v>
      </c>
    </row>
    <row r="806" spans="1:12" ht="15" customHeight="1" x14ac:dyDescent="0.25">
      <c r="A806" s="10">
        <v>805</v>
      </c>
      <c r="B806" s="10">
        <v>256</v>
      </c>
      <c r="C806" s="10">
        <v>59</v>
      </c>
      <c r="D806" s="10">
        <v>9</v>
      </c>
      <c r="E806" s="19">
        <v>68</v>
      </c>
      <c r="F806" s="10">
        <v>0.05</v>
      </c>
      <c r="G806" s="19">
        <f t="shared" si="36"/>
        <v>581.4</v>
      </c>
      <c r="H806" s="10">
        <f>INDEX(Products!$C$2:$C$101,MATCH(C806,Products!$A$2:$A$101,0))</f>
        <v>6</v>
      </c>
      <c r="I806" s="10" t="str">
        <f>INDEX(Categories!$B$2:$B$11,MATCH(H806,Categories!$A$2:$A$11,0))</f>
        <v>Sporting Goods</v>
      </c>
      <c r="J806" s="19">
        <f>INDEX(Products!$E$2:$E$101,MATCH(C806,Products!$A$2:$A$101,0))</f>
        <v>31.63</v>
      </c>
      <c r="K806" s="19">
        <f t="shared" si="37"/>
        <v>284.67</v>
      </c>
      <c r="L806" s="19">
        <f t="shared" si="38"/>
        <v>296.72999999999996</v>
      </c>
    </row>
    <row r="807" spans="1:12" ht="15" customHeight="1" x14ac:dyDescent="0.25">
      <c r="A807" s="10">
        <v>806</v>
      </c>
      <c r="B807" s="10">
        <v>256</v>
      </c>
      <c r="C807" s="10">
        <v>1</v>
      </c>
      <c r="D807" s="10">
        <v>3</v>
      </c>
      <c r="E807" s="19">
        <v>384.09</v>
      </c>
      <c r="F807" s="10">
        <v>0</v>
      </c>
      <c r="G807" s="19">
        <f t="shared" si="36"/>
        <v>1152.27</v>
      </c>
      <c r="H807" s="10">
        <f>INDEX(Products!$C$2:$C$101,MATCH(C807,Products!$A$2:$A$101,0))</f>
        <v>1</v>
      </c>
      <c r="I807" s="10" t="str">
        <f>INDEX(Categories!$B$2:$B$11,MATCH(H807,Categories!$A$2:$A$11,0))</f>
        <v>Electronics</v>
      </c>
      <c r="J807" s="19">
        <f>INDEX(Products!$E$2:$E$101,MATCH(C807,Products!$A$2:$A$101,0))</f>
        <v>235.86</v>
      </c>
      <c r="K807" s="19">
        <f t="shared" si="37"/>
        <v>707.58</v>
      </c>
      <c r="L807" s="19">
        <f t="shared" si="38"/>
        <v>444.68999999999994</v>
      </c>
    </row>
    <row r="808" spans="1:12" ht="15" customHeight="1" x14ac:dyDescent="0.25">
      <c r="A808" s="10">
        <v>807</v>
      </c>
      <c r="B808" s="10">
        <v>256</v>
      </c>
      <c r="C808" s="10">
        <v>100</v>
      </c>
      <c r="D808" s="10">
        <v>10</v>
      </c>
      <c r="E808" s="19">
        <v>313.44</v>
      </c>
      <c r="F808" s="10">
        <v>0.2</v>
      </c>
      <c r="G808" s="19">
        <f t="shared" si="36"/>
        <v>2507.5200000000004</v>
      </c>
      <c r="H808" s="10">
        <f>INDEX(Products!$C$2:$C$101,MATCH(C808,Products!$A$2:$A$101,0))</f>
        <v>10</v>
      </c>
      <c r="I808" s="10" t="str">
        <f>INDEX(Categories!$B$2:$B$11,MATCH(H808,Categories!$A$2:$A$11,0))</f>
        <v>Groceries</v>
      </c>
      <c r="J808" s="19">
        <f>INDEX(Products!$E$2:$E$101,MATCH(C808,Products!$A$2:$A$101,0))</f>
        <v>187.4</v>
      </c>
      <c r="K808" s="19">
        <f t="shared" si="37"/>
        <v>1874</v>
      </c>
      <c r="L808" s="19">
        <f t="shared" si="38"/>
        <v>633.52000000000044</v>
      </c>
    </row>
    <row r="809" spans="1:12" ht="15" customHeight="1" x14ac:dyDescent="0.25">
      <c r="A809" s="10">
        <v>808</v>
      </c>
      <c r="B809" s="10">
        <v>257</v>
      </c>
      <c r="C809" s="10">
        <v>20</v>
      </c>
      <c r="D809" s="10">
        <v>6</v>
      </c>
      <c r="E809" s="19">
        <v>316.14999999999998</v>
      </c>
      <c r="F809" s="10">
        <v>0</v>
      </c>
      <c r="G809" s="19">
        <f t="shared" si="36"/>
        <v>1896.8999999999999</v>
      </c>
      <c r="H809" s="10">
        <f>INDEX(Products!$C$2:$C$101,MATCH(C809,Products!$A$2:$A$101,0))</f>
        <v>2</v>
      </c>
      <c r="I809" s="10" t="str">
        <f>INDEX(Categories!$B$2:$B$11,MATCH(H809,Categories!$A$2:$A$11,0))</f>
        <v>Office Supplies</v>
      </c>
      <c r="J809" s="19">
        <f>INDEX(Products!$E$2:$E$101,MATCH(C809,Products!$A$2:$A$101,0))</f>
        <v>177.71</v>
      </c>
      <c r="K809" s="19">
        <f t="shared" si="37"/>
        <v>1066.26</v>
      </c>
      <c r="L809" s="19">
        <f t="shared" si="38"/>
        <v>830.63999999999987</v>
      </c>
    </row>
    <row r="810" spans="1:12" ht="15" customHeight="1" x14ac:dyDescent="0.25">
      <c r="A810" s="10">
        <v>809</v>
      </c>
      <c r="B810" s="10">
        <v>257</v>
      </c>
      <c r="C810" s="10">
        <v>79</v>
      </c>
      <c r="D810" s="10">
        <v>2</v>
      </c>
      <c r="E810" s="19">
        <v>369.82</v>
      </c>
      <c r="F810" s="10">
        <v>0.1</v>
      </c>
      <c r="G810" s="19">
        <f t="shared" si="36"/>
        <v>665.67600000000004</v>
      </c>
      <c r="H810" s="10">
        <f>INDEX(Products!$C$2:$C$101,MATCH(C810,Products!$A$2:$A$101,0))</f>
        <v>8</v>
      </c>
      <c r="I810" s="10" t="str">
        <f>INDEX(Categories!$B$2:$B$11,MATCH(H810,Categories!$A$2:$A$11,0))</f>
        <v>Health &amp; Beauty</v>
      </c>
      <c r="J810" s="19">
        <f>INDEX(Products!$E$2:$E$101,MATCH(C810,Products!$A$2:$A$101,0))</f>
        <v>215.26</v>
      </c>
      <c r="K810" s="19">
        <f t="shared" si="37"/>
        <v>430.52</v>
      </c>
      <c r="L810" s="19">
        <f t="shared" si="38"/>
        <v>235.15600000000006</v>
      </c>
    </row>
    <row r="811" spans="1:12" ht="15" customHeight="1" x14ac:dyDescent="0.25">
      <c r="A811" s="10">
        <v>810</v>
      </c>
      <c r="B811" s="10">
        <v>257</v>
      </c>
      <c r="C811" s="10">
        <v>37</v>
      </c>
      <c r="D811" s="10">
        <v>2</v>
      </c>
      <c r="E811" s="19">
        <v>262.99</v>
      </c>
      <c r="F811" s="10">
        <v>0</v>
      </c>
      <c r="G811" s="19">
        <f t="shared" si="36"/>
        <v>525.98</v>
      </c>
      <c r="H811" s="10">
        <f>INDEX(Products!$C$2:$C$101,MATCH(C811,Products!$A$2:$A$101,0))</f>
        <v>4</v>
      </c>
      <c r="I811" s="10" t="str">
        <f>INDEX(Categories!$B$2:$B$11,MATCH(H811,Categories!$A$2:$A$11,0))</f>
        <v>Apparel</v>
      </c>
      <c r="J811" s="19">
        <f>INDEX(Products!$E$2:$E$101,MATCH(C811,Products!$A$2:$A$101,0))</f>
        <v>144.79</v>
      </c>
      <c r="K811" s="19">
        <f t="shared" si="37"/>
        <v>289.58</v>
      </c>
      <c r="L811" s="19">
        <f t="shared" si="38"/>
        <v>236.40000000000003</v>
      </c>
    </row>
    <row r="812" spans="1:12" ht="15" customHeight="1" x14ac:dyDescent="0.25">
      <c r="A812" s="10">
        <v>811</v>
      </c>
      <c r="B812" s="10">
        <v>257</v>
      </c>
      <c r="C812" s="10">
        <v>42</v>
      </c>
      <c r="D812" s="10">
        <v>3</v>
      </c>
      <c r="E812" s="19">
        <v>370</v>
      </c>
      <c r="F812" s="10">
        <v>0</v>
      </c>
      <c r="G812" s="19">
        <f t="shared" si="36"/>
        <v>1110</v>
      </c>
      <c r="H812" s="10">
        <f>INDEX(Products!$C$2:$C$101,MATCH(C812,Products!$A$2:$A$101,0))</f>
        <v>5</v>
      </c>
      <c r="I812" s="10" t="str">
        <f>INDEX(Categories!$B$2:$B$11,MATCH(H812,Categories!$A$2:$A$11,0))</f>
        <v>Home &amp; Kitchen</v>
      </c>
      <c r="J812" s="19">
        <f>INDEX(Products!$E$2:$E$101,MATCH(C812,Products!$A$2:$A$101,0))</f>
        <v>227.4</v>
      </c>
      <c r="K812" s="19">
        <f t="shared" si="37"/>
        <v>682.2</v>
      </c>
      <c r="L812" s="19">
        <f t="shared" si="38"/>
        <v>427.79999999999995</v>
      </c>
    </row>
    <row r="813" spans="1:12" ht="15" customHeight="1" x14ac:dyDescent="0.25">
      <c r="A813" s="10">
        <v>812</v>
      </c>
      <c r="B813" s="10">
        <v>257</v>
      </c>
      <c r="C813" s="10">
        <v>53</v>
      </c>
      <c r="D813" s="10">
        <v>1</v>
      </c>
      <c r="E813" s="19">
        <v>534</v>
      </c>
      <c r="F813" s="10">
        <v>0</v>
      </c>
      <c r="G813" s="19">
        <f t="shared" si="36"/>
        <v>534</v>
      </c>
      <c r="H813" s="10">
        <f>INDEX(Products!$C$2:$C$101,MATCH(C813,Products!$A$2:$A$101,0))</f>
        <v>6</v>
      </c>
      <c r="I813" s="10" t="str">
        <f>INDEX(Categories!$B$2:$B$11,MATCH(H813,Categories!$A$2:$A$11,0))</f>
        <v>Sporting Goods</v>
      </c>
      <c r="J813" s="19">
        <f>INDEX(Products!$E$2:$E$101,MATCH(C813,Products!$A$2:$A$101,0))</f>
        <v>240.59</v>
      </c>
      <c r="K813" s="19">
        <f t="shared" si="37"/>
        <v>240.59</v>
      </c>
      <c r="L813" s="19">
        <f t="shared" si="38"/>
        <v>293.40999999999997</v>
      </c>
    </row>
    <row r="814" spans="1:12" ht="15" customHeight="1" x14ac:dyDescent="0.25">
      <c r="A814" s="10">
        <v>813</v>
      </c>
      <c r="B814" s="10">
        <v>258</v>
      </c>
      <c r="C814" s="10">
        <v>80</v>
      </c>
      <c r="D814" s="10">
        <v>6</v>
      </c>
      <c r="E814" s="19">
        <v>292.64999999999998</v>
      </c>
      <c r="F814" s="10">
        <v>0</v>
      </c>
      <c r="G814" s="19">
        <f t="shared" si="36"/>
        <v>1755.8999999999999</v>
      </c>
      <c r="H814" s="10">
        <f>INDEX(Products!$C$2:$C$101,MATCH(C814,Products!$A$2:$A$101,0))</f>
        <v>8</v>
      </c>
      <c r="I814" s="10" t="str">
        <f>INDEX(Categories!$B$2:$B$11,MATCH(H814,Categories!$A$2:$A$11,0))</f>
        <v>Health &amp; Beauty</v>
      </c>
      <c r="J814" s="19">
        <f>INDEX(Products!$E$2:$E$101,MATCH(C814,Products!$A$2:$A$101,0))</f>
        <v>218.48</v>
      </c>
      <c r="K814" s="19">
        <f t="shared" si="37"/>
        <v>1310.8799999999999</v>
      </c>
      <c r="L814" s="19">
        <f t="shared" si="38"/>
        <v>445.02</v>
      </c>
    </row>
    <row r="815" spans="1:12" ht="15" customHeight="1" x14ac:dyDescent="0.25">
      <c r="A815" s="10">
        <v>814</v>
      </c>
      <c r="B815" s="10">
        <v>258</v>
      </c>
      <c r="C815" s="10">
        <v>90</v>
      </c>
      <c r="D815" s="10">
        <v>10</v>
      </c>
      <c r="E815" s="19">
        <v>50.45</v>
      </c>
      <c r="F815" s="10">
        <v>0.15</v>
      </c>
      <c r="G815" s="19">
        <f t="shared" si="36"/>
        <v>428.82499999999999</v>
      </c>
      <c r="H815" s="10">
        <f>INDEX(Products!$C$2:$C$101,MATCH(C815,Products!$A$2:$A$101,0))</f>
        <v>9</v>
      </c>
      <c r="I815" s="10" t="str">
        <f>INDEX(Categories!$B$2:$B$11,MATCH(H815,Categories!$A$2:$A$11,0))</f>
        <v>Automotive Parts</v>
      </c>
      <c r="J815" s="19">
        <f>INDEX(Products!$E$2:$E$101,MATCH(C815,Products!$A$2:$A$101,0))</f>
        <v>29.34</v>
      </c>
      <c r="K815" s="19">
        <f t="shared" si="37"/>
        <v>293.39999999999998</v>
      </c>
      <c r="L815" s="19">
        <f t="shared" si="38"/>
        <v>135.42500000000001</v>
      </c>
    </row>
    <row r="816" spans="1:12" ht="15" customHeight="1" x14ac:dyDescent="0.25">
      <c r="A816" s="10">
        <v>815</v>
      </c>
      <c r="B816" s="10">
        <v>258</v>
      </c>
      <c r="C816" s="10">
        <v>76</v>
      </c>
      <c r="D816" s="10">
        <v>2</v>
      </c>
      <c r="E816" s="19">
        <v>390.64</v>
      </c>
      <c r="F816" s="10">
        <v>0</v>
      </c>
      <c r="G816" s="19">
        <f t="shared" si="36"/>
        <v>781.28</v>
      </c>
      <c r="H816" s="10">
        <f>INDEX(Products!$C$2:$C$101,MATCH(C816,Products!$A$2:$A$101,0))</f>
        <v>8</v>
      </c>
      <c r="I816" s="10" t="str">
        <f>INDEX(Categories!$B$2:$B$11,MATCH(H816,Categories!$A$2:$A$11,0))</f>
        <v>Health &amp; Beauty</v>
      </c>
      <c r="J816" s="19">
        <f>INDEX(Products!$E$2:$E$101,MATCH(C816,Products!$A$2:$A$101,0))</f>
        <v>218.93</v>
      </c>
      <c r="K816" s="19">
        <f t="shared" si="37"/>
        <v>437.86</v>
      </c>
      <c r="L816" s="19">
        <f t="shared" si="38"/>
        <v>343.41999999999996</v>
      </c>
    </row>
    <row r="817" spans="1:12" ht="15" customHeight="1" x14ac:dyDescent="0.25">
      <c r="A817" s="10">
        <v>816</v>
      </c>
      <c r="B817" s="10">
        <v>258</v>
      </c>
      <c r="C817" s="10">
        <v>33</v>
      </c>
      <c r="D817" s="10">
        <v>4</v>
      </c>
      <c r="E817" s="19">
        <v>432.05</v>
      </c>
      <c r="F817" s="10">
        <v>0.15</v>
      </c>
      <c r="G817" s="19">
        <f t="shared" si="36"/>
        <v>1468.97</v>
      </c>
      <c r="H817" s="10">
        <f>INDEX(Products!$C$2:$C$101,MATCH(C817,Products!$A$2:$A$101,0))</f>
        <v>4</v>
      </c>
      <c r="I817" s="10" t="str">
        <f>INDEX(Categories!$B$2:$B$11,MATCH(H817,Categories!$A$2:$A$11,0))</f>
        <v>Apparel</v>
      </c>
      <c r="J817" s="19">
        <f>INDEX(Products!$E$2:$E$101,MATCH(C817,Products!$A$2:$A$101,0))</f>
        <v>181.97</v>
      </c>
      <c r="K817" s="19">
        <f t="shared" si="37"/>
        <v>727.88</v>
      </c>
      <c r="L817" s="19">
        <f t="shared" si="38"/>
        <v>741.09</v>
      </c>
    </row>
    <row r="818" spans="1:12" ht="15" customHeight="1" x14ac:dyDescent="0.25">
      <c r="A818" s="10">
        <v>817</v>
      </c>
      <c r="B818" s="10">
        <v>258</v>
      </c>
      <c r="C818" s="10">
        <v>7</v>
      </c>
      <c r="D818" s="10">
        <v>8</v>
      </c>
      <c r="E818" s="19">
        <v>150.96</v>
      </c>
      <c r="F818" s="10">
        <v>0.2</v>
      </c>
      <c r="G818" s="19">
        <f t="shared" si="36"/>
        <v>966.14400000000012</v>
      </c>
      <c r="H818" s="10">
        <f>INDEX(Products!$C$2:$C$101,MATCH(C818,Products!$A$2:$A$101,0))</f>
        <v>1</v>
      </c>
      <c r="I818" s="10" t="str">
        <f>INDEX(Categories!$B$2:$B$11,MATCH(H818,Categories!$A$2:$A$11,0))</f>
        <v>Electronics</v>
      </c>
      <c r="J818" s="19">
        <f>INDEX(Products!$E$2:$E$101,MATCH(C818,Products!$A$2:$A$101,0))</f>
        <v>83.86</v>
      </c>
      <c r="K818" s="19">
        <f t="shared" si="37"/>
        <v>670.88</v>
      </c>
      <c r="L818" s="19">
        <f t="shared" si="38"/>
        <v>295.26400000000012</v>
      </c>
    </row>
    <row r="819" spans="1:12" ht="15" customHeight="1" x14ac:dyDescent="0.25">
      <c r="A819" s="10">
        <v>818</v>
      </c>
      <c r="B819" s="10">
        <v>259</v>
      </c>
      <c r="C819" s="10">
        <v>48</v>
      </c>
      <c r="D819" s="10">
        <v>5</v>
      </c>
      <c r="E819" s="19">
        <v>205.11</v>
      </c>
      <c r="F819" s="10">
        <v>0.1</v>
      </c>
      <c r="G819" s="19">
        <f t="shared" si="36"/>
        <v>922.99500000000023</v>
      </c>
      <c r="H819" s="10">
        <f>INDEX(Products!$C$2:$C$101,MATCH(C819,Products!$A$2:$A$101,0))</f>
        <v>5</v>
      </c>
      <c r="I819" s="10" t="str">
        <f>INDEX(Categories!$B$2:$B$11,MATCH(H819,Categories!$A$2:$A$11,0))</f>
        <v>Home &amp; Kitchen</v>
      </c>
      <c r="J819" s="19">
        <f>INDEX(Products!$E$2:$E$101,MATCH(C819,Products!$A$2:$A$101,0))</f>
        <v>108.01</v>
      </c>
      <c r="K819" s="19">
        <f t="shared" si="37"/>
        <v>540.05000000000007</v>
      </c>
      <c r="L819" s="19">
        <f t="shared" si="38"/>
        <v>382.94500000000016</v>
      </c>
    </row>
    <row r="820" spans="1:12" ht="15" customHeight="1" x14ac:dyDescent="0.25">
      <c r="A820" s="10">
        <v>819</v>
      </c>
      <c r="B820" s="10">
        <v>259</v>
      </c>
      <c r="C820" s="10">
        <v>91</v>
      </c>
      <c r="D820" s="10">
        <v>1</v>
      </c>
      <c r="E820" s="19">
        <v>180.37</v>
      </c>
      <c r="F820" s="10">
        <v>0.15</v>
      </c>
      <c r="G820" s="19">
        <f t="shared" si="36"/>
        <v>153.31450000000001</v>
      </c>
      <c r="H820" s="10">
        <f>INDEX(Products!$C$2:$C$101,MATCH(C820,Products!$A$2:$A$101,0))</f>
        <v>10</v>
      </c>
      <c r="I820" s="10" t="str">
        <f>INDEX(Categories!$B$2:$B$11,MATCH(H820,Categories!$A$2:$A$11,0))</f>
        <v>Groceries</v>
      </c>
      <c r="J820" s="19">
        <f>INDEX(Products!$E$2:$E$101,MATCH(C820,Products!$A$2:$A$101,0))</f>
        <v>75.92</v>
      </c>
      <c r="K820" s="19">
        <f t="shared" si="37"/>
        <v>75.92</v>
      </c>
      <c r="L820" s="19">
        <f t="shared" si="38"/>
        <v>77.394500000000008</v>
      </c>
    </row>
    <row r="821" spans="1:12" ht="15" customHeight="1" x14ac:dyDescent="0.25">
      <c r="A821" s="10">
        <v>820</v>
      </c>
      <c r="B821" s="10">
        <v>259</v>
      </c>
      <c r="C821" s="10">
        <v>8</v>
      </c>
      <c r="D821" s="10">
        <v>2</v>
      </c>
      <c r="E821" s="19">
        <v>418.1</v>
      </c>
      <c r="F821" s="10">
        <v>0.2</v>
      </c>
      <c r="G821" s="19">
        <f t="shared" si="36"/>
        <v>668.96</v>
      </c>
      <c r="H821" s="10">
        <f>INDEX(Products!$C$2:$C$101,MATCH(C821,Products!$A$2:$A$101,0))</f>
        <v>1</v>
      </c>
      <c r="I821" s="10" t="str">
        <f>INDEX(Categories!$B$2:$B$11,MATCH(H821,Categories!$A$2:$A$11,0))</f>
        <v>Electronics</v>
      </c>
      <c r="J821" s="19">
        <f>INDEX(Products!$E$2:$E$101,MATCH(C821,Products!$A$2:$A$101,0))</f>
        <v>188.75</v>
      </c>
      <c r="K821" s="19">
        <f t="shared" si="37"/>
        <v>377.5</v>
      </c>
      <c r="L821" s="19">
        <f t="shared" si="38"/>
        <v>291.46000000000004</v>
      </c>
    </row>
    <row r="822" spans="1:12" ht="15" customHeight="1" x14ac:dyDescent="0.25">
      <c r="A822" s="10">
        <v>821</v>
      </c>
      <c r="B822" s="10">
        <v>259</v>
      </c>
      <c r="C822" s="10">
        <v>79</v>
      </c>
      <c r="D822" s="10">
        <v>5</v>
      </c>
      <c r="E822" s="19">
        <v>369.82</v>
      </c>
      <c r="F822" s="10">
        <v>0</v>
      </c>
      <c r="G822" s="19">
        <f t="shared" si="36"/>
        <v>1849.1</v>
      </c>
      <c r="H822" s="10">
        <f>INDEX(Products!$C$2:$C$101,MATCH(C822,Products!$A$2:$A$101,0))</f>
        <v>8</v>
      </c>
      <c r="I822" s="10" t="str">
        <f>INDEX(Categories!$B$2:$B$11,MATCH(H822,Categories!$A$2:$A$11,0))</f>
        <v>Health &amp; Beauty</v>
      </c>
      <c r="J822" s="19">
        <f>INDEX(Products!$E$2:$E$101,MATCH(C822,Products!$A$2:$A$101,0))</f>
        <v>215.26</v>
      </c>
      <c r="K822" s="19">
        <f t="shared" si="37"/>
        <v>1076.3</v>
      </c>
      <c r="L822" s="19">
        <f t="shared" si="38"/>
        <v>772.8</v>
      </c>
    </row>
    <row r="823" spans="1:12" ht="15" customHeight="1" x14ac:dyDescent="0.25">
      <c r="A823" s="10">
        <v>822</v>
      </c>
      <c r="B823" s="10">
        <v>260</v>
      </c>
      <c r="C823" s="10">
        <v>68</v>
      </c>
      <c r="D823" s="10">
        <v>4</v>
      </c>
      <c r="E823" s="19">
        <v>271.66000000000003</v>
      </c>
      <c r="F823" s="10">
        <v>0.1</v>
      </c>
      <c r="G823" s="19">
        <f t="shared" si="36"/>
        <v>977.97600000000011</v>
      </c>
      <c r="H823" s="10">
        <f>INDEX(Products!$C$2:$C$101,MATCH(C823,Products!$A$2:$A$101,0))</f>
        <v>7</v>
      </c>
      <c r="I823" s="10" t="str">
        <f>INDEX(Categories!$B$2:$B$11,MATCH(H823,Categories!$A$2:$A$11,0))</f>
        <v>Toys &amp; Games</v>
      </c>
      <c r="J823" s="19">
        <f>INDEX(Products!$E$2:$E$101,MATCH(C823,Products!$A$2:$A$101,0))</f>
        <v>187.33</v>
      </c>
      <c r="K823" s="19">
        <f t="shared" si="37"/>
        <v>749.32</v>
      </c>
      <c r="L823" s="19">
        <f t="shared" si="38"/>
        <v>228.65600000000006</v>
      </c>
    </row>
    <row r="824" spans="1:12" ht="15" customHeight="1" x14ac:dyDescent="0.25">
      <c r="A824" s="10">
        <v>823</v>
      </c>
      <c r="B824" s="10">
        <v>260</v>
      </c>
      <c r="C824" s="10">
        <v>85</v>
      </c>
      <c r="D824" s="10">
        <v>3</v>
      </c>
      <c r="E824" s="19">
        <v>264.20999999999998</v>
      </c>
      <c r="F824" s="10">
        <v>0.1</v>
      </c>
      <c r="G824" s="19">
        <f t="shared" si="36"/>
        <v>713.36699999999996</v>
      </c>
      <c r="H824" s="10">
        <f>INDEX(Products!$C$2:$C$101,MATCH(C824,Products!$A$2:$A$101,0))</f>
        <v>9</v>
      </c>
      <c r="I824" s="10" t="str">
        <f>INDEX(Categories!$B$2:$B$11,MATCH(H824,Categories!$A$2:$A$11,0))</f>
        <v>Automotive Parts</v>
      </c>
      <c r="J824" s="19">
        <f>INDEX(Products!$E$2:$E$101,MATCH(C824,Products!$A$2:$A$101,0))</f>
        <v>153.54</v>
      </c>
      <c r="K824" s="19">
        <f t="shared" si="37"/>
        <v>460.62</v>
      </c>
      <c r="L824" s="19">
        <f t="shared" si="38"/>
        <v>252.74699999999996</v>
      </c>
    </row>
    <row r="825" spans="1:12" ht="15" customHeight="1" x14ac:dyDescent="0.25">
      <c r="A825" s="10">
        <v>824</v>
      </c>
      <c r="B825" s="10">
        <v>261</v>
      </c>
      <c r="C825" s="10">
        <v>14</v>
      </c>
      <c r="D825" s="10">
        <v>7</v>
      </c>
      <c r="E825" s="19">
        <v>342.37</v>
      </c>
      <c r="F825" s="10">
        <v>0.1</v>
      </c>
      <c r="G825" s="19">
        <f t="shared" si="36"/>
        <v>2156.931</v>
      </c>
      <c r="H825" s="10">
        <f>INDEX(Products!$C$2:$C$101,MATCH(C825,Products!$A$2:$A$101,0))</f>
        <v>2</v>
      </c>
      <c r="I825" s="10" t="str">
        <f>INDEX(Categories!$B$2:$B$11,MATCH(H825,Categories!$A$2:$A$11,0))</f>
        <v>Office Supplies</v>
      </c>
      <c r="J825" s="19">
        <f>INDEX(Products!$E$2:$E$101,MATCH(C825,Products!$A$2:$A$101,0))</f>
        <v>241.29</v>
      </c>
      <c r="K825" s="19">
        <f t="shared" si="37"/>
        <v>1689.03</v>
      </c>
      <c r="L825" s="19">
        <f t="shared" si="38"/>
        <v>467.90100000000007</v>
      </c>
    </row>
    <row r="826" spans="1:12" ht="15" customHeight="1" x14ac:dyDescent="0.25">
      <c r="A826" s="10">
        <v>825</v>
      </c>
      <c r="B826" s="10">
        <v>261</v>
      </c>
      <c r="C826" s="10">
        <v>22</v>
      </c>
      <c r="D826" s="10">
        <v>6</v>
      </c>
      <c r="E826" s="19">
        <v>247.09</v>
      </c>
      <c r="F826" s="10">
        <v>0.15</v>
      </c>
      <c r="G826" s="19">
        <f t="shared" si="36"/>
        <v>1260.1589999999999</v>
      </c>
      <c r="H826" s="10">
        <f>INDEX(Products!$C$2:$C$101,MATCH(C826,Products!$A$2:$A$101,0))</f>
        <v>3</v>
      </c>
      <c r="I826" s="10" t="str">
        <f>INDEX(Categories!$B$2:$B$11,MATCH(H826,Categories!$A$2:$A$11,0))</f>
        <v>Furniture</v>
      </c>
      <c r="J826" s="19">
        <f>INDEX(Products!$E$2:$E$101,MATCH(C826,Products!$A$2:$A$101,0))</f>
        <v>149.34</v>
      </c>
      <c r="K826" s="19">
        <f t="shared" si="37"/>
        <v>896.04</v>
      </c>
      <c r="L826" s="19">
        <f t="shared" si="38"/>
        <v>364.11899999999991</v>
      </c>
    </row>
    <row r="827" spans="1:12" ht="15" customHeight="1" x14ac:dyDescent="0.25">
      <c r="A827" s="10">
        <v>826</v>
      </c>
      <c r="B827" s="10">
        <v>261</v>
      </c>
      <c r="C827" s="10">
        <v>24</v>
      </c>
      <c r="D827" s="10">
        <v>3</v>
      </c>
      <c r="E827" s="19">
        <v>158.72999999999999</v>
      </c>
      <c r="F827" s="10">
        <v>0.1</v>
      </c>
      <c r="G827" s="19">
        <f t="shared" si="36"/>
        <v>428.57099999999997</v>
      </c>
      <c r="H827" s="10">
        <f>INDEX(Products!$C$2:$C$101,MATCH(C827,Products!$A$2:$A$101,0))</f>
        <v>3</v>
      </c>
      <c r="I827" s="10" t="str">
        <f>INDEX(Categories!$B$2:$B$11,MATCH(H827,Categories!$A$2:$A$11,0))</f>
        <v>Furniture</v>
      </c>
      <c r="J827" s="19">
        <f>INDEX(Products!$E$2:$E$101,MATCH(C827,Products!$A$2:$A$101,0))</f>
        <v>86.09</v>
      </c>
      <c r="K827" s="19">
        <f t="shared" si="37"/>
        <v>258.27</v>
      </c>
      <c r="L827" s="19">
        <f t="shared" si="38"/>
        <v>170.30099999999999</v>
      </c>
    </row>
    <row r="828" spans="1:12" ht="15" customHeight="1" x14ac:dyDescent="0.25">
      <c r="A828" s="10">
        <v>827</v>
      </c>
      <c r="B828" s="10">
        <v>261</v>
      </c>
      <c r="C828" s="10">
        <v>71</v>
      </c>
      <c r="D828" s="10">
        <v>10</v>
      </c>
      <c r="E828" s="19">
        <v>228.48</v>
      </c>
      <c r="F828" s="10">
        <v>0.05</v>
      </c>
      <c r="G828" s="19">
        <f t="shared" si="36"/>
        <v>2170.5599999999995</v>
      </c>
      <c r="H828" s="10">
        <f>INDEX(Products!$C$2:$C$101,MATCH(C828,Products!$A$2:$A$101,0))</f>
        <v>8</v>
      </c>
      <c r="I828" s="10" t="str">
        <f>INDEX(Categories!$B$2:$B$11,MATCH(H828,Categories!$A$2:$A$11,0))</f>
        <v>Health &amp; Beauty</v>
      </c>
      <c r="J828" s="19">
        <f>INDEX(Products!$E$2:$E$101,MATCH(C828,Products!$A$2:$A$101,0))</f>
        <v>136.03</v>
      </c>
      <c r="K828" s="19">
        <f t="shared" si="37"/>
        <v>1360.3</v>
      </c>
      <c r="L828" s="19">
        <f t="shared" si="38"/>
        <v>810.25999999999954</v>
      </c>
    </row>
    <row r="829" spans="1:12" ht="15" customHeight="1" x14ac:dyDescent="0.25">
      <c r="A829" s="10">
        <v>828</v>
      </c>
      <c r="B829" s="10">
        <v>262</v>
      </c>
      <c r="C829" s="10">
        <v>31</v>
      </c>
      <c r="D829" s="10">
        <v>9</v>
      </c>
      <c r="E829" s="19">
        <v>93.27</v>
      </c>
      <c r="F829" s="10">
        <v>0.15</v>
      </c>
      <c r="G829" s="19">
        <f t="shared" si="36"/>
        <v>713.51549999999997</v>
      </c>
      <c r="H829" s="10">
        <f>INDEX(Products!$C$2:$C$101,MATCH(C829,Products!$A$2:$A$101,0))</f>
        <v>4</v>
      </c>
      <c r="I829" s="10" t="str">
        <f>INDEX(Categories!$B$2:$B$11,MATCH(H829,Categories!$A$2:$A$11,0))</f>
        <v>Apparel</v>
      </c>
      <c r="J829" s="19">
        <f>INDEX(Products!$E$2:$E$101,MATCH(C829,Products!$A$2:$A$101,0))</f>
        <v>65.099999999999994</v>
      </c>
      <c r="K829" s="19">
        <f t="shared" si="37"/>
        <v>585.9</v>
      </c>
      <c r="L829" s="19">
        <f t="shared" si="38"/>
        <v>127.6155</v>
      </c>
    </row>
    <row r="830" spans="1:12" ht="15" customHeight="1" x14ac:dyDescent="0.25">
      <c r="A830" s="10">
        <v>829</v>
      </c>
      <c r="B830" s="10">
        <v>262</v>
      </c>
      <c r="C830" s="10">
        <v>73</v>
      </c>
      <c r="D830" s="10">
        <v>5</v>
      </c>
      <c r="E830" s="19">
        <v>375.67</v>
      </c>
      <c r="F830" s="10">
        <v>0</v>
      </c>
      <c r="G830" s="19">
        <f t="shared" si="36"/>
        <v>1878.3500000000001</v>
      </c>
      <c r="H830" s="10">
        <f>INDEX(Products!$C$2:$C$101,MATCH(C830,Products!$A$2:$A$101,0))</f>
        <v>8</v>
      </c>
      <c r="I830" s="10" t="str">
        <f>INDEX(Categories!$B$2:$B$11,MATCH(H830,Categories!$A$2:$A$11,0))</f>
        <v>Health &amp; Beauty</v>
      </c>
      <c r="J830" s="19">
        <f>INDEX(Products!$E$2:$E$101,MATCH(C830,Products!$A$2:$A$101,0))</f>
        <v>214.44</v>
      </c>
      <c r="K830" s="19">
        <f t="shared" si="37"/>
        <v>1072.2</v>
      </c>
      <c r="L830" s="19">
        <f t="shared" si="38"/>
        <v>806.15000000000009</v>
      </c>
    </row>
    <row r="831" spans="1:12" ht="15" customHeight="1" x14ac:dyDescent="0.25">
      <c r="A831" s="10">
        <v>830</v>
      </c>
      <c r="B831" s="10">
        <v>262</v>
      </c>
      <c r="C831" s="10">
        <v>70</v>
      </c>
      <c r="D831" s="10">
        <v>8</v>
      </c>
      <c r="E831" s="19">
        <v>149.31</v>
      </c>
      <c r="F831" s="10">
        <v>0.05</v>
      </c>
      <c r="G831" s="19">
        <f t="shared" si="36"/>
        <v>1134.7559999999999</v>
      </c>
      <c r="H831" s="10">
        <f>INDEX(Products!$C$2:$C$101,MATCH(C831,Products!$A$2:$A$101,0))</f>
        <v>7</v>
      </c>
      <c r="I831" s="10" t="str">
        <f>INDEX(Categories!$B$2:$B$11,MATCH(H831,Categories!$A$2:$A$11,0))</f>
        <v>Toys &amp; Games</v>
      </c>
      <c r="J831" s="19">
        <f>INDEX(Products!$E$2:$E$101,MATCH(C831,Products!$A$2:$A$101,0))</f>
        <v>76.739999999999995</v>
      </c>
      <c r="K831" s="19">
        <f t="shared" si="37"/>
        <v>613.91999999999996</v>
      </c>
      <c r="L831" s="19">
        <f t="shared" si="38"/>
        <v>520.8359999999999</v>
      </c>
    </row>
    <row r="832" spans="1:12" ht="15" customHeight="1" x14ac:dyDescent="0.25">
      <c r="A832" s="10">
        <v>831</v>
      </c>
      <c r="B832" s="10">
        <v>262</v>
      </c>
      <c r="C832" s="10">
        <v>28</v>
      </c>
      <c r="D832" s="10">
        <v>7</v>
      </c>
      <c r="E832" s="19">
        <v>149.97</v>
      </c>
      <c r="F832" s="10">
        <v>0</v>
      </c>
      <c r="G832" s="19">
        <f t="shared" si="36"/>
        <v>1049.79</v>
      </c>
      <c r="H832" s="10">
        <f>INDEX(Products!$C$2:$C$101,MATCH(C832,Products!$A$2:$A$101,0))</f>
        <v>3</v>
      </c>
      <c r="I832" s="10" t="str">
        <f>INDEX(Categories!$B$2:$B$11,MATCH(H832,Categories!$A$2:$A$11,0))</f>
        <v>Furniture</v>
      </c>
      <c r="J832" s="19">
        <f>INDEX(Products!$E$2:$E$101,MATCH(C832,Products!$A$2:$A$101,0))</f>
        <v>113.7</v>
      </c>
      <c r="K832" s="19">
        <f t="shared" si="37"/>
        <v>795.9</v>
      </c>
      <c r="L832" s="19">
        <f t="shared" si="38"/>
        <v>253.89</v>
      </c>
    </row>
    <row r="833" spans="1:12" ht="15" customHeight="1" x14ac:dyDescent="0.25">
      <c r="A833" s="10">
        <v>832</v>
      </c>
      <c r="B833" s="10">
        <v>262</v>
      </c>
      <c r="C833" s="10">
        <v>49</v>
      </c>
      <c r="D833" s="10">
        <v>1</v>
      </c>
      <c r="E833" s="19">
        <v>30.6</v>
      </c>
      <c r="F833" s="10">
        <v>0</v>
      </c>
      <c r="G833" s="19">
        <f t="shared" si="36"/>
        <v>30.6</v>
      </c>
      <c r="H833" s="10">
        <f>INDEX(Products!$C$2:$C$101,MATCH(C833,Products!$A$2:$A$101,0))</f>
        <v>5</v>
      </c>
      <c r="I833" s="10" t="str">
        <f>INDEX(Categories!$B$2:$B$11,MATCH(H833,Categories!$A$2:$A$11,0))</f>
        <v>Home &amp; Kitchen</v>
      </c>
      <c r="J833" s="19">
        <f>INDEX(Products!$E$2:$E$101,MATCH(C833,Products!$A$2:$A$101,0))</f>
        <v>20.64</v>
      </c>
      <c r="K833" s="19">
        <f t="shared" si="37"/>
        <v>20.64</v>
      </c>
      <c r="L833" s="19">
        <f t="shared" si="38"/>
        <v>9.9600000000000009</v>
      </c>
    </row>
    <row r="834" spans="1:12" ht="15" customHeight="1" x14ac:dyDescent="0.25">
      <c r="A834" s="10">
        <v>833</v>
      </c>
      <c r="B834" s="10">
        <v>263</v>
      </c>
      <c r="C834" s="10">
        <v>29</v>
      </c>
      <c r="D834" s="10">
        <v>1</v>
      </c>
      <c r="E834" s="19">
        <v>152.52000000000001</v>
      </c>
      <c r="F834" s="10">
        <v>0.2</v>
      </c>
      <c r="G834" s="19">
        <f t="shared" ref="G834:G897" si="39">D834*E834*(1-F834)</f>
        <v>122.01600000000002</v>
      </c>
      <c r="H834" s="10">
        <f>INDEX(Products!$C$2:$C$101,MATCH(C834,Products!$A$2:$A$101,0))</f>
        <v>3</v>
      </c>
      <c r="I834" s="10" t="str">
        <f>INDEX(Categories!$B$2:$B$11,MATCH(H834,Categories!$A$2:$A$11,0))</f>
        <v>Furniture</v>
      </c>
      <c r="J834" s="19">
        <f>INDEX(Products!$E$2:$E$101,MATCH(C834,Products!$A$2:$A$101,0))</f>
        <v>78.63</v>
      </c>
      <c r="K834" s="19">
        <f t="shared" ref="K834:K897" si="40">D834*J834</f>
        <v>78.63</v>
      </c>
      <c r="L834" s="19">
        <f t="shared" ref="L834:L897" si="41">G834-K834</f>
        <v>43.386000000000024</v>
      </c>
    </row>
    <row r="835" spans="1:12" ht="15" customHeight="1" x14ac:dyDescent="0.25">
      <c r="A835" s="10">
        <v>834</v>
      </c>
      <c r="B835" s="10">
        <v>263</v>
      </c>
      <c r="C835" s="10">
        <v>28</v>
      </c>
      <c r="D835" s="10">
        <v>5</v>
      </c>
      <c r="E835" s="19">
        <v>149.97</v>
      </c>
      <c r="F835" s="10">
        <v>0.1</v>
      </c>
      <c r="G835" s="19">
        <f t="shared" si="39"/>
        <v>674.86500000000001</v>
      </c>
      <c r="H835" s="10">
        <f>INDEX(Products!$C$2:$C$101,MATCH(C835,Products!$A$2:$A$101,0))</f>
        <v>3</v>
      </c>
      <c r="I835" s="10" t="str">
        <f>INDEX(Categories!$B$2:$B$11,MATCH(H835,Categories!$A$2:$A$11,0))</f>
        <v>Furniture</v>
      </c>
      <c r="J835" s="19">
        <f>INDEX(Products!$E$2:$E$101,MATCH(C835,Products!$A$2:$A$101,0))</f>
        <v>113.7</v>
      </c>
      <c r="K835" s="19">
        <f t="shared" si="40"/>
        <v>568.5</v>
      </c>
      <c r="L835" s="19">
        <f t="shared" si="41"/>
        <v>106.36500000000001</v>
      </c>
    </row>
    <row r="836" spans="1:12" ht="15" customHeight="1" x14ac:dyDescent="0.25">
      <c r="A836" s="10">
        <v>835</v>
      </c>
      <c r="B836" s="10">
        <v>263</v>
      </c>
      <c r="C836" s="10">
        <v>41</v>
      </c>
      <c r="D836" s="10">
        <v>9</v>
      </c>
      <c r="E836" s="19">
        <v>331.46</v>
      </c>
      <c r="F836" s="10">
        <v>0.1</v>
      </c>
      <c r="G836" s="19">
        <f t="shared" si="39"/>
        <v>2684.826</v>
      </c>
      <c r="H836" s="10">
        <f>INDEX(Products!$C$2:$C$101,MATCH(C836,Products!$A$2:$A$101,0))</f>
        <v>5</v>
      </c>
      <c r="I836" s="10" t="str">
        <f>INDEX(Categories!$B$2:$B$11,MATCH(H836,Categories!$A$2:$A$11,0))</f>
        <v>Home &amp; Kitchen</v>
      </c>
      <c r="J836" s="19">
        <f>INDEX(Products!$E$2:$E$101,MATCH(C836,Products!$A$2:$A$101,0))</f>
        <v>152.76</v>
      </c>
      <c r="K836" s="19">
        <f t="shared" si="40"/>
        <v>1374.84</v>
      </c>
      <c r="L836" s="19">
        <f t="shared" si="41"/>
        <v>1309.9860000000001</v>
      </c>
    </row>
    <row r="837" spans="1:12" ht="15" customHeight="1" x14ac:dyDescent="0.25">
      <c r="A837" s="10">
        <v>836</v>
      </c>
      <c r="B837" s="10">
        <v>264</v>
      </c>
      <c r="C837" s="10">
        <v>34</v>
      </c>
      <c r="D837" s="10">
        <v>10</v>
      </c>
      <c r="E837" s="19">
        <v>339.25</v>
      </c>
      <c r="F837" s="10">
        <v>0</v>
      </c>
      <c r="G837" s="19">
        <f t="shared" si="39"/>
        <v>3392.5</v>
      </c>
      <c r="H837" s="10">
        <f>INDEX(Products!$C$2:$C$101,MATCH(C837,Products!$A$2:$A$101,0))</f>
        <v>4</v>
      </c>
      <c r="I837" s="10" t="str">
        <f>INDEX(Categories!$B$2:$B$11,MATCH(H837,Categories!$A$2:$A$11,0))</f>
        <v>Apparel</v>
      </c>
      <c r="J837" s="19">
        <f>INDEX(Products!$E$2:$E$101,MATCH(C837,Products!$A$2:$A$101,0))</f>
        <v>208.66</v>
      </c>
      <c r="K837" s="19">
        <f t="shared" si="40"/>
        <v>2086.6</v>
      </c>
      <c r="L837" s="19">
        <f t="shared" si="41"/>
        <v>1305.9000000000001</v>
      </c>
    </row>
    <row r="838" spans="1:12" ht="15" customHeight="1" x14ac:dyDescent="0.25">
      <c r="A838" s="10">
        <v>837</v>
      </c>
      <c r="B838" s="10">
        <v>264</v>
      </c>
      <c r="C838" s="10">
        <v>47</v>
      </c>
      <c r="D838" s="10">
        <v>4</v>
      </c>
      <c r="E838" s="19">
        <v>96.51</v>
      </c>
      <c r="F838" s="10">
        <v>0</v>
      </c>
      <c r="G838" s="19">
        <f t="shared" si="39"/>
        <v>386.04</v>
      </c>
      <c r="H838" s="10">
        <f>INDEX(Products!$C$2:$C$101,MATCH(C838,Products!$A$2:$A$101,0))</f>
        <v>5</v>
      </c>
      <c r="I838" s="10" t="str">
        <f>INDEX(Categories!$B$2:$B$11,MATCH(H838,Categories!$A$2:$A$11,0))</f>
        <v>Home &amp; Kitchen</v>
      </c>
      <c r="J838" s="19">
        <f>INDEX(Products!$E$2:$E$101,MATCH(C838,Products!$A$2:$A$101,0))</f>
        <v>60.66</v>
      </c>
      <c r="K838" s="19">
        <f t="shared" si="40"/>
        <v>242.64</v>
      </c>
      <c r="L838" s="19">
        <f t="shared" si="41"/>
        <v>143.40000000000003</v>
      </c>
    </row>
    <row r="839" spans="1:12" ht="15" customHeight="1" x14ac:dyDescent="0.25">
      <c r="A839" s="10">
        <v>838</v>
      </c>
      <c r="B839" s="10">
        <v>265</v>
      </c>
      <c r="C839" s="10">
        <v>63</v>
      </c>
      <c r="D839" s="10">
        <v>10</v>
      </c>
      <c r="E839" s="19">
        <v>20.190000000000001</v>
      </c>
      <c r="F839" s="10">
        <v>0.2</v>
      </c>
      <c r="G839" s="19">
        <f t="shared" si="39"/>
        <v>161.52000000000001</v>
      </c>
      <c r="H839" s="10">
        <f>INDEX(Products!$C$2:$C$101,MATCH(C839,Products!$A$2:$A$101,0))</f>
        <v>7</v>
      </c>
      <c r="I839" s="10" t="str">
        <f>INDEX(Categories!$B$2:$B$11,MATCH(H839,Categories!$A$2:$A$11,0))</f>
        <v>Toys &amp; Games</v>
      </c>
      <c r="J839" s="19">
        <f>INDEX(Products!$E$2:$E$101,MATCH(C839,Products!$A$2:$A$101,0))</f>
        <v>10.130000000000001</v>
      </c>
      <c r="K839" s="19">
        <f t="shared" si="40"/>
        <v>101.30000000000001</v>
      </c>
      <c r="L839" s="19">
        <f t="shared" si="41"/>
        <v>60.22</v>
      </c>
    </row>
    <row r="840" spans="1:12" ht="15" customHeight="1" x14ac:dyDescent="0.25">
      <c r="A840" s="10">
        <v>839</v>
      </c>
      <c r="B840" s="10">
        <v>265</v>
      </c>
      <c r="C840" s="10">
        <v>89</v>
      </c>
      <c r="D840" s="10">
        <v>2</v>
      </c>
      <c r="E840" s="19">
        <v>312.76</v>
      </c>
      <c r="F840" s="10">
        <v>0.1</v>
      </c>
      <c r="G840" s="19">
        <f t="shared" si="39"/>
        <v>562.96799999999996</v>
      </c>
      <c r="H840" s="10">
        <f>INDEX(Products!$C$2:$C$101,MATCH(C840,Products!$A$2:$A$101,0))</f>
        <v>9</v>
      </c>
      <c r="I840" s="10" t="str">
        <f>INDEX(Categories!$B$2:$B$11,MATCH(H840,Categories!$A$2:$A$11,0))</f>
        <v>Automotive Parts</v>
      </c>
      <c r="J840" s="19">
        <f>INDEX(Products!$E$2:$E$101,MATCH(C840,Products!$A$2:$A$101,0))</f>
        <v>173.51</v>
      </c>
      <c r="K840" s="19">
        <f t="shared" si="40"/>
        <v>347.02</v>
      </c>
      <c r="L840" s="19">
        <f t="shared" si="41"/>
        <v>215.94799999999998</v>
      </c>
    </row>
    <row r="841" spans="1:12" ht="15" customHeight="1" x14ac:dyDescent="0.25">
      <c r="A841" s="10">
        <v>840</v>
      </c>
      <c r="B841" s="10">
        <v>266</v>
      </c>
      <c r="C841" s="10">
        <v>16</v>
      </c>
      <c r="D841" s="10">
        <v>10</v>
      </c>
      <c r="E841" s="19">
        <v>345.42</v>
      </c>
      <c r="F841" s="10">
        <v>0</v>
      </c>
      <c r="G841" s="19">
        <f t="shared" si="39"/>
        <v>3454.2000000000003</v>
      </c>
      <c r="H841" s="10">
        <f>INDEX(Products!$C$2:$C$101,MATCH(C841,Products!$A$2:$A$101,0))</f>
        <v>2</v>
      </c>
      <c r="I841" s="10" t="str">
        <f>INDEX(Categories!$B$2:$B$11,MATCH(H841,Categories!$A$2:$A$11,0))</f>
        <v>Office Supplies</v>
      </c>
      <c r="J841" s="19">
        <f>INDEX(Products!$E$2:$E$101,MATCH(C841,Products!$A$2:$A$101,0))</f>
        <v>173.58</v>
      </c>
      <c r="K841" s="19">
        <f t="shared" si="40"/>
        <v>1735.8000000000002</v>
      </c>
      <c r="L841" s="19">
        <f t="shared" si="41"/>
        <v>1718.4</v>
      </c>
    </row>
    <row r="842" spans="1:12" ht="15" customHeight="1" x14ac:dyDescent="0.25">
      <c r="A842" s="10">
        <v>841</v>
      </c>
      <c r="B842" s="10">
        <v>266</v>
      </c>
      <c r="C842" s="10">
        <v>99</v>
      </c>
      <c r="D842" s="10">
        <v>7</v>
      </c>
      <c r="E842" s="19">
        <v>329.4</v>
      </c>
      <c r="F842" s="10">
        <v>0</v>
      </c>
      <c r="G842" s="19">
        <f t="shared" si="39"/>
        <v>2305.7999999999997</v>
      </c>
      <c r="H842" s="10">
        <f>INDEX(Products!$C$2:$C$101,MATCH(C842,Products!$A$2:$A$101,0))</f>
        <v>10</v>
      </c>
      <c r="I842" s="10" t="str">
        <f>INDEX(Categories!$B$2:$B$11,MATCH(H842,Categories!$A$2:$A$11,0))</f>
        <v>Groceries</v>
      </c>
      <c r="J842" s="19">
        <f>INDEX(Products!$E$2:$E$101,MATCH(C842,Products!$A$2:$A$101,0))</f>
        <v>208.13</v>
      </c>
      <c r="K842" s="19">
        <f t="shared" si="40"/>
        <v>1456.9099999999999</v>
      </c>
      <c r="L842" s="19">
        <f t="shared" si="41"/>
        <v>848.88999999999987</v>
      </c>
    </row>
    <row r="843" spans="1:12" ht="15" customHeight="1" x14ac:dyDescent="0.25">
      <c r="A843" s="10">
        <v>842</v>
      </c>
      <c r="B843" s="10">
        <v>266</v>
      </c>
      <c r="C843" s="10">
        <v>30</v>
      </c>
      <c r="D843" s="10">
        <v>5</v>
      </c>
      <c r="E843" s="19">
        <v>474.78</v>
      </c>
      <c r="F843" s="10">
        <v>0.1</v>
      </c>
      <c r="G843" s="19">
        <f t="shared" si="39"/>
        <v>2136.5099999999998</v>
      </c>
      <c r="H843" s="10">
        <f>INDEX(Products!$C$2:$C$101,MATCH(C843,Products!$A$2:$A$101,0))</f>
        <v>3</v>
      </c>
      <c r="I843" s="10" t="str">
        <f>INDEX(Categories!$B$2:$B$11,MATCH(H843,Categories!$A$2:$A$11,0))</f>
        <v>Furniture</v>
      </c>
      <c r="J843" s="19">
        <f>INDEX(Products!$E$2:$E$101,MATCH(C843,Products!$A$2:$A$101,0))</f>
        <v>249.17</v>
      </c>
      <c r="K843" s="19">
        <f t="shared" si="40"/>
        <v>1245.8499999999999</v>
      </c>
      <c r="L843" s="19">
        <f t="shared" si="41"/>
        <v>890.65999999999985</v>
      </c>
    </row>
    <row r="844" spans="1:12" ht="15" customHeight="1" x14ac:dyDescent="0.25">
      <c r="A844" s="10">
        <v>843</v>
      </c>
      <c r="B844" s="10">
        <v>266</v>
      </c>
      <c r="C844" s="10">
        <v>96</v>
      </c>
      <c r="D844" s="10">
        <v>1</v>
      </c>
      <c r="E844" s="19">
        <v>266.72000000000003</v>
      </c>
      <c r="F844" s="10">
        <v>0</v>
      </c>
      <c r="G844" s="19">
        <f t="shared" si="39"/>
        <v>266.72000000000003</v>
      </c>
      <c r="H844" s="10">
        <f>INDEX(Products!$C$2:$C$101,MATCH(C844,Products!$A$2:$A$101,0))</f>
        <v>10</v>
      </c>
      <c r="I844" s="10" t="str">
        <f>INDEX(Categories!$B$2:$B$11,MATCH(H844,Categories!$A$2:$A$11,0))</f>
        <v>Groceries</v>
      </c>
      <c r="J844" s="19">
        <f>INDEX(Products!$E$2:$E$101,MATCH(C844,Products!$A$2:$A$101,0))</f>
        <v>162.65</v>
      </c>
      <c r="K844" s="19">
        <f t="shared" si="40"/>
        <v>162.65</v>
      </c>
      <c r="L844" s="19">
        <f t="shared" si="41"/>
        <v>104.07000000000002</v>
      </c>
    </row>
    <row r="845" spans="1:12" ht="15" customHeight="1" x14ac:dyDescent="0.25">
      <c r="A845" s="10">
        <v>844</v>
      </c>
      <c r="B845" s="10">
        <v>267</v>
      </c>
      <c r="C845" s="10">
        <v>12</v>
      </c>
      <c r="D845" s="10">
        <v>3</v>
      </c>
      <c r="E845" s="19">
        <v>219.11</v>
      </c>
      <c r="F845" s="10">
        <v>0</v>
      </c>
      <c r="G845" s="19">
        <f t="shared" si="39"/>
        <v>657.33</v>
      </c>
      <c r="H845" s="10">
        <f>INDEX(Products!$C$2:$C$101,MATCH(C845,Products!$A$2:$A$101,0))</f>
        <v>2</v>
      </c>
      <c r="I845" s="10" t="str">
        <f>INDEX(Categories!$B$2:$B$11,MATCH(H845,Categories!$A$2:$A$11,0))</f>
        <v>Office Supplies</v>
      </c>
      <c r="J845" s="19">
        <f>INDEX(Products!$E$2:$E$101,MATCH(C845,Products!$A$2:$A$101,0))</f>
        <v>142.30000000000001</v>
      </c>
      <c r="K845" s="19">
        <f t="shared" si="40"/>
        <v>426.90000000000003</v>
      </c>
      <c r="L845" s="19">
        <f t="shared" si="41"/>
        <v>230.43</v>
      </c>
    </row>
    <row r="846" spans="1:12" ht="15" customHeight="1" x14ac:dyDescent="0.25">
      <c r="A846" s="10">
        <v>845</v>
      </c>
      <c r="B846" s="10">
        <v>267</v>
      </c>
      <c r="C846" s="10">
        <v>29</v>
      </c>
      <c r="D846" s="10">
        <v>6</v>
      </c>
      <c r="E846" s="19">
        <v>152.52000000000001</v>
      </c>
      <c r="F846" s="10">
        <v>0</v>
      </c>
      <c r="G846" s="19">
        <f t="shared" si="39"/>
        <v>915.12000000000012</v>
      </c>
      <c r="H846" s="10">
        <f>INDEX(Products!$C$2:$C$101,MATCH(C846,Products!$A$2:$A$101,0))</f>
        <v>3</v>
      </c>
      <c r="I846" s="10" t="str">
        <f>INDEX(Categories!$B$2:$B$11,MATCH(H846,Categories!$A$2:$A$11,0))</f>
        <v>Furniture</v>
      </c>
      <c r="J846" s="19">
        <f>INDEX(Products!$E$2:$E$101,MATCH(C846,Products!$A$2:$A$101,0))</f>
        <v>78.63</v>
      </c>
      <c r="K846" s="19">
        <f t="shared" si="40"/>
        <v>471.78</v>
      </c>
      <c r="L846" s="19">
        <f t="shared" si="41"/>
        <v>443.34000000000015</v>
      </c>
    </row>
    <row r="847" spans="1:12" ht="15" customHeight="1" x14ac:dyDescent="0.25">
      <c r="A847" s="10">
        <v>846</v>
      </c>
      <c r="B847" s="10">
        <v>267</v>
      </c>
      <c r="C847" s="10">
        <v>56</v>
      </c>
      <c r="D847" s="10">
        <v>8</v>
      </c>
      <c r="E847" s="19">
        <v>440.37</v>
      </c>
      <c r="F847" s="10">
        <v>0.1</v>
      </c>
      <c r="G847" s="19">
        <f t="shared" si="39"/>
        <v>3170.6640000000002</v>
      </c>
      <c r="H847" s="10">
        <f>INDEX(Products!$C$2:$C$101,MATCH(C847,Products!$A$2:$A$101,0))</f>
        <v>6</v>
      </c>
      <c r="I847" s="10" t="str">
        <f>INDEX(Categories!$B$2:$B$11,MATCH(H847,Categories!$A$2:$A$11,0))</f>
        <v>Sporting Goods</v>
      </c>
      <c r="J847" s="19">
        <f>INDEX(Products!$E$2:$E$101,MATCH(C847,Products!$A$2:$A$101,0))</f>
        <v>242.36</v>
      </c>
      <c r="K847" s="19">
        <f t="shared" si="40"/>
        <v>1938.88</v>
      </c>
      <c r="L847" s="19">
        <f t="shared" si="41"/>
        <v>1231.7840000000001</v>
      </c>
    </row>
    <row r="848" spans="1:12" ht="15" customHeight="1" x14ac:dyDescent="0.25">
      <c r="A848" s="10">
        <v>847</v>
      </c>
      <c r="B848" s="10">
        <v>267</v>
      </c>
      <c r="C848" s="10">
        <v>38</v>
      </c>
      <c r="D848" s="10">
        <v>1</v>
      </c>
      <c r="E848" s="19">
        <v>146.91999999999999</v>
      </c>
      <c r="F848" s="10">
        <v>0.1</v>
      </c>
      <c r="G848" s="19">
        <f t="shared" si="39"/>
        <v>132.22799999999998</v>
      </c>
      <c r="H848" s="10">
        <f>INDEX(Products!$C$2:$C$101,MATCH(C848,Products!$A$2:$A$101,0))</f>
        <v>4</v>
      </c>
      <c r="I848" s="10" t="str">
        <f>INDEX(Categories!$B$2:$B$11,MATCH(H848,Categories!$A$2:$A$11,0))</f>
        <v>Apparel</v>
      </c>
      <c r="J848" s="19">
        <f>INDEX(Products!$E$2:$E$101,MATCH(C848,Products!$A$2:$A$101,0))</f>
        <v>65.36</v>
      </c>
      <c r="K848" s="19">
        <f t="shared" si="40"/>
        <v>65.36</v>
      </c>
      <c r="L848" s="19">
        <f t="shared" si="41"/>
        <v>66.867999999999981</v>
      </c>
    </row>
    <row r="849" spans="1:12" ht="15" customHeight="1" x14ac:dyDescent="0.25">
      <c r="A849" s="10">
        <v>848</v>
      </c>
      <c r="B849" s="10">
        <v>267</v>
      </c>
      <c r="C849" s="10">
        <v>51</v>
      </c>
      <c r="D849" s="10">
        <v>7</v>
      </c>
      <c r="E849" s="19">
        <v>436.43</v>
      </c>
      <c r="F849" s="10">
        <v>0</v>
      </c>
      <c r="G849" s="19">
        <f t="shared" si="39"/>
        <v>3055.01</v>
      </c>
      <c r="H849" s="10">
        <f>INDEX(Products!$C$2:$C$101,MATCH(C849,Products!$A$2:$A$101,0))</f>
        <v>6</v>
      </c>
      <c r="I849" s="10" t="str">
        <f>INDEX(Categories!$B$2:$B$11,MATCH(H849,Categories!$A$2:$A$11,0))</f>
        <v>Sporting Goods</v>
      </c>
      <c r="J849" s="19">
        <f>INDEX(Products!$E$2:$E$101,MATCH(C849,Products!$A$2:$A$101,0))</f>
        <v>235.84</v>
      </c>
      <c r="K849" s="19">
        <f t="shared" si="40"/>
        <v>1650.88</v>
      </c>
      <c r="L849" s="19">
        <f t="shared" si="41"/>
        <v>1404.13</v>
      </c>
    </row>
    <row r="850" spans="1:12" ht="15" customHeight="1" x14ac:dyDescent="0.25">
      <c r="A850" s="10">
        <v>849</v>
      </c>
      <c r="B850" s="10">
        <v>268</v>
      </c>
      <c r="C850" s="10">
        <v>51</v>
      </c>
      <c r="D850" s="10">
        <v>9</v>
      </c>
      <c r="E850" s="19">
        <v>436.43</v>
      </c>
      <c r="F850" s="10">
        <v>0.1</v>
      </c>
      <c r="G850" s="19">
        <f t="shared" si="39"/>
        <v>3535.0830000000001</v>
      </c>
      <c r="H850" s="10">
        <f>INDEX(Products!$C$2:$C$101,MATCH(C850,Products!$A$2:$A$101,0))</f>
        <v>6</v>
      </c>
      <c r="I850" s="10" t="str">
        <f>INDEX(Categories!$B$2:$B$11,MATCH(H850,Categories!$A$2:$A$11,0))</f>
        <v>Sporting Goods</v>
      </c>
      <c r="J850" s="19">
        <f>INDEX(Products!$E$2:$E$101,MATCH(C850,Products!$A$2:$A$101,0))</f>
        <v>235.84</v>
      </c>
      <c r="K850" s="19">
        <f t="shared" si="40"/>
        <v>2122.56</v>
      </c>
      <c r="L850" s="19">
        <f t="shared" si="41"/>
        <v>1412.5230000000001</v>
      </c>
    </row>
    <row r="851" spans="1:12" ht="15" customHeight="1" x14ac:dyDescent="0.25">
      <c r="A851" s="10">
        <v>850</v>
      </c>
      <c r="B851" s="10">
        <v>268</v>
      </c>
      <c r="C851" s="10">
        <v>84</v>
      </c>
      <c r="D851" s="10">
        <v>9</v>
      </c>
      <c r="E851" s="19">
        <v>258</v>
      </c>
      <c r="F851" s="10">
        <v>0</v>
      </c>
      <c r="G851" s="19">
        <f t="shared" si="39"/>
        <v>2322</v>
      </c>
      <c r="H851" s="10">
        <f>INDEX(Products!$C$2:$C$101,MATCH(C851,Products!$A$2:$A$101,0))</f>
        <v>9</v>
      </c>
      <c r="I851" s="10" t="str">
        <f>INDEX(Categories!$B$2:$B$11,MATCH(H851,Categories!$A$2:$A$11,0))</f>
        <v>Automotive Parts</v>
      </c>
      <c r="J851" s="19">
        <f>INDEX(Products!$E$2:$E$101,MATCH(C851,Products!$A$2:$A$101,0))</f>
        <v>134.19999999999999</v>
      </c>
      <c r="K851" s="19">
        <f t="shared" si="40"/>
        <v>1207.8</v>
      </c>
      <c r="L851" s="19">
        <f t="shared" si="41"/>
        <v>1114.2</v>
      </c>
    </row>
    <row r="852" spans="1:12" ht="15" customHeight="1" x14ac:dyDescent="0.25">
      <c r="A852" s="10">
        <v>851</v>
      </c>
      <c r="B852" s="10">
        <v>268</v>
      </c>
      <c r="C852" s="10">
        <v>74</v>
      </c>
      <c r="D852" s="10">
        <v>4</v>
      </c>
      <c r="E852" s="19">
        <v>199.68</v>
      </c>
      <c r="F852" s="10">
        <v>0</v>
      </c>
      <c r="G852" s="19">
        <f t="shared" si="39"/>
        <v>798.72</v>
      </c>
      <c r="H852" s="10">
        <f>INDEX(Products!$C$2:$C$101,MATCH(C852,Products!$A$2:$A$101,0))</f>
        <v>8</v>
      </c>
      <c r="I852" s="10" t="str">
        <f>INDEX(Categories!$B$2:$B$11,MATCH(H852,Categories!$A$2:$A$11,0))</f>
        <v>Health &amp; Beauty</v>
      </c>
      <c r="J852" s="19">
        <f>INDEX(Products!$E$2:$E$101,MATCH(C852,Products!$A$2:$A$101,0))</f>
        <v>98.36</v>
      </c>
      <c r="K852" s="19">
        <f t="shared" si="40"/>
        <v>393.44</v>
      </c>
      <c r="L852" s="19">
        <f t="shared" si="41"/>
        <v>405.28000000000003</v>
      </c>
    </row>
    <row r="853" spans="1:12" ht="15" customHeight="1" x14ac:dyDescent="0.25">
      <c r="A853" s="10">
        <v>852</v>
      </c>
      <c r="B853" s="10">
        <v>268</v>
      </c>
      <c r="C853" s="10">
        <v>26</v>
      </c>
      <c r="D853" s="10">
        <v>5</v>
      </c>
      <c r="E853" s="19">
        <v>262.08</v>
      </c>
      <c r="F853" s="10">
        <v>0.2</v>
      </c>
      <c r="G853" s="19">
        <f t="shared" si="39"/>
        <v>1048.32</v>
      </c>
      <c r="H853" s="10">
        <f>INDEX(Products!$C$2:$C$101,MATCH(C853,Products!$A$2:$A$101,0))</f>
        <v>3</v>
      </c>
      <c r="I853" s="10" t="str">
        <f>INDEX(Categories!$B$2:$B$11,MATCH(H853,Categories!$A$2:$A$11,0))</f>
        <v>Furniture</v>
      </c>
      <c r="J853" s="19">
        <f>INDEX(Products!$E$2:$E$101,MATCH(C853,Products!$A$2:$A$101,0))</f>
        <v>140.28</v>
      </c>
      <c r="K853" s="19">
        <f t="shared" si="40"/>
        <v>701.4</v>
      </c>
      <c r="L853" s="19">
        <f t="shared" si="41"/>
        <v>346.91999999999996</v>
      </c>
    </row>
    <row r="854" spans="1:12" ht="15" customHeight="1" x14ac:dyDescent="0.25">
      <c r="A854" s="10">
        <v>853</v>
      </c>
      <c r="B854" s="10">
        <v>269</v>
      </c>
      <c r="C854" s="10">
        <v>42</v>
      </c>
      <c r="D854" s="10">
        <v>10</v>
      </c>
      <c r="E854" s="19">
        <v>370</v>
      </c>
      <c r="F854" s="10">
        <v>0.15</v>
      </c>
      <c r="G854" s="19">
        <f t="shared" si="39"/>
        <v>3145</v>
      </c>
      <c r="H854" s="10">
        <f>INDEX(Products!$C$2:$C$101,MATCH(C854,Products!$A$2:$A$101,0))</f>
        <v>5</v>
      </c>
      <c r="I854" s="10" t="str">
        <f>INDEX(Categories!$B$2:$B$11,MATCH(H854,Categories!$A$2:$A$11,0))</f>
        <v>Home &amp; Kitchen</v>
      </c>
      <c r="J854" s="19">
        <f>INDEX(Products!$E$2:$E$101,MATCH(C854,Products!$A$2:$A$101,0))</f>
        <v>227.4</v>
      </c>
      <c r="K854" s="19">
        <f t="shared" si="40"/>
        <v>2274</v>
      </c>
      <c r="L854" s="19">
        <f t="shared" si="41"/>
        <v>871</v>
      </c>
    </row>
    <row r="855" spans="1:12" ht="15" customHeight="1" x14ac:dyDescent="0.25">
      <c r="A855" s="10">
        <v>854</v>
      </c>
      <c r="B855" s="10">
        <v>269</v>
      </c>
      <c r="C855" s="10">
        <v>45</v>
      </c>
      <c r="D855" s="10">
        <v>1</v>
      </c>
      <c r="E855" s="19">
        <v>72.88</v>
      </c>
      <c r="F855" s="10">
        <v>0.2</v>
      </c>
      <c r="G855" s="19">
        <f t="shared" si="39"/>
        <v>58.304000000000002</v>
      </c>
      <c r="H855" s="10">
        <f>INDEX(Products!$C$2:$C$101,MATCH(C855,Products!$A$2:$A$101,0))</f>
        <v>5</v>
      </c>
      <c r="I855" s="10" t="str">
        <f>INDEX(Categories!$B$2:$B$11,MATCH(H855,Categories!$A$2:$A$11,0))</f>
        <v>Home &amp; Kitchen</v>
      </c>
      <c r="J855" s="19">
        <f>INDEX(Products!$E$2:$E$101,MATCH(C855,Products!$A$2:$A$101,0))</f>
        <v>41.66</v>
      </c>
      <c r="K855" s="19">
        <f t="shared" si="40"/>
        <v>41.66</v>
      </c>
      <c r="L855" s="19">
        <f t="shared" si="41"/>
        <v>16.644000000000005</v>
      </c>
    </row>
    <row r="856" spans="1:12" ht="15" customHeight="1" x14ac:dyDescent="0.25">
      <c r="A856" s="10">
        <v>855</v>
      </c>
      <c r="B856" s="10">
        <v>270</v>
      </c>
      <c r="C856" s="10">
        <v>88</v>
      </c>
      <c r="D856" s="10">
        <v>3</v>
      </c>
      <c r="E856" s="19">
        <v>188.36</v>
      </c>
      <c r="F856" s="10">
        <v>0.2</v>
      </c>
      <c r="G856" s="19">
        <f t="shared" si="39"/>
        <v>452.06400000000008</v>
      </c>
      <c r="H856" s="10">
        <f>INDEX(Products!$C$2:$C$101,MATCH(C856,Products!$A$2:$A$101,0))</f>
        <v>9</v>
      </c>
      <c r="I856" s="10" t="str">
        <f>INDEX(Categories!$B$2:$B$11,MATCH(H856,Categories!$A$2:$A$11,0))</f>
        <v>Automotive Parts</v>
      </c>
      <c r="J856" s="19">
        <f>INDEX(Products!$E$2:$E$101,MATCH(C856,Products!$A$2:$A$101,0))</f>
        <v>112.11</v>
      </c>
      <c r="K856" s="19">
        <f t="shared" si="40"/>
        <v>336.33</v>
      </c>
      <c r="L856" s="19">
        <f t="shared" si="41"/>
        <v>115.73400000000009</v>
      </c>
    </row>
    <row r="857" spans="1:12" ht="15" customHeight="1" x14ac:dyDescent="0.25">
      <c r="A857" s="10">
        <v>856</v>
      </c>
      <c r="B857" s="10">
        <v>270</v>
      </c>
      <c r="C857" s="10">
        <v>48</v>
      </c>
      <c r="D857" s="10">
        <v>2</v>
      </c>
      <c r="E857" s="19">
        <v>205.11</v>
      </c>
      <c r="F857" s="10">
        <v>0</v>
      </c>
      <c r="G857" s="19">
        <f t="shared" si="39"/>
        <v>410.22</v>
      </c>
      <c r="H857" s="10">
        <f>INDEX(Products!$C$2:$C$101,MATCH(C857,Products!$A$2:$A$101,0))</f>
        <v>5</v>
      </c>
      <c r="I857" s="10" t="str">
        <f>INDEX(Categories!$B$2:$B$11,MATCH(H857,Categories!$A$2:$A$11,0))</f>
        <v>Home &amp; Kitchen</v>
      </c>
      <c r="J857" s="19">
        <f>INDEX(Products!$E$2:$E$101,MATCH(C857,Products!$A$2:$A$101,0))</f>
        <v>108.01</v>
      </c>
      <c r="K857" s="19">
        <f t="shared" si="40"/>
        <v>216.02</v>
      </c>
      <c r="L857" s="19">
        <f t="shared" si="41"/>
        <v>194.20000000000002</v>
      </c>
    </row>
    <row r="858" spans="1:12" ht="15" customHeight="1" x14ac:dyDescent="0.25">
      <c r="A858" s="10">
        <v>857</v>
      </c>
      <c r="B858" s="10">
        <v>271</v>
      </c>
      <c r="C858" s="10">
        <v>58</v>
      </c>
      <c r="D858" s="10">
        <v>6</v>
      </c>
      <c r="E858" s="19">
        <v>388.55</v>
      </c>
      <c r="F858" s="10">
        <v>0</v>
      </c>
      <c r="G858" s="19">
        <f t="shared" si="39"/>
        <v>2331.3000000000002</v>
      </c>
      <c r="H858" s="10">
        <f>INDEX(Products!$C$2:$C$101,MATCH(C858,Products!$A$2:$A$101,0))</f>
        <v>6</v>
      </c>
      <c r="I858" s="10" t="str">
        <f>INDEX(Categories!$B$2:$B$11,MATCH(H858,Categories!$A$2:$A$11,0))</f>
        <v>Sporting Goods</v>
      </c>
      <c r="J858" s="19">
        <f>INDEX(Products!$E$2:$E$101,MATCH(C858,Products!$A$2:$A$101,0))</f>
        <v>203.95</v>
      </c>
      <c r="K858" s="19">
        <f t="shared" si="40"/>
        <v>1223.6999999999998</v>
      </c>
      <c r="L858" s="19">
        <f t="shared" si="41"/>
        <v>1107.6000000000004</v>
      </c>
    </row>
    <row r="859" spans="1:12" ht="15" customHeight="1" x14ac:dyDescent="0.25">
      <c r="A859" s="10">
        <v>858</v>
      </c>
      <c r="B859" s="10">
        <v>271</v>
      </c>
      <c r="C859" s="10">
        <v>61</v>
      </c>
      <c r="D859" s="10">
        <v>9</v>
      </c>
      <c r="E859" s="19">
        <v>289.8</v>
      </c>
      <c r="F859" s="10">
        <v>0</v>
      </c>
      <c r="G859" s="19">
        <f t="shared" si="39"/>
        <v>2608.2000000000003</v>
      </c>
      <c r="H859" s="10">
        <f>INDEX(Products!$C$2:$C$101,MATCH(C859,Products!$A$2:$A$101,0))</f>
        <v>7</v>
      </c>
      <c r="I859" s="10" t="str">
        <f>INDEX(Categories!$B$2:$B$11,MATCH(H859,Categories!$A$2:$A$11,0))</f>
        <v>Toys &amp; Games</v>
      </c>
      <c r="J859" s="19">
        <f>INDEX(Products!$E$2:$E$101,MATCH(C859,Products!$A$2:$A$101,0))</f>
        <v>156.79</v>
      </c>
      <c r="K859" s="19">
        <f t="shared" si="40"/>
        <v>1411.11</v>
      </c>
      <c r="L859" s="19">
        <f t="shared" si="41"/>
        <v>1197.0900000000004</v>
      </c>
    </row>
    <row r="860" spans="1:12" ht="15" customHeight="1" x14ac:dyDescent="0.25">
      <c r="A860" s="10">
        <v>859</v>
      </c>
      <c r="B860" s="10">
        <v>271</v>
      </c>
      <c r="C860" s="10">
        <v>3</v>
      </c>
      <c r="D860" s="10">
        <v>4</v>
      </c>
      <c r="E860" s="19">
        <v>101.78</v>
      </c>
      <c r="F860" s="10">
        <v>0.1</v>
      </c>
      <c r="G860" s="19">
        <f t="shared" si="39"/>
        <v>366.40800000000002</v>
      </c>
      <c r="H860" s="10">
        <f>INDEX(Products!$C$2:$C$101,MATCH(C860,Products!$A$2:$A$101,0))</f>
        <v>1</v>
      </c>
      <c r="I860" s="10" t="str">
        <f>INDEX(Categories!$B$2:$B$11,MATCH(H860,Categories!$A$2:$A$11,0))</f>
        <v>Electronics</v>
      </c>
      <c r="J860" s="19">
        <f>INDEX(Products!$E$2:$E$101,MATCH(C860,Products!$A$2:$A$101,0))</f>
        <v>57.2</v>
      </c>
      <c r="K860" s="19">
        <f t="shared" si="40"/>
        <v>228.8</v>
      </c>
      <c r="L860" s="19">
        <f t="shared" si="41"/>
        <v>137.608</v>
      </c>
    </row>
    <row r="861" spans="1:12" ht="15" customHeight="1" x14ac:dyDescent="0.25">
      <c r="A861" s="10">
        <v>860</v>
      </c>
      <c r="B861" s="10">
        <v>272</v>
      </c>
      <c r="C861" s="10">
        <v>6</v>
      </c>
      <c r="D861" s="10">
        <v>4</v>
      </c>
      <c r="E861" s="19">
        <v>234.43</v>
      </c>
      <c r="F861" s="10">
        <v>0.2</v>
      </c>
      <c r="G861" s="19">
        <f t="shared" si="39"/>
        <v>750.17600000000004</v>
      </c>
      <c r="H861" s="10">
        <f>INDEX(Products!$C$2:$C$101,MATCH(C861,Products!$A$2:$A$101,0))</f>
        <v>1</v>
      </c>
      <c r="I861" s="10" t="str">
        <f>INDEX(Categories!$B$2:$B$11,MATCH(H861,Categories!$A$2:$A$11,0))</f>
        <v>Electronics</v>
      </c>
      <c r="J861" s="19">
        <f>INDEX(Products!$E$2:$E$101,MATCH(C861,Products!$A$2:$A$101,0))</f>
        <v>161.76</v>
      </c>
      <c r="K861" s="19">
        <f t="shared" si="40"/>
        <v>647.04</v>
      </c>
      <c r="L861" s="19">
        <f t="shared" si="41"/>
        <v>103.13600000000008</v>
      </c>
    </row>
    <row r="862" spans="1:12" ht="15" customHeight="1" x14ac:dyDescent="0.25">
      <c r="A862" s="10">
        <v>861</v>
      </c>
      <c r="B862" s="10">
        <v>272</v>
      </c>
      <c r="C862" s="10">
        <v>33</v>
      </c>
      <c r="D862" s="10">
        <v>10</v>
      </c>
      <c r="E862" s="19">
        <v>432.05</v>
      </c>
      <c r="F862" s="10">
        <v>0</v>
      </c>
      <c r="G862" s="19">
        <f t="shared" si="39"/>
        <v>4320.5</v>
      </c>
      <c r="H862" s="10">
        <f>INDEX(Products!$C$2:$C$101,MATCH(C862,Products!$A$2:$A$101,0))</f>
        <v>4</v>
      </c>
      <c r="I862" s="10" t="str">
        <f>INDEX(Categories!$B$2:$B$11,MATCH(H862,Categories!$A$2:$A$11,0))</f>
        <v>Apparel</v>
      </c>
      <c r="J862" s="19">
        <f>INDEX(Products!$E$2:$E$101,MATCH(C862,Products!$A$2:$A$101,0))</f>
        <v>181.97</v>
      </c>
      <c r="K862" s="19">
        <f t="shared" si="40"/>
        <v>1819.7</v>
      </c>
      <c r="L862" s="19">
        <f t="shared" si="41"/>
        <v>2500.8000000000002</v>
      </c>
    </row>
    <row r="863" spans="1:12" ht="15" customHeight="1" x14ac:dyDescent="0.25">
      <c r="A863" s="10">
        <v>862</v>
      </c>
      <c r="B863" s="10">
        <v>272</v>
      </c>
      <c r="C863" s="10">
        <v>22</v>
      </c>
      <c r="D863" s="10">
        <v>1</v>
      </c>
      <c r="E863" s="19">
        <v>247.09</v>
      </c>
      <c r="F863" s="10">
        <v>0.05</v>
      </c>
      <c r="G863" s="19">
        <f t="shared" si="39"/>
        <v>234.7355</v>
      </c>
      <c r="H863" s="10">
        <f>INDEX(Products!$C$2:$C$101,MATCH(C863,Products!$A$2:$A$101,0))</f>
        <v>3</v>
      </c>
      <c r="I863" s="10" t="str">
        <f>INDEX(Categories!$B$2:$B$11,MATCH(H863,Categories!$A$2:$A$11,0))</f>
        <v>Furniture</v>
      </c>
      <c r="J863" s="19">
        <f>INDEX(Products!$E$2:$E$101,MATCH(C863,Products!$A$2:$A$101,0))</f>
        <v>149.34</v>
      </c>
      <c r="K863" s="19">
        <f t="shared" si="40"/>
        <v>149.34</v>
      </c>
      <c r="L863" s="19">
        <f t="shared" si="41"/>
        <v>85.395499999999998</v>
      </c>
    </row>
    <row r="864" spans="1:12" ht="15" customHeight="1" x14ac:dyDescent="0.25">
      <c r="A864" s="10">
        <v>863</v>
      </c>
      <c r="B864" s="10">
        <v>272</v>
      </c>
      <c r="C864" s="10">
        <v>8</v>
      </c>
      <c r="D864" s="10">
        <v>1</v>
      </c>
      <c r="E864" s="19">
        <v>418.1</v>
      </c>
      <c r="F864" s="10">
        <v>0</v>
      </c>
      <c r="G864" s="19">
        <f t="shared" si="39"/>
        <v>418.1</v>
      </c>
      <c r="H864" s="10">
        <f>INDEX(Products!$C$2:$C$101,MATCH(C864,Products!$A$2:$A$101,0))</f>
        <v>1</v>
      </c>
      <c r="I864" s="10" t="str">
        <f>INDEX(Categories!$B$2:$B$11,MATCH(H864,Categories!$A$2:$A$11,0))</f>
        <v>Electronics</v>
      </c>
      <c r="J864" s="19">
        <f>INDEX(Products!$E$2:$E$101,MATCH(C864,Products!$A$2:$A$101,0))</f>
        <v>188.75</v>
      </c>
      <c r="K864" s="19">
        <f t="shared" si="40"/>
        <v>188.75</v>
      </c>
      <c r="L864" s="19">
        <f t="shared" si="41"/>
        <v>229.35000000000002</v>
      </c>
    </row>
    <row r="865" spans="1:12" ht="15" customHeight="1" x14ac:dyDescent="0.25">
      <c r="A865" s="10">
        <v>864</v>
      </c>
      <c r="B865" s="10">
        <v>272</v>
      </c>
      <c r="C865" s="10">
        <v>37</v>
      </c>
      <c r="D865" s="10">
        <v>7</v>
      </c>
      <c r="E865" s="19">
        <v>262.99</v>
      </c>
      <c r="F865" s="10">
        <v>0.15</v>
      </c>
      <c r="G865" s="19">
        <f t="shared" si="39"/>
        <v>1564.7905000000001</v>
      </c>
      <c r="H865" s="10">
        <f>INDEX(Products!$C$2:$C$101,MATCH(C865,Products!$A$2:$A$101,0))</f>
        <v>4</v>
      </c>
      <c r="I865" s="10" t="str">
        <f>INDEX(Categories!$B$2:$B$11,MATCH(H865,Categories!$A$2:$A$11,0))</f>
        <v>Apparel</v>
      </c>
      <c r="J865" s="19">
        <f>INDEX(Products!$E$2:$E$101,MATCH(C865,Products!$A$2:$A$101,0))</f>
        <v>144.79</v>
      </c>
      <c r="K865" s="19">
        <f t="shared" si="40"/>
        <v>1013.53</v>
      </c>
      <c r="L865" s="19">
        <f t="shared" si="41"/>
        <v>551.26050000000009</v>
      </c>
    </row>
    <row r="866" spans="1:12" ht="15" customHeight="1" x14ac:dyDescent="0.25">
      <c r="A866" s="10">
        <v>865</v>
      </c>
      <c r="B866" s="10">
        <v>273</v>
      </c>
      <c r="C866" s="10">
        <v>49</v>
      </c>
      <c r="D866" s="10">
        <v>2</v>
      </c>
      <c r="E866" s="19">
        <v>30.6</v>
      </c>
      <c r="F866" s="10">
        <v>0</v>
      </c>
      <c r="G866" s="19">
        <f t="shared" si="39"/>
        <v>61.2</v>
      </c>
      <c r="H866" s="10">
        <f>INDEX(Products!$C$2:$C$101,MATCH(C866,Products!$A$2:$A$101,0))</f>
        <v>5</v>
      </c>
      <c r="I866" s="10" t="str">
        <f>INDEX(Categories!$B$2:$B$11,MATCH(H866,Categories!$A$2:$A$11,0))</f>
        <v>Home &amp; Kitchen</v>
      </c>
      <c r="J866" s="19">
        <f>INDEX(Products!$E$2:$E$101,MATCH(C866,Products!$A$2:$A$101,0))</f>
        <v>20.64</v>
      </c>
      <c r="K866" s="19">
        <f t="shared" si="40"/>
        <v>41.28</v>
      </c>
      <c r="L866" s="19">
        <f t="shared" si="41"/>
        <v>19.920000000000002</v>
      </c>
    </row>
    <row r="867" spans="1:12" ht="15" customHeight="1" x14ac:dyDescent="0.25">
      <c r="A867" s="10">
        <v>866</v>
      </c>
      <c r="B867" s="10">
        <v>273</v>
      </c>
      <c r="C867" s="10">
        <v>66</v>
      </c>
      <c r="D867" s="10">
        <v>8</v>
      </c>
      <c r="E867" s="19">
        <v>155.88</v>
      </c>
      <c r="F867" s="10">
        <v>0.2</v>
      </c>
      <c r="G867" s="19">
        <f t="shared" si="39"/>
        <v>997.63200000000006</v>
      </c>
      <c r="H867" s="10">
        <f>INDEX(Products!$C$2:$C$101,MATCH(C867,Products!$A$2:$A$101,0))</f>
        <v>7</v>
      </c>
      <c r="I867" s="10" t="str">
        <f>INDEX(Categories!$B$2:$B$11,MATCH(H867,Categories!$A$2:$A$11,0))</f>
        <v>Toys &amp; Games</v>
      </c>
      <c r="J867" s="19">
        <f>INDEX(Products!$E$2:$E$101,MATCH(C867,Products!$A$2:$A$101,0))</f>
        <v>75.09</v>
      </c>
      <c r="K867" s="19">
        <f t="shared" si="40"/>
        <v>600.72</v>
      </c>
      <c r="L867" s="19">
        <f t="shared" si="41"/>
        <v>396.91200000000003</v>
      </c>
    </row>
    <row r="868" spans="1:12" ht="15" customHeight="1" x14ac:dyDescent="0.25">
      <c r="A868" s="10">
        <v>867</v>
      </c>
      <c r="B868" s="10">
        <v>274</v>
      </c>
      <c r="C868" s="10">
        <v>32</v>
      </c>
      <c r="D868" s="10">
        <v>9</v>
      </c>
      <c r="E868" s="19">
        <v>489.82</v>
      </c>
      <c r="F868" s="10">
        <v>0</v>
      </c>
      <c r="G868" s="19">
        <f t="shared" si="39"/>
        <v>4408.38</v>
      </c>
      <c r="H868" s="10">
        <f>INDEX(Products!$C$2:$C$101,MATCH(C868,Products!$A$2:$A$101,0))</f>
        <v>4</v>
      </c>
      <c r="I868" s="10" t="str">
        <f>INDEX(Categories!$B$2:$B$11,MATCH(H868,Categories!$A$2:$A$11,0))</f>
        <v>Apparel</v>
      </c>
      <c r="J868" s="19">
        <f>INDEX(Products!$E$2:$E$101,MATCH(C868,Products!$A$2:$A$101,0))</f>
        <v>237.87</v>
      </c>
      <c r="K868" s="19">
        <f t="shared" si="40"/>
        <v>2140.83</v>
      </c>
      <c r="L868" s="19">
        <f t="shared" si="41"/>
        <v>2267.5500000000002</v>
      </c>
    </row>
    <row r="869" spans="1:12" ht="15" customHeight="1" x14ac:dyDescent="0.25">
      <c r="A869" s="10">
        <v>868</v>
      </c>
      <c r="B869" s="10">
        <v>275</v>
      </c>
      <c r="C869" s="10">
        <v>65</v>
      </c>
      <c r="D869" s="10">
        <v>1</v>
      </c>
      <c r="E869" s="19">
        <v>167.19</v>
      </c>
      <c r="F869" s="10">
        <v>0.15</v>
      </c>
      <c r="G869" s="19">
        <f t="shared" si="39"/>
        <v>142.11150000000001</v>
      </c>
      <c r="H869" s="10">
        <f>INDEX(Products!$C$2:$C$101,MATCH(C869,Products!$A$2:$A$101,0))</f>
        <v>7</v>
      </c>
      <c r="I869" s="10" t="str">
        <f>INDEX(Categories!$B$2:$B$11,MATCH(H869,Categories!$A$2:$A$11,0))</f>
        <v>Toys &amp; Games</v>
      </c>
      <c r="J869" s="19">
        <f>INDEX(Products!$E$2:$E$101,MATCH(C869,Products!$A$2:$A$101,0))</f>
        <v>116.98</v>
      </c>
      <c r="K869" s="19">
        <f t="shared" si="40"/>
        <v>116.98</v>
      </c>
      <c r="L869" s="19">
        <f t="shared" si="41"/>
        <v>25.131500000000003</v>
      </c>
    </row>
    <row r="870" spans="1:12" ht="15" customHeight="1" x14ac:dyDescent="0.25">
      <c r="A870" s="10">
        <v>869</v>
      </c>
      <c r="B870" s="10">
        <v>275</v>
      </c>
      <c r="C870" s="10">
        <v>36</v>
      </c>
      <c r="D870" s="10">
        <v>5</v>
      </c>
      <c r="E870" s="19">
        <v>472.77</v>
      </c>
      <c r="F870" s="10">
        <v>0.05</v>
      </c>
      <c r="G870" s="19">
        <f t="shared" si="39"/>
        <v>2245.6574999999998</v>
      </c>
      <c r="H870" s="10">
        <f>INDEX(Products!$C$2:$C$101,MATCH(C870,Products!$A$2:$A$101,0))</f>
        <v>4</v>
      </c>
      <c r="I870" s="10" t="str">
        <f>INDEX(Categories!$B$2:$B$11,MATCH(H870,Categories!$A$2:$A$11,0))</f>
        <v>Apparel</v>
      </c>
      <c r="J870" s="19">
        <f>INDEX(Products!$E$2:$E$101,MATCH(C870,Products!$A$2:$A$101,0))</f>
        <v>236.19</v>
      </c>
      <c r="K870" s="19">
        <f t="shared" si="40"/>
        <v>1180.95</v>
      </c>
      <c r="L870" s="19">
        <f t="shared" si="41"/>
        <v>1064.7074999999998</v>
      </c>
    </row>
    <row r="871" spans="1:12" ht="15" customHeight="1" x14ac:dyDescent="0.25">
      <c r="A871" s="10">
        <v>870</v>
      </c>
      <c r="B871" s="10">
        <v>276</v>
      </c>
      <c r="C871" s="10">
        <v>94</v>
      </c>
      <c r="D871" s="10">
        <v>7</v>
      </c>
      <c r="E871" s="19">
        <v>309.85000000000002</v>
      </c>
      <c r="F871" s="10">
        <v>0.1</v>
      </c>
      <c r="G871" s="19">
        <f t="shared" si="39"/>
        <v>1952.0550000000003</v>
      </c>
      <c r="H871" s="10">
        <f>INDEX(Products!$C$2:$C$101,MATCH(C871,Products!$A$2:$A$101,0))</f>
        <v>10</v>
      </c>
      <c r="I871" s="10" t="str">
        <f>INDEX(Categories!$B$2:$B$11,MATCH(H871,Categories!$A$2:$A$11,0))</f>
        <v>Groceries</v>
      </c>
      <c r="J871" s="19">
        <f>INDEX(Products!$E$2:$E$101,MATCH(C871,Products!$A$2:$A$101,0))</f>
        <v>201.08</v>
      </c>
      <c r="K871" s="19">
        <f t="shared" si="40"/>
        <v>1407.5600000000002</v>
      </c>
      <c r="L871" s="19">
        <f t="shared" si="41"/>
        <v>544.49500000000012</v>
      </c>
    </row>
    <row r="872" spans="1:12" ht="15" customHeight="1" x14ac:dyDescent="0.25">
      <c r="A872" s="10">
        <v>871</v>
      </c>
      <c r="B872" s="10">
        <v>277</v>
      </c>
      <c r="C872" s="10">
        <v>40</v>
      </c>
      <c r="D872" s="10">
        <v>9</v>
      </c>
      <c r="E872" s="19">
        <v>330.91</v>
      </c>
      <c r="F872" s="10">
        <v>0</v>
      </c>
      <c r="G872" s="19">
        <f t="shared" si="39"/>
        <v>2978.19</v>
      </c>
      <c r="H872" s="10">
        <f>INDEX(Products!$C$2:$C$101,MATCH(C872,Products!$A$2:$A$101,0))</f>
        <v>4</v>
      </c>
      <c r="I872" s="10" t="str">
        <f>INDEX(Categories!$B$2:$B$11,MATCH(H872,Categories!$A$2:$A$11,0))</f>
        <v>Apparel</v>
      </c>
      <c r="J872" s="19">
        <f>INDEX(Products!$E$2:$E$101,MATCH(C872,Products!$A$2:$A$101,0))</f>
        <v>237.43</v>
      </c>
      <c r="K872" s="19">
        <f t="shared" si="40"/>
        <v>2136.87</v>
      </c>
      <c r="L872" s="19">
        <f t="shared" si="41"/>
        <v>841.32000000000016</v>
      </c>
    </row>
    <row r="873" spans="1:12" ht="15" customHeight="1" x14ac:dyDescent="0.25">
      <c r="A873" s="10">
        <v>872</v>
      </c>
      <c r="B873" s="10">
        <v>277</v>
      </c>
      <c r="C873" s="10">
        <v>78</v>
      </c>
      <c r="D873" s="10">
        <v>4</v>
      </c>
      <c r="E873" s="19">
        <v>178.61</v>
      </c>
      <c r="F873" s="10">
        <v>0.15</v>
      </c>
      <c r="G873" s="19">
        <f t="shared" si="39"/>
        <v>607.274</v>
      </c>
      <c r="H873" s="10">
        <f>INDEX(Products!$C$2:$C$101,MATCH(C873,Products!$A$2:$A$101,0))</f>
        <v>8</v>
      </c>
      <c r="I873" s="10" t="str">
        <f>INDEX(Categories!$B$2:$B$11,MATCH(H873,Categories!$A$2:$A$11,0))</f>
        <v>Health &amp; Beauty</v>
      </c>
      <c r="J873" s="19">
        <f>INDEX(Products!$E$2:$E$101,MATCH(C873,Products!$A$2:$A$101,0))</f>
        <v>86.62</v>
      </c>
      <c r="K873" s="19">
        <f t="shared" si="40"/>
        <v>346.48</v>
      </c>
      <c r="L873" s="19">
        <f t="shared" si="41"/>
        <v>260.79399999999998</v>
      </c>
    </row>
    <row r="874" spans="1:12" ht="15" customHeight="1" x14ac:dyDescent="0.25">
      <c r="A874" s="10">
        <v>873</v>
      </c>
      <c r="B874" s="10">
        <v>277</v>
      </c>
      <c r="C874" s="10">
        <v>43</v>
      </c>
      <c r="D874" s="10">
        <v>3</v>
      </c>
      <c r="E874" s="19">
        <v>42.13</v>
      </c>
      <c r="F874" s="10">
        <v>0.1</v>
      </c>
      <c r="G874" s="19">
        <f t="shared" si="39"/>
        <v>113.75100000000002</v>
      </c>
      <c r="H874" s="10">
        <f>INDEX(Products!$C$2:$C$101,MATCH(C874,Products!$A$2:$A$101,0))</f>
        <v>5</v>
      </c>
      <c r="I874" s="10" t="str">
        <f>INDEX(Categories!$B$2:$B$11,MATCH(H874,Categories!$A$2:$A$11,0))</f>
        <v>Home &amp; Kitchen</v>
      </c>
      <c r="J874" s="19">
        <f>INDEX(Products!$E$2:$E$101,MATCH(C874,Products!$A$2:$A$101,0))</f>
        <v>17.88</v>
      </c>
      <c r="K874" s="19">
        <f t="shared" si="40"/>
        <v>53.64</v>
      </c>
      <c r="L874" s="19">
        <f t="shared" si="41"/>
        <v>60.111000000000018</v>
      </c>
    </row>
    <row r="875" spans="1:12" ht="15" customHeight="1" x14ac:dyDescent="0.25">
      <c r="A875" s="10">
        <v>874</v>
      </c>
      <c r="B875" s="10">
        <v>277</v>
      </c>
      <c r="C875" s="10">
        <v>58</v>
      </c>
      <c r="D875" s="10">
        <v>9</v>
      </c>
      <c r="E875" s="19">
        <v>388.55</v>
      </c>
      <c r="F875" s="10">
        <v>0.15</v>
      </c>
      <c r="G875" s="19">
        <f t="shared" si="39"/>
        <v>2972.4075000000003</v>
      </c>
      <c r="H875" s="10">
        <f>INDEX(Products!$C$2:$C$101,MATCH(C875,Products!$A$2:$A$101,0))</f>
        <v>6</v>
      </c>
      <c r="I875" s="10" t="str">
        <f>INDEX(Categories!$B$2:$B$11,MATCH(H875,Categories!$A$2:$A$11,0))</f>
        <v>Sporting Goods</v>
      </c>
      <c r="J875" s="19">
        <f>INDEX(Products!$E$2:$E$101,MATCH(C875,Products!$A$2:$A$101,0))</f>
        <v>203.95</v>
      </c>
      <c r="K875" s="19">
        <f t="shared" si="40"/>
        <v>1835.55</v>
      </c>
      <c r="L875" s="19">
        <f t="shared" si="41"/>
        <v>1136.8575000000003</v>
      </c>
    </row>
    <row r="876" spans="1:12" ht="15" customHeight="1" x14ac:dyDescent="0.25">
      <c r="A876" s="10">
        <v>875</v>
      </c>
      <c r="B876" s="10">
        <v>278</v>
      </c>
      <c r="C876" s="10">
        <v>9</v>
      </c>
      <c r="D876" s="10">
        <v>2</v>
      </c>
      <c r="E876" s="19">
        <v>255.18</v>
      </c>
      <c r="F876" s="10">
        <v>0</v>
      </c>
      <c r="G876" s="19">
        <f t="shared" si="39"/>
        <v>510.36</v>
      </c>
      <c r="H876" s="10">
        <f>INDEX(Products!$C$2:$C$101,MATCH(C876,Products!$A$2:$A$101,0))</f>
        <v>1</v>
      </c>
      <c r="I876" s="10" t="str">
        <f>INDEX(Categories!$B$2:$B$11,MATCH(H876,Categories!$A$2:$A$11,0))</f>
        <v>Electronics</v>
      </c>
      <c r="J876" s="19">
        <f>INDEX(Products!$E$2:$E$101,MATCH(C876,Products!$A$2:$A$101,0))</f>
        <v>188.01</v>
      </c>
      <c r="K876" s="19">
        <f t="shared" si="40"/>
        <v>376.02</v>
      </c>
      <c r="L876" s="19">
        <f t="shared" si="41"/>
        <v>134.34000000000003</v>
      </c>
    </row>
    <row r="877" spans="1:12" ht="15" customHeight="1" x14ac:dyDescent="0.25">
      <c r="A877" s="10">
        <v>876</v>
      </c>
      <c r="B877" s="10">
        <v>278</v>
      </c>
      <c r="C877" s="10">
        <v>72</v>
      </c>
      <c r="D877" s="10">
        <v>6</v>
      </c>
      <c r="E877" s="19">
        <v>526.70000000000005</v>
      </c>
      <c r="F877" s="10">
        <v>0.2</v>
      </c>
      <c r="G877" s="19">
        <f t="shared" si="39"/>
        <v>2528.1600000000003</v>
      </c>
      <c r="H877" s="10">
        <f>INDEX(Products!$C$2:$C$101,MATCH(C877,Products!$A$2:$A$101,0))</f>
        <v>8</v>
      </c>
      <c r="I877" s="10" t="str">
        <f>INDEX(Categories!$B$2:$B$11,MATCH(H877,Categories!$A$2:$A$11,0))</f>
        <v>Health &amp; Beauty</v>
      </c>
      <c r="J877" s="19">
        <f>INDEX(Products!$E$2:$E$101,MATCH(C877,Products!$A$2:$A$101,0))</f>
        <v>233.41</v>
      </c>
      <c r="K877" s="19">
        <f t="shared" si="40"/>
        <v>1400.46</v>
      </c>
      <c r="L877" s="19">
        <f t="shared" si="41"/>
        <v>1127.7000000000003</v>
      </c>
    </row>
    <row r="878" spans="1:12" ht="15" customHeight="1" x14ac:dyDescent="0.25">
      <c r="A878" s="10">
        <v>877</v>
      </c>
      <c r="B878" s="10">
        <v>278</v>
      </c>
      <c r="C878" s="10">
        <v>69</v>
      </c>
      <c r="D878" s="10">
        <v>3</v>
      </c>
      <c r="E878" s="19">
        <v>188.38</v>
      </c>
      <c r="F878" s="10">
        <v>0.15</v>
      </c>
      <c r="G878" s="19">
        <f t="shared" si="39"/>
        <v>480.36899999999997</v>
      </c>
      <c r="H878" s="10">
        <f>INDEX(Products!$C$2:$C$101,MATCH(C878,Products!$A$2:$A$101,0))</f>
        <v>7</v>
      </c>
      <c r="I878" s="10" t="str">
        <f>INDEX(Categories!$B$2:$B$11,MATCH(H878,Categories!$A$2:$A$11,0))</f>
        <v>Toys &amp; Games</v>
      </c>
      <c r="J878" s="19">
        <f>INDEX(Products!$E$2:$E$101,MATCH(C878,Products!$A$2:$A$101,0))</f>
        <v>86.95</v>
      </c>
      <c r="K878" s="19">
        <f t="shared" si="40"/>
        <v>260.85000000000002</v>
      </c>
      <c r="L878" s="19">
        <f t="shared" si="41"/>
        <v>219.51899999999995</v>
      </c>
    </row>
    <row r="879" spans="1:12" ht="15" customHeight="1" x14ac:dyDescent="0.25">
      <c r="A879" s="10">
        <v>878</v>
      </c>
      <c r="B879" s="10">
        <v>279</v>
      </c>
      <c r="C879" s="10">
        <v>100</v>
      </c>
      <c r="D879" s="10">
        <v>2</v>
      </c>
      <c r="E879" s="19">
        <v>313.44</v>
      </c>
      <c r="F879" s="10">
        <v>0</v>
      </c>
      <c r="G879" s="19">
        <f t="shared" si="39"/>
        <v>626.88</v>
      </c>
      <c r="H879" s="10">
        <f>INDEX(Products!$C$2:$C$101,MATCH(C879,Products!$A$2:$A$101,0))</f>
        <v>10</v>
      </c>
      <c r="I879" s="10" t="str">
        <f>INDEX(Categories!$B$2:$B$11,MATCH(H879,Categories!$A$2:$A$11,0))</f>
        <v>Groceries</v>
      </c>
      <c r="J879" s="19">
        <f>INDEX(Products!$E$2:$E$101,MATCH(C879,Products!$A$2:$A$101,0))</f>
        <v>187.4</v>
      </c>
      <c r="K879" s="19">
        <f t="shared" si="40"/>
        <v>374.8</v>
      </c>
      <c r="L879" s="19">
        <f t="shared" si="41"/>
        <v>252.07999999999998</v>
      </c>
    </row>
    <row r="880" spans="1:12" ht="15" customHeight="1" x14ac:dyDescent="0.25">
      <c r="A880" s="10">
        <v>879</v>
      </c>
      <c r="B880" s="10">
        <v>279</v>
      </c>
      <c r="C880" s="10">
        <v>25</v>
      </c>
      <c r="D880" s="10">
        <v>3</v>
      </c>
      <c r="E880" s="19">
        <v>334.98</v>
      </c>
      <c r="F880" s="10">
        <v>0</v>
      </c>
      <c r="G880" s="19">
        <f t="shared" si="39"/>
        <v>1004.94</v>
      </c>
      <c r="H880" s="10">
        <f>INDEX(Products!$C$2:$C$101,MATCH(C880,Products!$A$2:$A$101,0))</f>
        <v>3</v>
      </c>
      <c r="I880" s="10" t="str">
        <f>INDEX(Categories!$B$2:$B$11,MATCH(H880,Categories!$A$2:$A$11,0))</f>
        <v>Furniture</v>
      </c>
      <c r="J880" s="19">
        <f>INDEX(Products!$E$2:$E$101,MATCH(C880,Products!$A$2:$A$101,0))</f>
        <v>200.06</v>
      </c>
      <c r="K880" s="19">
        <f t="shared" si="40"/>
        <v>600.18000000000006</v>
      </c>
      <c r="L880" s="19">
        <f t="shared" si="41"/>
        <v>404.76</v>
      </c>
    </row>
    <row r="881" spans="1:12" ht="15" customHeight="1" x14ac:dyDescent="0.25">
      <c r="A881" s="10">
        <v>880</v>
      </c>
      <c r="B881" s="10">
        <v>280</v>
      </c>
      <c r="C881" s="10">
        <v>89</v>
      </c>
      <c r="D881" s="10">
        <v>8</v>
      </c>
      <c r="E881" s="19">
        <v>312.76</v>
      </c>
      <c r="F881" s="10">
        <v>0</v>
      </c>
      <c r="G881" s="19">
        <f t="shared" si="39"/>
        <v>2502.08</v>
      </c>
      <c r="H881" s="10">
        <f>INDEX(Products!$C$2:$C$101,MATCH(C881,Products!$A$2:$A$101,0))</f>
        <v>9</v>
      </c>
      <c r="I881" s="10" t="str">
        <f>INDEX(Categories!$B$2:$B$11,MATCH(H881,Categories!$A$2:$A$11,0))</f>
        <v>Automotive Parts</v>
      </c>
      <c r="J881" s="19">
        <f>INDEX(Products!$E$2:$E$101,MATCH(C881,Products!$A$2:$A$101,0))</f>
        <v>173.51</v>
      </c>
      <c r="K881" s="19">
        <f t="shared" si="40"/>
        <v>1388.08</v>
      </c>
      <c r="L881" s="19">
        <f t="shared" si="41"/>
        <v>1114</v>
      </c>
    </row>
    <row r="882" spans="1:12" ht="15" customHeight="1" x14ac:dyDescent="0.25">
      <c r="A882" s="10">
        <v>881</v>
      </c>
      <c r="B882" s="10">
        <v>281</v>
      </c>
      <c r="C882" s="10">
        <v>18</v>
      </c>
      <c r="D882" s="10">
        <v>1</v>
      </c>
      <c r="E882" s="19">
        <v>185.81</v>
      </c>
      <c r="F882" s="10">
        <v>0.05</v>
      </c>
      <c r="G882" s="19">
        <f t="shared" si="39"/>
        <v>176.51949999999999</v>
      </c>
      <c r="H882" s="10">
        <f>INDEX(Products!$C$2:$C$101,MATCH(C882,Products!$A$2:$A$101,0))</f>
        <v>2</v>
      </c>
      <c r="I882" s="10" t="str">
        <f>INDEX(Categories!$B$2:$B$11,MATCH(H882,Categories!$A$2:$A$11,0))</f>
        <v>Office Supplies</v>
      </c>
      <c r="J882" s="19">
        <f>INDEX(Products!$E$2:$E$101,MATCH(C882,Products!$A$2:$A$101,0))</f>
        <v>108.81</v>
      </c>
      <c r="K882" s="19">
        <f t="shared" si="40"/>
        <v>108.81</v>
      </c>
      <c r="L882" s="19">
        <f t="shared" si="41"/>
        <v>67.709499999999991</v>
      </c>
    </row>
    <row r="883" spans="1:12" ht="15" customHeight="1" x14ac:dyDescent="0.25">
      <c r="A883" s="10">
        <v>882</v>
      </c>
      <c r="B883" s="10">
        <v>281</v>
      </c>
      <c r="C883" s="10">
        <v>21</v>
      </c>
      <c r="D883" s="10">
        <v>1</v>
      </c>
      <c r="E883" s="19">
        <v>358.6</v>
      </c>
      <c r="F883" s="10">
        <v>0</v>
      </c>
      <c r="G883" s="19">
        <f t="shared" si="39"/>
        <v>358.6</v>
      </c>
      <c r="H883" s="10">
        <f>INDEX(Products!$C$2:$C$101,MATCH(C883,Products!$A$2:$A$101,0))</f>
        <v>3</v>
      </c>
      <c r="I883" s="10" t="str">
        <f>INDEX(Categories!$B$2:$B$11,MATCH(H883,Categories!$A$2:$A$11,0))</f>
        <v>Furniture</v>
      </c>
      <c r="J883" s="19">
        <f>INDEX(Products!$E$2:$E$101,MATCH(C883,Products!$A$2:$A$101,0))</f>
        <v>155.13</v>
      </c>
      <c r="K883" s="19">
        <f t="shared" si="40"/>
        <v>155.13</v>
      </c>
      <c r="L883" s="19">
        <f t="shared" si="41"/>
        <v>203.47000000000003</v>
      </c>
    </row>
    <row r="884" spans="1:12" ht="15" customHeight="1" x14ac:dyDescent="0.25">
      <c r="A884" s="10">
        <v>883</v>
      </c>
      <c r="B884" s="10">
        <v>281</v>
      </c>
      <c r="C884" s="10">
        <v>25</v>
      </c>
      <c r="D884" s="10">
        <v>7</v>
      </c>
      <c r="E884" s="19">
        <v>334.98</v>
      </c>
      <c r="F884" s="10">
        <v>0</v>
      </c>
      <c r="G884" s="19">
        <f t="shared" si="39"/>
        <v>2344.86</v>
      </c>
      <c r="H884" s="10">
        <f>INDEX(Products!$C$2:$C$101,MATCH(C884,Products!$A$2:$A$101,0))</f>
        <v>3</v>
      </c>
      <c r="I884" s="10" t="str">
        <f>INDEX(Categories!$B$2:$B$11,MATCH(H884,Categories!$A$2:$A$11,0))</f>
        <v>Furniture</v>
      </c>
      <c r="J884" s="19">
        <f>INDEX(Products!$E$2:$E$101,MATCH(C884,Products!$A$2:$A$101,0))</f>
        <v>200.06</v>
      </c>
      <c r="K884" s="19">
        <f t="shared" si="40"/>
        <v>1400.42</v>
      </c>
      <c r="L884" s="19">
        <f t="shared" si="41"/>
        <v>944.44</v>
      </c>
    </row>
    <row r="885" spans="1:12" ht="15" customHeight="1" x14ac:dyDescent="0.25">
      <c r="A885" s="10">
        <v>884</v>
      </c>
      <c r="B885" s="10">
        <v>281</v>
      </c>
      <c r="C885" s="10">
        <v>29</v>
      </c>
      <c r="D885" s="10">
        <v>4</v>
      </c>
      <c r="E885" s="19">
        <v>152.52000000000001</v>
      </c>
      <c r="F885" s="10">
        <v>0.2</v>
      </c>
      <c r="G885" s="19">
        <f t="shared" si="39"/>
        <v>488.06400000000008</v>
      </c>
      <c r="H885" s="10">
        <f>INDEX(Products!$C$2:$C$101,MATCH(C885,Products!$A$2:$A$101,0))</f>
        <v>3</v>
      </c>
      <c r="I885" s="10" t="str">
        <f>INDEX(Categories!$B$2:$B$11,MATCH(H885,Categories!$A$2:$A$11,0))</f>
        <v>Furniture</v>
      </c>
      <c r="J885" s="19">
        <f>INDEX(Products!$E$2:$E$101,MATCH(C885,Products!$A$2:$A$101,0))</f>
        <v>78.63</v>
      </c>
      <c r="K885" s="19">
        <f t="shared" si="40"/>
        <v>314.52</v>
      </c>
      <c r="L885" s="19">
        <f t="shared" si="41"/>
        <v>173.5440000000001</v>
      </c>
    </row>
    <row r="886" spans="1:12" ht="15" customHeight="1" x14ac:dyDescent="0.25">
      <c r="A886" s="10">
        <v>885</v>
      </c>
      <c r="B886" s="10">
        <v>282</v>
      </c>
      <c r="C886" s="10">
        <v>59</v>
      </c>
      <c r="D886" s="10">
        <v>7</v>
      </c>
      <c r="E886" s="19">
        <v>68</v>
      </c>
      <c r="F886" s="10">
        <v>0.2</v>
      </c>
      <c r="G886" s="19">
        <f t="shared" si="39"/>
        <v>380.8</v>
      </c>
      <c r="H886" s="10">
        <f>INDEX(Products!$C$2:$C$101,MATCH(C886,Products!$A$2:$A$101,0))</f>
        <v>6</v>
      </c>
      <c r="I886" s="10" t="str">
        <f>INDEX(Categories!$B$2:$B$11,MATCH(H886,Categories!$A$2:$A$11,0))</f>
        <v>Sporting Goods</v>
      </c>
      <c r="J886" s="19">
        <f>INDEX(Products!$E$2:$E$101,MATCH(C886,Products!$A$2:$A$101,0))</f>
        <v>31.63</v>
      </c>
      <c r="K886" s="19">
        <f t="shared" si="40"/>
        <v>221.41</v>
      </c>
      <c r="L886" s="19">
        <f t="shared" si="41"/>
        <v>159.39000000000001</v>
      </c>
    </row>
    <row r="887" spans="1:12" ht="15" customHeight="1" x14ac:dyDescent="0.25">
      <c r="A887" s="10">
        <v>886</v>
      </c>
      <c r="B887" s="10">
        <v>282</v>
      </c>
      <c r="C887" s="10">
        <v>32</v>
      </c>
      <c r="D887" s="10">
        <v>1</v>
      </c>
      <c r="E887" s="19">
        <v>489.82</v>
      </c>
      <c r="F887" s="10">
        <v>0.1</v>
      </c>
      <c r="G887" s="19">
        <f t="shared" si="39"/>
        <v>440.83800000000002</v>
      </c>
      <c r="H887" s="10">
        <f>INDEX(Products!$C$2:$C$101,MATCH(C887,Products!$A$2:$A$101,0))</f>
        <v>4</v>
      </c>
      <c r="I887" s="10" t="str">
        <f>INDEX(Categories!$B$2:$B$11,MATCH(H887,Categories!$A$2:$A$11,0))</f>
        <v>Apparel</v>
      </c>
      <c r="J887" s="19">
        <f>INDEX(Products!$E$2:$E$101,MATCH(C887,Products!$A$2:$A$101,0))</f>
        <v>237.87</v>
      </c>
      <c r="K887" s="19">
        <f t="shared" si="40"/>
        <v>237.87</v>
      </c>
      <c r="L887" s="19">
        <f t="shared" si="41"/>
        <v>202.96800000000002</v>
      </c>
    </row>
    <row r="888" spans="1:12" ht="15" customHeight="1" x14ac:dyDescent="0.25">
      <c r="A888" s="10">
        <v>887</v>
      </c>
      <c r="B888" s="10">
        <v>282</v>
      </c>
      <c r="C888" s="10">
        <v>55</v>
      </c>
      <c r="D888" s="10">
        <v>7</v>
      </c>
      <c r="E888" s="19">
        <v>378.27</v>
      </c>
      <c r="F888" s="10">
        <v>0.15</v>
      </c>
      <c r="G888" s="19">
        <f t="shared" si="39"/>
        <v>2250.7064999999998</v>
      </c>
      <c r="H888" s="10">
        <f>INDEX(Products!$C$2:$C$101,MATCH(C888,Products!$A$2:$A$101,0))</f>
        <v>6</v>
      </c>
      <c r="I888" s="10" t="str">
        <f>INDEX(Categories!$B$2:$B$11,MATCH(H888,Categories!$A$2:$A$11,0))</f>
        <v>Sporting Goods</v>
      </c>
      <c r="J888" s="19">
        <f>INDEX(Products!$E$2:$E$101,MATCH(C888,Products!$A$2:$A$101,0))</f>
        <v>163.92</v>
      </c>
      <c r="K888" s="19">
        <f t="shared" si="40"/>
        <v>1147.4399999999998</v>
      </c>
      <c r="L888" s="19">
        <f t="shared" si="41"/>
        <v>1103.2665</v>
      </c>
    </row>
    <row r="889" spans="1:12" ht="15" customHeight="1" x14ac:dyDescent="0.25">
      <c r="A889" s="10">
        <v>888</v>
      </c>
      <c r="B889" s="10">
        <v>283</v>
      </c>
      <c r="C889" s="10">
        <v>69</v>
      </c>
      <c r="D889" s="10">
        <v>7</v>
      </c>
      <c r="E889" s="19">
        <v>188.38</v>
      </c>
      <c r="F889" s="10">
        <v>0.1</v>
      </c>
      <c r="G889" s="19">
        <f t="shared" si="39"/>
        <v>1186.7939999999999</v>
      </c>
      <c r="H889" s="10">
        <f>INDEX(Products!$C$2:$C$101,MATCH(C889,Products!$A$2:$A$101,0))</f>
        <v>7</v>
      </c>
      <c r="I889" s="10" t="str">
        <f>INDEX(Categories!$B$2:$B$11,MATCH(H889,Categories!$A$2:$A$11,0))</f>
        <v>Toys &amp; Games</v>
      </c>
      <c r="J889" s="19">
        <f>INDEX(Products!$E$2:$E$101,MATCH(C889,Products!$A$2:$A$101,0))</f>
        <v>86.95</v>
      </c>
      <c r="K889" s="19">
        <f t="shared" si="40"/>
        <v>608.65</v>
      </c>
      <c r="L889" s="19">
        <f t="shared" si="41"/>
        <v>578.14399999999989</v>
      </c>
    </row>
    <row r="890" spans="1:12" ht="15" customHeight="1" x14ac:dyDescent="0.25">
      <c r="A890" s="10">
        <v>889</v>
      </c>
      <c r="B890" s="10">
        <v>283</v>
      </c>
      <c r="C890" s="10">
        <v>51</v>
      </c>
      <c r="D890" s="10">
        <v>1</v>
      </c>
      <c r="E890" s="19">
        <v>436.43</v>
      </c>
      <c r="F890" s="10">
        <v>0</v>
      </c>
      <c r="G890" s="19">
        <f t="shared" si="39"/>
        <v>436.43</v>
      </c>
      <c r="H890" s="10">
        <f>INDEX(Products!$C$2:$C$101,MATCH(C890,Products!$A$2:$A$101,0))</f>
        <v>6</v>
      </c>
      <c r="I890" s="10" t="str">
        <f>INDEX(Categories!$B$2:$B$11,MATCH(H890,Categories!$A$2:$A$11,0))</f>
        <v>Sporting Goods</v>
      </c>
      <c r="J890" s="19">
        <f>INDEX(Products!$E$2:$E$101,MATCH(C890,Products!$A$2:$A$101,0))</f>
        <v>235.84</v>
      </c>
      <c r="K890" s="19">
        <f t="shared" si="40"/>
        <v>235.84</v>
      </c>
      <c r="L890" s="19">
        <f t="shared" si="41"/>
        <v>200.59</v>
      </c>
    </row>
    <row r="891" spans="1:12" ht="15" customHeight="1" x14ac:dyDescent="0.25">
      <c r="A891" s="10">
        <v>890</v>
      </c>
      <c r="B891" s="10">
        <v>283</v>
      </c>
      <c r="C891" s="10">
        <v>95</v>
      </c>
      <c r="D891" s="10">
        <v>5</v>
      </c>
      <c r="E891" s="19">
        <v>394.56</v>
      </c>
      <c r="F891" s="10">
        <v>0.05</v>
      </c>
      <c r="G891" s="19">
        <f t="shared" si="39"/>
        <v>1874.1599999999999</v>
      </c>
      <c r="H891" s="10">
        <f>INDEX(Products!$C$2:$C$101,MATCH(C891,Products!$A$2:$A$101,0))</f>
        <v>10</v>
      </c>
      <c r="I891" s="10" t="str">
        <f>INDEX(Categories!$B$2:$B$11,MATCH(H891,Categories!$A$2:$A$11,0))</f>
        <v>Groceries</v>
      </c>
      <c r="J891" s="19">
        <f>INDEX(Products!$E$2:$E$101,MATCH(C891,Products!$A$2:$A$101,0))</f>
        <v>192.57</v>
      </c>
      <c r="K891" s="19">
        <f t="shared" si="40"/>
        <v>962.84999999999991</v>
      </c>
      <c r="L891" s="19">
        <f t="shared" si="41"/>
        <v>911.31</v>
      </c>
    </row>
    <row r="892" spans="1:12" ht="15" customHeight="1" x14ac:dyDescent="0.25">
      <c r="A892" s="10">
        <v>891</v>
      </c>
      <c r="B892" s="10">
        <v>283</v>
      </c>
      <c r="C892" s="10">
        <v>6</v>
      </c>
      <c r="D892" s="10">
        <v>7</v>
      </c>
      <c r="E892" s="19">
        <v>234.43</v>
      </c>
      <c r="F892" s="10">
        <v>0</v>
      </c>
      <c r="G892" s="19">
        <f t="shared" si="39"/>
        <v>1641.01</v>
      </c>
      <c r="H892" s="10">
        <f>INDEX(Products!$C$2:$C$101,MATCH(C892,Products!$A$2:$A$101,0))</f>
        <v>1</v>
      </c>
      <c r="I892" s="10" t="str">
        <f>INDEX(Categories!$B$2:$B$11,MATCH(H892,Categories!$A$2:$A$11,0))</f>
        <v>Electronics</v>
      </c>
      <c r="J892" s="19">
        <f>INDEX(Products!$E$2:$E$101,MATCH(C892,Products!$A$2:$A$101,0))</f>
        <v>161.76</v>
      </c>
      <c r="K892" s="19">
        <f t="shared" si="40"/>
        <v>1132.32</v>
      </c>
      <c r="L892" s="19">
        <f t="shared" si="41"/>
        <v>508.69000000000005</v>
      </c>
    </row>
    <row r="893" spans="1:12" ht="15" customHeight="1" x14ac:dyDescent="0.25">
      <c r="A893" s="10">
        <v>892</v>
      </c>
      <c r="B893" s="10">
        <v>283</v>
      </c>
      <c r="C893" s="10">
        <v>72</v>
      </c>
      <c r="D893" s="10">
        <v>5</v>
      </c>
      <c r="E893" s="19">
        <v>526.70000000000005</v>
      </c>
      <c r="F893" s="10">
        <v>0.05</v>
      </c>
      <c r="G893" s="19">
        <f t="shared" si="39"/>
        <v>2501.8249999999998</v>
      </c>
      <c r="H893" s="10">
        <f>INDEX(Products!$C$2:$C$101,MATCH(C893,Products!$A$2:$A$101,0))</f>
        <v>8</v>
      </c>
      <c r="I893" s="10" t="str">
        <f>INDEX(Categories!$B$2:$B$11,MATCH(H893,Categories!$A$2:$A$11,0))</f>
        <v>Health &amp; Beauty</v>
      </c>
      <c r="J893" s="19">
        <f>INDEX(Products!$E$2:$E$101,MATCH(C893,Products!$A$2:$A$101,0))</f>
        <v>233.41</v>
      </c>
      <c r="K893" s="19">
        <f t="shared" si="40"/>
        <v>1167.05</v>
      </c>
      <c r="L893" s="19">
        <f t="shared" si="41"/>
        <v>1334.7749999999999</v>
      </c>
    </row>
    <row r="894" spans="1:12" ht="15" customHeight="1" x14ac:dyDescent="0.25">
      <c r="A894" s="10">
        <v>893</v>
      </c>
      <c r="B894" s="10">
        <v>284</v>
      </c>
      <c r="C894" s="10">
        <v>24</v>
      </c>
      <c r="D894" s="10">
        <v>10</v>
      </c>
      <c r="E894" s="19">
        <v>158.72999999999999</v>
      </c>
      <c r="F894" s="10">
        <v>0.15</v>
      </c>
      <c r="G894" s="19">
        <f t="shared" si="39"/>
        <v>1349.2049999999999</v>
      </c>
      <c r="H894" s="10">
        <f>INDEX(Products!$C$2:$C$101,MATCH(C894,Products!$A$2:$A$101,0))</f>
        <v>3</v>
      </c>
      <c r="I894" s="10" t="str">
        <f>INDEX(Categories!$B$2:$B$11,MATCH(H894,Categories!$A$2:$A$11,0))</f>
        <v>Furniture</v>
      </c>
      <c r="J894" s="19">
        <f>INDEX(Products!$E$2:$E$101,MATCH(C894,Products!$A$2:$A$101,0))</f>
        <v>86.09</v>
      </c>
      <c r="K894" s="19">
        <f t="shared" si="40"/>
        <v>860.90000000000009</v>
      </c>
      <c r="L894" s="19">
        <f t="shared" si="41"/>
        <v>488.30499999999984</v>
      </c>
    </row>
    <row r="895" spans="1:12" ht="15" customHeight="1" x14ac:dyDescent="0.25">
      <c r="A895" s="10">
        <v>894</v>
      </c>
      <c r="B895" s="10">
        <v>285</v>
      </c>
      <c r="C895" s="10">
        <v>12</v>
      </c>
      <c r="D895" s="10">
        <v>3</v>
      </c>
      <c r="E895" s="19">
        <v>219.11</v>
      </c>
      <c r="F895" s="10">
        <v>0.15</v>
      </c>
      <c r="G895" s="19">
        <f t="shared" si="39"/>
        <v>558.73050000000001</v>
      </c>
      <c r="H895" s="10">
        <f>INDEX(Products!$C$2:$C$101,MATCH(C895,Products!$A$2:$A$101,0))</f>
        <v>2</v>
      </c>
      <c r="I895" s="10" t="str">
        <f>INDEX(Categories!$B$2:$B$11,MATCH(H895,Categories!$A$2:$A$11,0))</f>
        <v>Office Supplies</v>
      </c>
      <c r="J895" s="19">
        <f>INDEX(Products!$E$2:$E$101,MATCH(C895,Products!$A$2:$A$101,0))</f>
        <v>142.30000000000001</v>
      </c>
      <c r="K895" s="19">
        <f t="shared" si="40"/>
        <v>426.90000000000003</v>
      </c>
      <c r="L895" s="19">
        <f t="shared" si="41"/>
        <v>131.83049999999997</v>
      </c>
    </row>
    <row r="896" spans="1:12" ht="15" customHeight="1" x14ac:dyDescent="0.25">
      <c r="A896" s="10">
        <v>895</v>
      </c>
      <c r="B896" s="10">
        <v>285</v>
      </c>
      <c r="C896" s="10">
        <v>33</v>
      </c>
      <c r="D896" s="10">
        <v>2</v>
      </c>
      <c r="E896" s="19">
        <v>432.05</v>
      </c>
      <c r="F896" s="10">
        <v>0</v>
      </c>
      <c r="G896" s="19">
        <f t="shared" si="39"/>
        <v>864.1</v>
      </c>
      <c r="H896" s="10">
        <f>INDEX(Products!$C$2:$C$101,MATCH(C896,Products!$A$2:$A$101,0))</f>
        <v>4</v>
      </c>
      <c r="I896" s="10" t="str">
        <f>INDEX(Categories!$B$2:$B$11,MATCH(H896,Categories!$A$2:$A$11,0))</f>
        <v>Apparel</v>
      </c>
      <c r="J896" s="19">
        <f>INDEX(Products!$E$2:$E$101,MATCH(C896,Products!$A$2:$A$101,0))</f>
        <v>181.97</v>
      </c>
      <c r="K896" s="19">
        <f t="shared" si="40"/>
        <v>363.94</v>
      </c>
      <c r="L896" s="19">
        <f t="shared" si="41"/>
        <v>500.16</v>
      </c>
    </row>
    <row r="897" spans="1:12" ht="15" customHeight="1" x14ac:dyDescent="0.25">
      <c r="A897" s="10">
        <v>896</v>
      </c>
      <c r="B897" s="10">
        <v>285</v>
      </c>
      <c r="C897" s="10">
        <v>42</v>
      </c>
      <c r="D897" s="10">
        <v>2</v>
      </c>
      <c r="E897" s="19">
        <v>370</v>
      </c>
      <c r="F897" s="10">
        <v>0.15</v>
      </c>
      <c r="G897" s="19">
        <f t="shared" si="39"/>
        <v>629</v>
      </c>
      <c r="H897" s="10">
        <f>INDEX(Products!$C$2:$C$101,MATCH(C897,Products!$A$2:$A$101,0))</f>
        <v>5</v>
      </c>
      <c r="I897" s="10" t="str">
        <f>INDEX(Categories!$B$2:$B$11,MATCH(H897,Categories!$A$2:$A$11,0))</f>
        <v>Home &amp; Kitchen</v>
      </c>
      <c r="J897" s="19">
        <f>INDEX(Products!$E$2:$E$101,MATCH(C897,Products!$A$2:$A$101,0))</f>
        <v>227.4</v>
      </c>
      <c r="K897" s="19">
        <f t="shared" si="40"/>
        <v>454.8</v>
      </c>
      <c r="L897" s="19">
        <f t="shared" si="41"/>
        <v>174.2</v>
      </c>
    </row>
    <row r="898" spans="1:12" ht="15" customHeight="1" x14ac:dyDescent="0.25">
      <c r="A898" s="10">
        <v>897</v>
      </c>
      <c r="B898" s="10">
        <v>285</v>
      </c>
      <c r="C898" s="10">
        <v>89</v>
      </c>
      <c r="D898" s="10">
        <v>8</v>
      </c>
      <c r="E898" s="19">
        <v>312.76</v>
      </c>
      <c r="F898" s="10">
        <v>0.15</v>
      </c>
      <c r="G898" s="19">
        <f t="shared" ref="G898:G961" si="42">D898*E898*(1-F898)</f>
        <v>2126.768</v>
      </c>
      <c r="H898" s="10">
        <f>INDEX(Products!$C$2:$C$101,MATCH(C898,Products!$A$2:$A$101,0))</f>
        <v>9</v>
      </c>
      <c r="I898" s="10" t="str">
        <f>INDEX(Categories!$B$2:$B$11,MATCH(H898,Categories!$A$2:$A$11,0))</f>
        <v>Automotive Parts</v>
      </c>
      <c r="J898" s="19">
        <f>INDEX(Products!$E$2:$E$101,MATCH(C898,Products!$A$2:$A$101,0))</f>
        <v>173.51</v>
      </c>
      <c r="K898" s="19">
        <f t="shared" ref="K898:K961" si="43">D898*J898</f>
        <v>1388.08</v>
      </c>
      <c r="L898" s="19">
        <f t="shared" ref="L898:L961" si="44">G898-K898</f>
        <v>738.6880000000001</v>
      </c>
    </row>
    <row r="899" spans="1:12" ht="15" customHeight="1" x14ac:dyDescent="0.25">
      <c r="A899" s="10">
        <v>898</v>
      </c>
      <c r="B899" s="10">
        <v>286</v>
      </c>
      <c r="C899" s="10">
        <v>43</v>
      </c>
      <c r="D899" s="10">
        <v>3</v>
      </c>
      <c r="E899" s="19">
        <v>42.13</v>
      </c>
      <c r="F899" s="10">
        <v>0</v>
      </c>
      <c r="G899" s="19">
        <f t="shared" si="42"/>
        <v>126.39000000000001</v>
      </c>
      <c r="H899" s="10">
        <f>INDEX(Products!$C$2:$C$101,MATCH(C899,Products!$A$2:$A$101,0))</f>
        <v>5</v>
      </c>
      <c r="I899" s="10" t="str">
        <f>INDEX(Categories!$B$2:$B$11,MATCH(H899,Categories!$A$2:$A$11,0))</f>
        <v>Home &amp; Kitchen</v>
      </c>
      <c r="J899" s="19">
        <f>INDEX(Products!$E$2:$E$101,MATCH(C899,Products!$A$2:$A$101,0))</f>
        <v>17.88</v>
      </c>
      <c r="K899" s="19">
        <f t="shared" si="43"/>
        <v>53.64</v>
      </c>
      <c r="L899" s="19">
        <f t="shared" si="44"/>
        <v>72.750000000000014</v>
      </c>
    </row>
    <row r="900" spans="1:12" ht="15" customHeight="1" x14ac:dyDescent="0.25">
      <c r="A900" s="10">
        <v>899</v>
      </c>
      <c r="B900" s="10">
        <v>286</v>
      </c>
      <c r="C900" s="10">
        <v>73</v>
      </c>
      <c r="D900" s="10">
        <v>3</v>
      </c>
      <c r="E900" s="19">
        <v>375.67</v>
      </c>
      <c r="F900" s="10">
        <v>0</v>
      </c>
      <c r="G900" s="19">
        <f t="shared" si="42"/>
        <v>1127.01</v>
      </c>
      <c r="H900" s="10">
        <f>INDEX(Products!$C$2:$C$101,MATCH(C900,Products!$A$2:$A$101,0))</f>
        <v>8</v>
      </c>
      <c r="I900" s="10" t="str">
        <f>INDEX(Categories!$B$2:$B$11,MATCH(H900,Categories!$A$2:$A$11,0))</f>
        <v>Health &amp; Beauty</v>
      </c>
      <c r="J900" s="19">
        <f>INDEX(Products!$E$2:$E$101,MATCH(C900,Products!$A$2:$A$101,0))</f>
        <v>214.44</v>
      </c>
      <c r="K900" s="19">
        <f t="shared" si="43"/>
        <v>643.31999999999994</v>
      </c>
      <c r="L900" s="19">
        <f t="shared" si="44"/>
        <v>483.69000000000005</v>
      </c>
    </row>
    <row r="901" spans="1:12" ht="15" customHeight="1" x14ac:dyDescent="0.25">
      <c r="A901" s="10">
        <v>900</v>
      </c>
      <c r="B901" s="10">
        <v>287</v>
      </c>
      <c r="C901" s="10">
        <v>81</v>
      </c>
      <c r="D901" s="10">
        <v>3</v>
      </c>
      <c r="E901" s="19">
        <v>529</v>
      </c>
      <c r="F901" s="10">
        <v>0</v>
      </c>
      <c r="G901" s="19">
        <f t="shared" si="42"/>
        <v>1587</v>
      </c>
      <c r="H901" s="10">
        <f>INDEX(Products!$C$2:$C$101,MATCH(C901,Products!$A$2:$A$101,0))</f>
        <v>9</v>
      </c>
      <c r="I901" s="10" t="str">
        <f>INDEX(Categories!$B$2:$B$11,MATCH(H901,Categories!$A$2:$A$11,0))</f>
        <v>Automotive Parts</v>
      </c>
      <c r="J901" s="19">
        <f>INDEX(Products!$E$2:$E$101,MATCH(C901,Products!$A$2:$A$101,0))</f>
        <v>249.36</v>
      </c>
      <c r="K901" s="19">
        <f t="shared" si="43"/>
        <v>748.08</v>
      </c>
      <c r="L901" s="19">
        <f t="shared" si="44"/>
        <v>838.92</v>
      </c>
    </row>
    <row r="902" spans="1:12" ht="15" customHeight="1" x14ac:dyDescent="0.25">
      <c r="A902" s="10">
        <v>901</v>
      </c>
      <c r="B902" s="10">
        <v>287</v>
      </c>
      <c r="C902" s="10">
        <v>24</v>
      </c>
      <c r="D902" s="10">
        <v>1</v>
      </c>
      <c r="E902" s="19">
        <v>158.72999999999999</v>
      </c>
      <c r="F902" s="10">
        <v>0.1</v>
      </c>
      <c r="G902" s="19">
        <f t="shared" si="42"/>
        <v>142.857</v>
      </c>
      <c r="H902" s="10">
        <f>INDEX(Products!$C$2:$C$101,MATCH(C902,Products!$A$2:$A$101,0))</f>
        <v>3</v>
      </c>
      <c r="I902" s="10" t="str">
        <f>INDEX(Categories!$B$2:$B$11,MATCH(H902,Categories!$A$2:$A$11,0))</f>
        <v>Furniture</v>
      </c>
      <c r="J902" s="19">
        <f>INDEX(Products!$E$2:$E$101,MATCH(C902,Products!$A$2:$A$101,0))</f>
        <v>86.09</v>
      </c>
      <c r="K902" s="19">
        <f t="shared" si="43"/>
        <v>86.09</v>
      </c>
      <c r="L902" s="19">
        <f t="shared" si="44"/>
        <v>56.766999999999996</v>
      </c>
    </row>
    <row r="903" spans="1:12" ht="15" customHeight="1" x14ac:dyDescent="0.25">
      <c r="A903" s="10">
        <v>902</v>
      </c>
      <c r="B903" s="10">
        <v>287</v>
      </c>
      <c r="C903" s="10">
        <v>16</v>
      </c>
      <c r="D903" s="10">
        <v>5</v>
      </c>
      <c r="E903" s="19">
        <v>345.42</v>
      </c>
      <c r="F903" s="10">
        <v>0</v>
      </c>
      <c r="G903" s="19">
        <f t="shared" si="42"/>
        <v>1727.1000000000001</v>
      </c>
      <c r="H903" s="10">
        <f>INDEX(Products!$C$2:$C$101,MATCH(C903,Products!$A$2:$A$101,0))</f>
        <v>2</v>
      </c>
      <c r="I903" s="10" t="str">
        <f>INDEX(Categories!$B$2:$B$11,MATCH(H903,Categories!$A$2:$A$11,0))</f>
        <v>Office Supplies</v>
      </c>
      <c r="J903" s="19">
        <f>INDEX(Products!$E$2:$E$101,MATCH(C903,Products!$A$2:$A$101,0))</f>
        <v>173.58</v>
      </c>
      <c r="K903" s="19">
        <f t="shared" si="43"/>
        <v>867.90000000000009</v>
      </c>
      <c r="L903" s="19">
        <f t="shared" si="44"/>
        <v>859.2</v>
      </c>
    </row>
    <row r="904" spans="1:12" ht="15" customHeight="1" x14ac:dyDescent="0.25">
      <c r="A904" s="10">
        <v>903</v>
      </c>
      <c r="B904" s="10">
        <v>288</v>
      </c>
      <c r="C904" s="10">
        <v>85</v>
      </c>
      <c r="D904" s="10">
        <v>2</v>
      </c>
      <c r="E904" s="19">
        <v>264.20999999999998</v>
      </c>
      <c r="F904" s="10">
        <v>0.1</v>
      </c>
      <c r="G904" s="19">
        <f t="shared" si="42"/>
        <v>475.57799999999997</v>
      </c>
      <c r="H904" s="10">
        <f>INDEX(Products!$C$2:$C$101,MATCH(C904,Products!$A$2:$A$101,0))</f>
        <v>9</v>
      </c>
      <c r="I904" s="10" t="str">
        <f>INDEX(Categories!$B$2:$B$11,MATCH(H904,Categories!$A$2:$A$11,0))</f>
        <v>Automotive Parts</v>
      </c>
      <c r="J904" s="19">
        <f>INDEX(Products!$E$2:$E$101,MATCH(C904,Products!$A$2:$A$101,0))</f>
        <v>153.54</v>
      </c>
      <c r="K904" s="19">
        <f t="shared" si="43"/>
        <v>307.08</v>
      </c>
      <c r="L904" s="19">
        <f t="shared" si="44"/>
        <v>168.49799999999999</v>
      </c>
    </row>
    <row r="905" spans="1:12" ht="15" customHeight="1" x14ac:dyDescent="0.25">
      <c r="A905" s="10">
        <v>904</v>
      </c>
      <c r="B905" s="10">
        <v>288</v>
      </c>
      <c r="C905" s="10">
        <v>61</v>
      </c>
      <c r="D905" s="10">
        <v>10</v>
      </c>
      <c r="E905" s="19">
        <v>289.8</v>
      </c>
      <c r="F905" s="10">
        <v>0</v>
      </c>
      <c r="G905" s="19">
        <f t="shared" si="42"/>
        <v>2898</v>
      </c>
      <c r="H905" s="10">
        <f>INDEX(Products!$C$2:$C$101,MATCH(C905,Products!$A$2:$A$101,0))</f>
        <v>7</v>
      </c>
      <c r="I905" s="10" t="str">
        <f>INDEX(Categories!$B$2:$B$11,MATCH(H905,Categories!$A$2:$A$11,0))</f>
        <v>Toys &amp; Games</v>
      </c>
      <c r="J905" s="19">
        <f>INDEX(Products!$E$2:$E$101,MATCH(C905,Products!$A$2:$A$101,0))</f>
        <v>156.79</v>
      </c>
      <c r="K905" s="19">
        <f t="shared" si="43"/>
        <v>1567.8999999999999</v>
      </c>
      <c r="L905" s="19">
        <f t="shared" si="44"/>
        <v>1330.1000000000001</v>
      </c>
    </row>
    <row r="906" spans="1:12" ht="15" customHeight="1" x14ac:dyDescent="0.25">
      <c r="A906" s="10">
        <v>905</v>
      </c>
      <c r="B906" s="10">
        <v>288</v>
      </c>
      <c r="C906" s="10">
        <v>59</v>
      </c>
      <c r="D906" s="10">
        <v>4</v>
      </c>
      <c r="E906" s="19">
        <v>68</v>
      </c>
      <c r="F906" s="10">
        <v>0.1</v>
      </c>
      <c r="G906" s="19">
        <f t="shared" si="42"/>
        <v>244.8</v>
      </c>
      <c r="H906" s="10">
        <f>INDEX(Products!$C$2:$C$101,MATCH(C906,Products!$A$2:$A$101,0))</f>
        <v>6</v>
      </c>
      <c r="I906" s="10" t="str">
        <f>INDEX(Categories!$B$2:$B$11,MATCH(H906,Categories!$A$2:$A$11,0))</f>
        <v>Sporting Goods</v>
      </c>
      <c r="J906" s="19">
        <f>INDEX(Products!$E$2:$E$101,MATCH(C906,Products!$A$2:$A$101,0))</f>
        <v>31.63</v>
      </c>
      <c r="K906" s="19">
        <f t="shared" si="43"/>
        <v>126.52</v>
      </c>
      <c r="L906" s="19">
        <f t="shared" si="44"/>
        <v>118.28000000000002</v>
      </c>
    </row>
    <row r="907" spans="1:12" ht="15" customHeight="1" x14ac:dyDescent="0.25">
      <c r="A907" s="10">
        <v>906</v>
      </c>
      <c r="B907" s="10">
        <v>288</v>
      </c>
      <c r="C907" s="10">
        <v>53</v>
      </c>
      <c r="D907" s="10">
        <v>5</v>
      </c>
      <c r="E907" s="19">
        <v>534</v>
      </c>
      <c r="F907" s="10">
        <v>0.1</v>
      </c>
      <c r="G907" s="19">
        <f t="shared" si="42"/>
        <v>2403</v>
      </c>
      <c r="H907" s="10">
        <f>INDEX(Products!$C$2:$C$101,MATCH(C907,Products!$A$2:$A$101,0))</f>
        <v>6</v>
      </c>
      <c r="I907" s="10" t="str">
        <f>INDEX(Categories!$B$2:$B$11,MATCH(H907,Categories!$A$2:$A$11,0))</f>
        <v>Sporting Goods</v>
      </c>
      <c r="J907" s="19">
        <f>INDEX(Products!$E$2:$E$101,MATCH(C907,Products!$A$2:$A$101,0))</f>
        <v>240.59</v>
      </c>
      <c r="K907" s="19">
        <f t="shared" si="43"/>
        <v>1202.95</v>
      </c>
      <c r="L907" s="19">
        <f t="shared" si="44"/>
        <v>1200.05</v>
      </c>
    </row>
    <row r="908" spans="1:12" ht="15" customHeight="1" x14ac:dyDescent="0.25">
      <c r="A908" s="10">
        <v>907</v>
      </c>
      <c r="B908" s="10">
        <v>288</v>
      </c>
      <c r="C908" s="10">
        <v>57</v>
      </c>
      <c r="D908" s="10">
        <v>9</v>
      </c>
      <c r="E908" s="19">
        <v>357.27</v>
      </c>
      <c r="F908" s="10">
        <v>0.2</v>
      </c>
      <c r="G908" s="19">
        <f t="shared" si="42"/>
        <v>2572.3440000000001</v>
      </c>
      <c r="H908" s="10">
        <f>INDEX(Products!$C$2:$C$101,MATCH(C908,Products!$A$2:$A$101,0))</f>
        <v>6</v>
      </c>
      <c r="I908" s="10" t="str">
        <f>INDEX(Categories!$B$2:$B$11,MATCH(H908,Categories!$A$2:$A$11,0))</f>
        <v>Sporting Goods</v>
      </c>
      <c r="J908" s="19">
        <f>INDEX(Products!$E$2:$E$101,MATCH(C908,Products!$A$2:$A$101,0))</f>
        <v>214.86</v>
      </c>
      <c r="K908" s="19">
        <f t="shared" si="43"/>
        <v>1933.7400000000002</v>
      </c>
      <c r="L908" s="19">
        <f t="shared" si="44"/>
        <v>638.60399999999981</v>
      </c>
    </row>
    <row r="909" spans="1:12" ht="15" customHeight="1" x14ac:dyDescent="0.25">
      <c r="A909" s="10">
        <v>908</v>
      </c>
      <c r="B909" s="10">
        <v>289</v>
      </c>
      <c r="C909" s="10">
        <v>39</v>
      </c>
      <c r="D909" s="10">
        <v>7</v>
      </c>
      <c r="E909" s="19">
        <v>42.44</v>
      </c>
      <c r="F909" s="10">
        <v>0</v>
      </c>
      <c r="G909" s="19">
        <f t="shared" si="42"/>
        <v>297.08</v>
      </c>
      <c r="H909" s="10">
        <f>INDEX(Products!$C$2:$C$101,MATCH(C909,Products!$A$2:$A$101,0))</f>
        <v>4</v>
      </c>
      <c r="I909" s="10" t="str">
        <f>INDEX(Categories!$B$2:$B$11,MATCH(H909,Categories!$A$2:$A$11,0))</f>
        <v>Apparel</v>
      </c>
      <c r="J909" s="19">
        <f>INDEX(Products!$E$2:$E$101,MATCH(C909,Products!$A$2:$A$101,0))</f>
        <v>21.3</v>
      </c>
      <c r="K909" s="19">
        <f t="shared" si="43"/>
        <v>149.1</v>
      </c>
      <c r="L909" s="19">
        <f t="shared" si="44"/>
        <v>147.97999999999999</v>
      </c>
    </row>
    <row r="910" spans="1:12" ht="15" customHeight="1" x14ac:dyDescent="0.25">
      <c r="A910" s="10">
        <v>909</v>
      </c>
      <c r="B910" s="10">
        <v>289</v>
      </c>
      <c r="C910" s="10">
        <v>43</v>
      </c>
      <c r="D910" s="10">
        <v>3</v>
      </c>
      <c r="E910" s="19">
        <v>42.13</v>
      </c>
      <c r="F910" s="10">
        <v>0.15</v>
      </c>
      <c r="G910" s="19">
        <f t="shared" si="42"/>
        <v>107.43150000000001</v>
      </c>
      <c r="H910" s="10">
        <f>INDEX(Products!$C$2:$C$101,MATCH(C910,Products!$A$2:$A$101,0))</f>
        <v>5</v>
      </c>
      <c r="I910" s="10" t="str">
        <f>INDEX(Categories!$B$2:$B$11,MATCH(H910,Categories!$A$2:$A$11,0))</f>
        <v>Home &amp; Kitchen</v>
      </c>
      <c r="J910" s="19">
        <f>INDEX(Products!$E$2:$E$101,MATCH(C910,Products!$A$2:$A$101,0))</f>
        <v>17.88</v>
      </c>
      <c r="K910" s="19">
        <f t="shared" si="43"/>
        <v>53.64</v>
      </c>
      <c r="L910" s="19">
        <f t="shared" si="44"/>
        <v>53.791500000000013</v>
      </c>
    </row>
    <row r="911" spans="1:12" ht="15" customHeight="1" x14ac:dyDescent="0.25">
      <c r="A911" s="10">
        <v>910</v>
      </c>
      <c r="B911" s="10">
        <v>289</v>
      </c>
      <c r="C911" s="10">
        <v>12</v>
      </c>
      <c r="D911" s="10">
        <v>5</v>
      </c>
      <c r="E911" s="19">
        <v>219.11</v>
      </c>
      <c r="F911" s="10">
        <v>0.1</v>
      </c>
      <c r="G911" s="19">
        <f t="shared" si="42"/>
        <v>985.99500000000023</v>
      </c>
      <c r="H911" s="10">
        <f>INDEX(Products!$C$2:$C$101,MATCH(C911,Products!$A$2:$A$101,0))</f>
        <v>2</v>
      </c>
      <c r="I911" s="10" t="str">
        <f>INDEX(Categories!$B$2:$B$11,MATCH(H911,Categories!$A$2:$A$11,0))</f>
        <v>Office Supplies</v>
      </c>
      <c r="J911" s="19">
        <f>INDEX(Products!$E$2:$E$101,MATCH(C911,Products!$A$2:$A$101,0))</f>
        <v>142.30000000000001</v>
      </c>
      <c r="K911" s="19">
        <f t="shared" si="43"/>
        <v>711.5</v>
      </c>
      <c r="L911" s="19">
        <f t="shared" si="44"/>
        <v>274.49500000000023</v>
      </c>
    </row>
    <row r="912" spans="1:12" ht="15" customHeight="1" x14ac:dyDescent="0.25">
      <c r="A912" s="10">
        <v>911</v>
      </c>
      <c r="B912" s="10">
        <v>289</v>
      </c>
      <c r="C912" s="10">
        <v>7</v>
      </c>
      <c r="D912" s="10">
        <v>10</v>
      </c>
      <c r="E912" s="19">
        <v>150.96</v>
      </c>
      <c r="F912" s="10">
        <v>0.1</v>
      </c>
      <c r="G912" s="19">
        <f t="shared" si="42"/>
        <v>1358.64</v>
      </c>
      <c r="H912" s="10">
        <f>INDEX(Products!$C$2:$C$101,MATCH(C912,Products!$A$2:$A$101,0))</f>
        <v>1</v>
      </c>
      <c r="I912" s="10" t="str">
        <f>INDEX(Categories!$B$2:$B$11,MATCH(H912,Categories!$A$2:$A$11,0))</f>
        <v>Electronics</v>
      </c>
      <c r="J912" s="19">
        <f>INDEX(Products!$E$2:$E$101,MATCH(C912,Products!$A$2:$A$101,0))</f>
        <v>83.86</v>
      </c>
      <c r="K912" s="19">
        <f t="shared" si="43"/>
        <v>838.6</v>
      </c>
      <c r="L912" s="19">
        <f t="shared" si="44"/>
        <v>520.04000000000008</v>
      </c>
    </row>
    <row r="913" spans="1:12" ht="15" customHeight="1" x14ac:dyDescent="0.25">
      <c r="A913" s="10">
        <v>912</v>
      </c>
      <c r="B913" s="10">
        <v>289</v>
      </c>
      <c r="C913" s="10">
        <v>14</v>
      </c>
      <c r="D913" s="10">
        <v>9</v>
      </c>
      <c r="E913" s="19">
        <v>342.37</v>
      </c>
      <c r="F913" s="10">
        <v>0</v>
      </c>
      <c r="G913" s="19">
        <f t="shared" si="42"/>
        <v>3081.33</v>
      </c>
      <c r="H913" s="10">
        <f>INDEX(Products!$C$2:$C$101,MATCH(C913,Products!$A$2:$A$101,0))</f>
        <v>2</v>
      </c>
      <c r="I913" s="10" t="str">
        <f>INDEX(Categories!$B$2:$B$11,MATCH(H913,Categories!$A$2:$A$11,0))</f>
        <v>Office Supplies</v>
      </c>
      <c r="J913" s="19">
        <f>INDEX(Products!$E$2:$E$101,MATCH(C913,Products!$A$2:$A$101,0))</f>
        <v>241.29</v>
      </c>
      <c r="K913" s="19">
        <f t="shared" si="43"/>
        <v>2171.61</v>
      </c>
      <c r="L913" s="19">
        <f t="shared" si="44"/>
        <v>909.7199999999998</v>
      </c>
    </row>
    <row r="914" spans="1:12" ht="15" customHeight="1" x14ac:dyDescent="0.25">
      <c r="A914" s="10">
        <v>913</v>
      </c>
      <c r="B914" s="10">
        <v>290</v>
      </c>
      <c r="C914" s="10">
        <v>9</v>
      </c>
      <c r="D914" s="10">
        <v>2</v>
      </c>
      <c r="E914" s="19">
        <v>255.18</v>
      </c>
      <c r="F914" s="10">
        <v>0</v>
      </c>
      <c r="G914" s="19">
        <f t="shared" si="42"/>
        <v>510.36</v>
      </c>
      <c r="H914" s="10">
        <f>INDEX(Products!$C$2:$C$101,MATCH(C914,Products!$A$2:$A$101,0))</f>
        <v>1</v>
      </c>
      <c r="I914" s="10" t="str">
        <f>INDEX(Categories!$B$2:$B$11,MATCH(H914,Categories!$A$2:$A$11,0))</f>
        <v>Electronics</v>
      </c>
      <c r="J914" s="19">
        <f>INDEX(Products!$E$2:$E$101,MATCH(C914,Products!$A$2:$A$101,0))</f>
        <v>188.01</v>
      </c>
      <c r="K914" s="19">
        <f t="shared" si="43"/>
        <v>376.02</v>
      </c>
      <c r="L914" s="19">
        <f t="shared" si="44"/>
        <v>134.34000000000003</v>
      </c>
    </row>
    <row r="915" spans="1:12" ht="15" customHeight="1" x14ac:dyDescent="0.25">
      <c r="A915" s="10">
        <v>914</v>
      </c>
      <c r="B915" s="10">
        <v>290</v>
      </c>
      <c r="C915" s="10">
        <v>98</v>
      </c>
      <c r="D915" s="10">
        <v>8</v>
      </c>
      <c r="E915" s="19">
        <v>67.48</v>
      </c>
      <c r="F915" s="10">
        <v>0</v>
      </c>
      <c r="G915" s="19">
        <f t="shared" si="42"/>
        <v>539.84</v>
      </c>
      <c r="H915" s="10">
        <f>INDEX(Products!$C$2:$C$101,MATCH(C915,Products!$A$2:$A$101,0))</f>
        <v>10</v>
      </c>
      <c r="I915" s="10" t="str">
        <f>INDEX(Categories!$B$2:$B$11,MATCH(H915,Categories!$A$2:$A$11,0))</f>
        <v>Groceries</v>
      </c>
      <c r="J915" s="19">
        <f>INDEX(Products!$E$2:$E$101,MATCH(C915,Products!$A$2:$A$101,0))</f>
        <v>35.64</v>
      </c>
      <c r="K915" s="19">
        <f t="shared" si="43"/>
        <v>285.12</v>
      </c>
      <c r="L915" s="19">
        <f t="shared" si="44"/>
        <v>254.72000000000003</v>
      </c>
    </row>
    <row r="916" spans="1:12" ht="15" customHeight="1" x14ac:dyDescent="0.25">
      <c r="A916" s="10">
        <v>915</v>
      </c>
      <c r="B916" s="10">
        <v>290</v>
      </c>
      <c r="C916" s="10">
        <v>55</v>
      </c>
      <c r="D916" s="10">
        <v>2</v>
      </c>
      <c r="E916" s="19">
        <v>378.27</v>
      </c>
      <c r="F916" s="10">
        <v>0.15</v>
      </c>
      <c r="G916" s="19">
        <f t="shared" si="42"/>
        <v>643.05899999999997</v>
      </c>
      <c r="H916" s="10">
        <f>INDEX(Products!$C$2:$C$101,MATCH(C916,Products!$A$2:$A$101,0))</f>
        <v>6</v>
      </c>
      <c r="I916" s="10" t="str">
        <f>INDEX(Categories!$B$2:$B$11,MATCH(H916,Categories!$A$2:$A$11,0))</f>
        <v>Sporting Goods</v>
      </c>
      <c r="J916" s="19">
        <f>INDEX(Products!$E$2:$E$101,MATCH(C916,Products!$A$2:$A$101,0))</f>
        <v>163.92</v>
      </c>
      <c r="K916" s="19">
        <f t="shared" si="43"/>
        <v>327.84</v>
      </c>
      <c r="L916" s="19">
        <f t="shared" si="44"/>
        <v>315.21899999999999</v>
      </c>
    </row>
    <row r="917" spans="1:12" ht="15" customHeight="1" x14ac:dyDescent="0.25">
      <c r="A917" s="10">
        <v>916</v>
      </c>
      <c r="B917" s="10">
        <v>290</v>
      </c>
      <c r="C917" s="10">
        <v>71</v>
      </c>
      <c r="D917" s="10">
        <v>5</v>
      </c>
      <c r="E917" s="19">
        <v>228.48</v>
      </c>
      <c r="F917" s="10">
        <v>0</v>
      </c>
      <c r="G917" s="19">
        <f t="shared" si="42"/>
        <v>1142.3999999999999</v>
      </c>
      <c r="H917" s="10">
        <f>INDEX(Products!$C$2:$C$101,MATCH(C917,Products!$A$2:$A$101,0))</f>
        <v>8</v>
      </c>
      <c r="I917" s="10" t="str">
        <f>INDEX(Categories!$B$2:$B$11,MATCH(H917,Categories!$A$2:$A$11,0))</f>
        <v>Health &amp; Beauty</v>
      </c>
      <c r="J917" s="19">
        <f>INDEX(Products!$E$2:$E$101,MATCH(C917,Products!$A$2:$A$101,0))</f>
        <v>136.03</v>
      </c>
      <c r="K917" s="19">
        <f t="shared" si="43"/>
        <v>680.15</v>
      </c>
      <c r="L917" s="19">
        <f t="shared" si="44"/>
        <v>462.24999999999989</v>
      </c>
    </row>
    <row r="918" spans="1:12" ht="15" customHeight="1" x14ac:dyDescent="0.25">
      <c r="A918" s="10">
        <v>917</v>
      </c>
      <c r="B918" s="10">
        <v>291</v>
      </c>
      <c r="C918" s="10">
        <v>12</v>
      </c>
      <c r="D918" s="10">
        <v>5</v>
      </c>
      <c r="E918" s="19">
        <v>219.11</v>
      </c>
      <c r="F918" s="10">
        <v>0.05</v>
      </c>
      <c r="G918" s="19">
        <f t="shared" si="42"/>
        <v>1040.7725</v>
      </c>
      <c r="H918" s="10">
        <f>INDEX(Products!$C$2:$C$101,MATCH(C918,Products!$A$2:$A$101,0))</f>
        <v>2</v>
      </c>
      <c r="I918" s="10" t="str">
        <f>INDEX(Categories!$B$2:$B$11,MATCH(H918,Categories!$A$2:$A$11,0))</f>
        <v>Office Supplies</v>
      </c>
      <c r="J918" s="19">
        <f>INDEX(Products!$E$2:$E$101,MATCH(C918,Products!$A$2:$A$101,0))</f>
        <v>142.30000000000001</v>
      </c>
      <c r="K918" s="19">
        <f t="shared" si="43"/>
        <v>711.5</v>
      </c>
      <c r="L918" s="19">
        <f t="shared" si="44"/>
        <v>329.27250000000004</v>
      </c>
    </row>
    <row r="919" spans="1:12" ht="15" customHeight="1" x14ac:dyDescent="0.25">
      <c r="A919" s="10">
        <v>918</v>
      </c>
      <c r="B919" s="10">
        <v>291</v>
      </c>
      <c r="C919" s="10">
        <v>62</v>
      </c>
      <c r="D919" s="10">
        <v>10</v>
      </c>
      <c r="E919" s="19">
        <v>321.75</v>
      </c>
      <c r="F919" s="10">
        <v>0.2</v>
      </c>
      <c r="G919" s="19">
        <f t="shared" si="42"/>
        <v>2574</v>
      </c>
      <c r="H919" s="10">
        <f>INDEX(Products!$C$2:$C$101,MATCH(C919,Products!$A$2:$A$101,0))</f>
        <v>7</v>
      </c>
      <c r="I919" s="10" t="str">
        <f>INDEX(Categories!$B$2:$B$11,MATCH(H919,Categories!$A$2:$A$11,0))</f>
        <v>Toys &amp; Games</v>
      </c>
      <c r="J919" s="19">
        <f>INDEX(Products!$E$2:$E$101,MATCH(C919,Products!$A$2:$A$101,0))</f>
        <v>138.66</v>
      </c>
      <c r="K919" s="19">
        <f t="shared" si="43"/>
        <v>1386.6</v>
      </c>
      <c r="L919" s="19">
        <f t="shared" si="44"/>
        <v>1187.4000000000001</v>
      </c>
    </row>
    <row r="920" spans="1:12" ht="15" customHeight="1" x14ac:dyDescent="0.25">
      <c r="A920" s="10">
        <v>919</v>
      </c>
      <c r="B920" s="10">
        <v>291</v>
      </c>
      <c r="C920" s="10">
        <v>93</v>
      </c>
      <c r="D920" s="10">
        <v>6</v>
      </c>
      <c r="E920" s="19">
        <v>288.39999999999998</v>
      </c>
      <c r="F920" s="10">
        <v>0</v>
      </c>
      <c r="G920" s="19">
        <f t="shared" si="42"/>
        <v>1730.3999999999999</v>
      </c>
      <c r="H920" s="10">
        <f>INDEX(Products!$C$2:$C$101,MATCH(C920,Products!$A$2:$A$101,0))</f>
        <v>10</v>
      </c>
      <c r="I920" s="10" t="str">
        <f>INDEX(Categories!$B$2:$B$11,MATCH(H920,Categories!$A$2:$A$11,0))</f>
        <v>Groceries</v>
      </c>
      <c r="J920" s="19">
        <f>INDEX(Products!$E$2:$E$101,MATCH(C920,Products!$A$2:$A$101,0))</f>
        <v>125.69</v>
      </c>
      <c r="K920" s="19">
        <f t="shared" si="43"/>
        <v>754.14</v>
      </c>
      <c r="L920" s="19">
        <f t="shared" si="44"/>
        <v>976.25999999999988</v>
      </c>
    </row>
    <row r="921" spans="1:12" ht="15" customHeight="1" x14ac:dyDescent="0.25">
      <c r="A921" s="10">
        <v>920</v>
      </c>
      <c r="B921" s="10">
        <v>291</v>
      </c>
      <c r="C921" s="10">
        <v>89</v>
      </c>
      <c r="D921" s="10">
        <v>9</v>
      </c>
      <c r="E921" s="19">
        <v>312.76</v>
      </c>
      <c r="F921" s="10">
        <v>0.1</v>
      </c>
      <c r="G921" s="19">
        <f t="shared" si="42"/>
        <v>2533.3560000000002</v>
      </c>
      <c r="H921" s="10">
        <f>INDEX(Products!$C$2:$C$101,MATCH(C921,Products!$A$2:$A$101,0))</f>
        <v>9</v>
      </c>
      <c r="I921" s="10" t="str">
        <f>INDEX(Categories!$B$2:$B$11,MATCH(H921,Categories!$A$2:$A$11,0))</f>
        <v>Automotive Parts</v>
      </c>
      <c r="J921" s="19">
        <f>INDEX(Products!$E$2:$E$101,MATCH(C921,Products!$A$2:$A$101,0))</f>
        <v>173.51</v>
      </c>
      <c r="K921" s="19">
        <f t="shared" si="43"/>
        <v>1561.59</v>
      </c>
      <c r="L921" s="19">
        <f t="shared" si="44"/>
        <v>971.7660000000003</v>
      </c>
    </row>
    <row r="922" spans="1:12" ht="15" customHeight="1" x14ac:dyDescent="0.25">
      <c r="A922" s="10">
        <v>921</v>
      </c>
      <c r="B922" s="10">
        <v>291</v>
      </c>
      <c r="C922" s="10">
        <v>78</v>
      </c>
      <c r="D922" s="10">
        <v>10</v>
      </c>
      <c r="E922" s="19">
        <v>178.61</v>
      </c>
      <c r="F922" s="10">
        <v>0</v>
      </c>
      <c r="G922" s="19">
        <f t="shared" si="42"/>
        <v>1786.1000000000001</v>
      </c>
      <c r="H922" s="10">
        <f>INDEX(Products!$C$2:$C$101,MATCH(C922,Products!$A$2:$A$101,0))</f>
        <v>8</v>
      </c>
      <c r="I922" s="10" t="str">
        <f>INDEX(Categories!$B$2:$B$11,MATCH(H922,Categories!$A$2:$A$11,0))</f>
        <v>Health &amp; Beauty</v>
      </c>
      <c r="J922" s="19">
        <f>INDEX(Products!$E$2:$E$101,MATCH(C922,Products!$A$2:$A$101,0))</f>
        <v>86.62</v>
      </c>
      <c r="K922" s="19">
        <f t="shared" si="43"/>
        <v>866.2</v>
      </c>
      <c r="L922" s="19">
        <f t="shared" si="44"/>
        <v>919.90000000000009</v>
      </c>
    </row>
    <row r="923" spans="1:12" ht="15" customHeight="1" x14ac:dyDescent="0.25">
      <c r="A923" s="10">
        <v>922</v>
      </c>
      <c r="B923" s="10">
        <v>292</v>
      </c>
      <c r="C923" s="10">
        <v>25</v>
      </c>
      <c r="D923" s="10">
        <v>1</v>
      </c>
      <c r="E923" s="19">
        <v>334.98</v>
      </c>
      <c r="F923" s="10">
        <v>0.05</v>
      </c>
      <c r="G923" s="19">
        <f t="shared" si="42"/>
        <v>318.23099999999999</v>
      </c>
      <c r="H923" s="10">
        <f>INDEX(Products!$C$2:$C$101,MATCH(C923,Products!$A$2:$A$101,0))</f>
        <v>3</v>
      </c>
      <c r="I923" s="10" t="str">
        <f>INDEX(Categories!$B$2:$B$11,MATCH(H923,Categories!$A$2:$A$11,0))</f>
        <v>Furniture</v>
      </c>
      <c r="J923" s="19">
        <f>INDEX(Products!$E$2:$E$101,MATCH(C923,Products!$A$2:$A$101,0))</f>
        <v>200.06</v>
      </c>
      <c r="K923" s="19">
        <f t="shared" si="43"/>
        <v>200.06</v>
      </c>
      <c r="L923" s="19">
        <f t="shared" si="44"/>
        <v>118.17099999999999</v>
      </c>
    </row>
    <row r="924" spans="1:12" ht="15" customHeight="1" x14ac:dyDescent="0.25">
      <c r="A924" s="10">
        <v>923</v>
      </c>
      <c r="B924" s="10">
        <v>292</v>
      </c>
      <c r="C924" s="10">
        <v>1</v>
      </c>
      <c r="D924" s="10">
        <v>2</v>
      </c>
      <c r="E924" s="19">
        <v>384.09</v>
      </c>
      <c r="F924" s="10">
        <v>0.15</v>
      </c>
      <c r="G924" s="19">
        <f t="shared" si="42"/>
        <v>652.95299999999997</v>
      </c>
      <c r="H924" s="10">
        <f>INDEX(Products!$C$2:$C$101,MATCH(C924,Products!$A$2:$A$101,0))</f>
        <v>1</v>
      </c>
      <c r="I924" s="10" t="str">
        <f>INDEX(Categories!$B$2:$B$11,MATCH(H924,Categories!$A$2:$A$11,0))</f>
        <v>Electronics</v>
      </c>
      <c r="J924" s="19">
        <f>INDEX(Products!$E$2:$E$101,MATCH(C924,Products!$A$2:$A$101,0))</f>
        <v>235.86</v>
      </c>
      <c r="K924" s="19">
        <f t="shared" si="43"/>
        <v>471.72</v>
      </c>
      <c r="L924" s="19">
        <f t="shared" si="44"/>
        <v>181.23299999999995</v>
      </c>
    </row>
    <row r="925" spans="1:12" ht="15" customHeight="1" x14ac:dyDescent="0.25">
      <c r="A925" s="10">
        <v>924</v>
      </c>
      <c r="B925" s="10">
        <v>292</v>
      </c>
      <c r="C925" s="10">
        <v>16</v>
      </c>
      <c r="D925" s="10">
        <v>4</v>
      </c>
      <c r="E925" s="19">
        <v>345.42</v>
      </c>
      <c r="F925" s="10">
        <v>0.2</v>
      </c>
      <c r="G925" s="19">
        <f t="shared" si="42"/>
        <v>1105.3440000000001</v>
      </c>
      <c r="H925" s="10">
        <f>INDEX(Products!$C$2:$C$101,MATCH(C925,Products!$A$2:$A$101,0))</f>
        <v>2</v>
      </c>
      <c r="I925" s="10" t="str">
        <f>INDEX(Categories!$B$2:$B$11,MATCH(H925,Categories!$A$2:$A$11,0))</f>
        <v>Office Supplies</v>
      </c>
      <c r="J925" s="19">
        <f>INDEX(Products!$E$2:$E$101,MATCH(C925,Products!$A$2:$A$101,0))</f>
        <v>173.58</v>
      </c>
      <c r="K925" s="19">
        <f t="shared" si="43"/>
        <v>694.32</v>
      </c>
      <c r="L925" s="19">
        <f t="shared" si="44"/>
        <v>411.024</v>
      </c>
    </row>
    <row r="926" spans="1:12" ht="15" customHeight="1" x14ac:dyDescent="0.25">
      <c r="A926" s="10">
        <v>925</v>
      </c>
      <c r="B926" s="10">
        <v>293</v>
      </c>
      <c r="C926" s="10">
        <v>2</v>
      </c>
      <c r="D926" s="10">
        <v>4</v>
      </c>
      <c r="E926" s="19">
        <v>286.57</v>
      </c>
      <c r="F926" s="10">
        <v>0.15</v>
      </c>
      <c r="G926" s="19">
        <f t="shared" si="42"/>
        <v>974.33799999999997</v>
      </c>
      <c r="H926" s="10">
        <f>INDEX(Products!$C$2:$C$101,MATCH(C926,Products!$A$2:$A$101,0))</f>
        <v>1</v>
      </c>
      <c r="I926" s="10" t="str">
        <f>INDEX(Categories!$B$2:$B$11,MATCH(H926,Categories!$A$2:$A$11,0))</f>
        <v>Electronics</v>
      </c>
      <c r="J926" s="19">
        <f>INDEX(Products!$E$2:$E$101,MATCH(C926,Products!$A$2:$A$101,0))</f>
        <v>135.94</v>
      </c>
      <c r="K926" s="19">
        <f t="shared" si="43"/>
        <v>543.76</v>
      </c>
      <c r="L926" s="19">
        <f t="shared" si="44"/>
        <v>430.57799999999997</v>
      </c>
    </row>
    <row r="927" spans="1:12" ht="15" customHeight="1" x14ac:dyDescent="0.25">
      <c r="A927" s="10">
        <v>926</v>
      </c>
      <c r="B927" s="10">
        <v>293</v>
      </c>
      <c r="C927" s="10">
        <v>82</v>
      </c>
      <c r="D927" s="10">
        <v>5</v>
      </c>
      <c r="E927" s="19">
        <v>390.74</v>
      </c>
      <c r="F927" s="10">
        <v>0</v>
      </c>
      <c r="G927" s="19">
        <f t="shared" si="42"/>
        <v>1953.7</v>
      </c>
      <c r="H927" s="10">
        <f>INDEX(Products!$C$2:$C$101,MATCH(C927,Products!$A$2:$A$101,0))</f>
        <v>9</v>
      </c>
      <c r="I927" s="10" t="str">
        <f>INDEX(Categories!$B$2:$B$11,MATCH(H927,Categories!$A$2:$A$11,0))</f>
        <v>Automotive Parts</v>
      </c>
      <c r="J927" s="19">
        <f>INDEX(Products!$E$2:$E$101,MATCH(C927,Products!$A$2:$A$101,0))</f>
        <v>218.53</v>
      </c>
      <c r="K927" s="19">
        <f t="shared" si="43"/>
        <v>1092.6500000000001</v>
      </c>
      <c r="L927" s="19">
        <f t="shared" si="44"/>
        <v>861.05</v>
      </c>
    </row>
    <row r="928" spans="1:12" ht="15" customHeight="1" x14ac:dyDescent="0.25">
      <c r="A928" s="10">
        <v>927</v>
      </c>
      <c r="B928" s="10">
        <v>294</v>
      </c>
      <c r="C928" s="10">
        <v>93</v>
      </c>
      <c r="D928" s="10">
        <v>3</v>
      </c>
      <c r="E928" s="19">
        <v>288.39999999999998</v>
      </c>
      <c r="F928" s="10">
        <v>0</v>
      </c>
      <c r="G928" s="19">
        <f t="shared" si="42"/>
        <v>865.19999999999993</v>
      </c>
      <c r="H928" s="10">
        <f>INDEX(Products!$C$2:$C$101,MATCH(C928,Products!$A$2:$A$101,0))</f>
        <v>10</v>
      </c>
      <c r="I928" s="10" t="str">
        <f>INDEX(Categories!$B$2:$B$11,MATCH(H928,Categories!$A$2:$A$11,0))</f>
        <v>Groceries</v>
      </c>
      <c r="J928" s="19">
        <f>INDEX(Products!$E$2:$E$101,MATCH(C928,Products!$A$2:$A$101,0))</f>
        <v>125.69</v>
      </c>
      <c r="K928" s="19">
        <f t="shared" si="43"/>
        <v>377.07</v>
      </c>
      <c r="L928" s="19">
        <f t="shared" si="44"/>
        <v>488.12999999999994</v>
      </c>
    </row>
    <row r="929" spans="1:12" ht="15" customHeight="1" x14ac:dyDescent="0.25">
      <c r="A929" s="10">
        <v>928</v>
      </c>
      <c r="B929" s="10">
        <v>294</v>
      </c>
      <c r="C929" s="10">
        <v>73</v>
      </c>
      <c r="D929" s="10">
        <v>6</v>
      </c>
      <c r="E929" s="19">
        <v>375.67</v>
      </c>
      <c r="F929" s="10">
        <v>0.2</v>
      </c>
      <c r="G929" s="19">
        <f t="shared" si="42"/>
        <v>1803.2160000000001</v>
      </c>
      <c r="H929" s="10">
        <f>INDEX(Products!$C$2:$C$101,MATCH(C929,Products!$A$2:$A$101,0))</f>
        <v>8</v>
      </c>
      <c r="I929" s="10" t="str">
        <f>INDEX(Categories!$B$2:$B$11,MATCH(H929,Categories!$A$2:$A$11,0))</f>
        <v>Health &amp; Beauty</v>
      </c>
      <c r="J929" s="19">
        <f>INDEX(Products!$E$2:$E$101,MATCH(C929,Products!$A$2:$A$101,0))</f>
        <v>214.44</v>
      </c>
      <c r="K929" s="19">
        <f t="shared" si="43"/>
        <v>1286.6399999999999</v>
      </c>
      <c r="L929" s="19">
        <f t="shared" si="44"/>
        <v>516.57600000000025</v>
      </c>
    </row>
    <row r="930" spans="1:12" ht="15" customHeight="1" x14ac:dyDescent="0.25">
      <c r="A930" s="10">
        <v>929</v>
      </c>
      <c r="B930" s="10">
        <v>294</v>
      </c>
      <c r="C930" s="10">
        <v>79</v>
      </c>
      <c r="D930" s="10">
        <v>6</v>
      </c>
      <c r="E930" s="19">
        <v>369.82</v>
      </c>
      <c r="F930" s="10">
        <v>0.15</v>
      </c>
      <c r="G930" s="19">
        <f t="shared" si="42"/>
        <v>1886.0820000000001</v>
      </c>
      <c r="H930" s="10">
        <f>INDEX(Products!$C$2:$C$101,MATCH(C930,Products!$A$2:$A$101,0))</f>
        <v>8</v>
      </c>
      <c r="I930" s="10" t="str">
        <f>INDEX(Categories!$B$2:$B$11,MATCH(H930,Categories!$A$2:$A$11,0))</f>
        <v>Health &amp; Beauty</v>
      </c>
      <c r="J930" s="19">
        <f>INDEX(Products!$E$2:$E$101,MATCH(C930,Products!$A$2:$A$101,0))</f>
        <v>215.26</v>
      </c>
      <c r="K930" s="19">
        <f t="shared" si="43"/>
        <v>1291.56</v>
      </c>
      <c r="L930" s="19">
        <f t="shared" si="44"/>
        <v>594.52200000000016</v>
      </c>
    </row>
    <row r="931" spans="1:12" ht="15" customHeight="1" x14ac:dyDescent="0.25">
      <c r="A931" s="10">
        <v>930</v>
      </c>
      <c r="B931" s="10">
        <v>294</v>
      </c>
      <c r="C931" s="10">
        <v>4</v>
      </c>
      <c r="D931" s="10">
        <v>8</v>
      </c>
      <c r="E931" s="19">
        <v>419.61</v>
      </c>
      <c r="F931" s="10">
        <v>0.05</v>
      </c>
      <c r="G931" s="19">
        <f t="shared" si="42"/>
        <v>3189.0360000000001</v>
      </c>
      <c r="H931" s="10">
        <f>INDEX(Products!$C$2:$C$101,MATCH(C931,Products!$A$2:$A$101,0))</f>
        <v>1</v>
      </c>
      <c r="I931" s="10" t="str">
        <f>INDEX(Categories!$B$2:$B$11,MATCH(H931,Categories!$A$2:$A$11,0))</f>
        <v>Electronics</v>
      </c>
      <c r="J931" s="19">
        <f>INDEX(Products!$E$2:$E$101,MATCH(C931,Products!$A$2:$A$101,0))</f>
        <v>200.14</v>
      </c>
      <c r="K931" s="19">
        <f t="shared" si="43"/>
        <v>1601.12</v>
      </c>
      <c r="L931" s="19">
        <f t="shared" si="44"/>
        <v>1587.9160000000002</v>
      </c>
    </row>
    <row r="932" spans="1:12" ht="15" customHeight="1" x14ac:dyDescent="0.25">
      <c r="A932" s="10">
        <v>931</v>
      </c>
      <c r="B932" s="10">
        <v>295</v>
      </c>
      <c r="C932" s="10">
        <v>96</v>
      </c>
      <c r="D932" s="10">
        <v>10</v>
      </c>
      <c r="E932" s="19">
        <v>266.72000000000003</v>
      </c>
      <c r="F932" s="10">
        <v>0.15</v>
      </c>
      <c r="G932" s="19">
        <f t="shared" si="42"/>
        <v>2267.1200000000003</v>
      </c>
      <c r="H932" s="10">
        <f>INDEX(Products!$C$2:$C$101,MATCH(C932,Products!$A$2:$A$101,0))</f>
        <v>10</v>
      </c>
      <c r="I932" s="10" t="str">
        <f>INDEX(Categories!$B$2:$B$11,MATCH(H932,Categories!$A$2:$A$11,0))</f>
        <v>Groceries</v>
      </c>
      <c r="J932" s="19">
        <f>INDEX(Products!$E$2:$E$101,MATCH(C932,Products!$A$2:$A$101,0))</f>
        <v>162.65</v>
      </c>
      <c r="K932" s="19">
        <f t="shared" si="43"/>
        <v>1626.5</v>
      </c>
      <c r="L932" s="19">
        <f t="shared" si="44"/>
        <v>640.62000000000035</v>
      </c>
    </row>
    <row r="933" spans="1:12" ht="15" customHeight="1" x14ac:dyDescent="0.25">
      <c r="A933" s="10">
        <v>932</v>
      </c>
      <c r="B933" s="10">
        <v>295</v>
      </c>
      <c r="C933" s="10">
        <v>8</v>
      </c>
      <c r="D933" s="10">
        <v>6</v>
      </c>
      <c r="E933" s="19">
        <v>418.1</v>
      </c>
      <c r="F933" s="10">
        <v>0.1</v>
      </c>
      <c r="G933" s="19">
        <f t="shared" si="42"/>
        <v>2257.7400000000002</v>
      </c>
      <c r="H933" s="10">
        <f>INDEX(Products!$C$2:$C$101,MATCH(C933,Products!$A$2:$A$101,0))</f>
        <v>1</v>
      </c>
      <c r="I933" s="10" t="str">
        <f>INDEX(Categories!$B$2:$B$11,MATCH(H933,Categories!$A$2:$A$11,0))</f>
        <v>Electronics</v>
      </c>
      <c r="J933" s="19">
        <f>INDEX(Products!$E$2:$E$101,MATCH(C933,Products!$A$2:$A$101,0))</f>
        <v>188.75</v>
      </c>
      <c r="K933" s="19">
        <f t="shared" si="43"/>
        <v>1132.5</v>
      </c>
      <c r="L933" s="19">
        <f t="shared" si="44"/>
        <v>1125.2400000000002</v>
      </c>
    </row>
    <row r="934" spans="1:12" ht="15" customHeight="1" x14ac:dyDescent="0.25">
      <c r="A934" s="10">
        <v>933</v>
      </c>
      <c r="B934" s="10">
        <v>295</v>
      </c>
      <c r="C934" s="10">
        <v>67</v>
      </c>
      <c r="D934" s="10">
        <v>9</v>
      </c>
      <c r="E934" s="19">
        <v>120.48</v>
      </c>
      <c r="F934" s="10">
        <v>0</v>
      </c>
      <c r="G934" s="19">
        <f t="shared" si="42"/>
        <v>1084.32</v>
      </c>
      <c r="H934" s="10">
        <f>INDEX(Products!$C$2:$C$101,MATCH(C934,Products!$A$2:$A$101,0))</f>
        <v>7</v>
      </c>
      <c r="I934" s="10" t="str">
        <f>INDEX(Categories!$B$2:$B$11,MATCH(H934,Categories!$A$2:$A$11,0))</f>
        <v>Toys &amp; Games</v>
      </c>
      <c r="J934" s="19">
        <f>INDEX(Products!$E$2:$E$101,MATCH(C934,Products!$A$2:$A$101,0))</f>
        <v>63.2</v>
      </c>
      <c r="K934" s="19">
        <f t="shared" si="43"/>
        <v>568.80000000000007</v>
      </c>
      <c r="L934" s="19">
        <f t="shared" si="44"/>
        <v>515.51999999999987</v>
      </c>
    </row>
    <row r="935" spans="1:12" ht="15" customHeight="1" x14ac:dyDescent="0.25">
      <c r="A935" s="10">
        <v>934</v>
      </c>
      <c r="B935" s="10">
        <v>295</v>
      </c>
      <c r="C935" s="10">
        <v>39</v>
      </c>
      <c r="D935" s="10">
        <v>4</v>
      </c>
      <c r="E935" s="19">
        <v>42.44</v>
      </c>
      <c r="F935" s="10">
        <v>0.1</v>
      </c>
      <c r="G935" s="19">
        <f t="shared" si="42"/>
        <v>152.78399999999999</v>
      </c>
      <c r="H935" s="10">
        <f>INDEX(Products!$C$2:$C$101,MATCH(C935,Products!$A$2:$A$101,0))</f>
        <v>4</v>
      </c>
      <c r="I935" s="10" t="str">
        <f>INDEX(Categories!$B$2:$B$11,MATCH(H935,Categories!$A$2:$A$11,0))</f>
        <v>Apparel</v>
      </c>
      <c r="J935" s="19">
        <f>INDEX(Products!$E$2:$E$101,MATCH(C935,Products!$A$2:$A$101,0))</f>
        <v>21.3</v>
      </c>
      <c r="K935" s="19">
        <f t="shared" si="43"/>
        <v>85.2</v>
      </c>
      <c r="L935" s="19">
        <f t="shared" si="44"/>
        <v>67.583999999999989</v>
      </c>
    </row>
    <row r="936" spans="1:12" ht="15" customHeight="1" x14ac:dyDescent="0.25">
      <c r="A936" s="10">
        <v>935</v>
      </c>
      <c r="B936" s="10">
        <v>296</v>
      </c>
      <c r="C936" s="10">
        <v>22</v>
      </c>
      <c r="D936" s="10">
        <v>10</v>
      </c>
      <c r="E936" s="19">
        <v>247.09</v>
      </c>
      <c r="F936" s="10">
        <v>0</v>
      </c>
      <c r="G936" s="19">
        <f t="shared" si="42"/>
        <v>2470.9</v>
      </c>
      <c r="H936" s="10">
        <f>INDEX(Products!$C$2:$C$101,MATCH(C936,Products!$A$2:$A$101,0))</f>
        <v>3</v>
      </c>
      <c r="I936" s="10" t="str">
        <f>INDEX(Categories!$B$2:$B$11,MATCH(H936,Categories!$A$2:$A$11,0))</f>
        <v>Furniture</v>
      </c>
      <c r="J936" s="19">
        <f>INDEX(Products!$E$2:$E$101,MATCH(C936,Products!$A$2:$A$101,0))</f>
        <v>149.34</v>
      </c>
      <c r="K936" s="19">
        <f t="shared" si="43"/>
        <v>1493.4</v>
      </c>
      <c r="L936" s="19">
        <f t="shared" si="44"/>
        <v>977.5</v>
      </c>
    </row>
    <row r="937" spans="1:12" ht="15" customHeight="1" x14ac:dyDescent="0.25">
      <c r="A937" s="10">
        <v>936</v>
      </c>
      <c r="B937" s="10">
        <v>296</v>
      </c>
      <c r="C937" s="10">
        <v>74</v>
      </c>
      <c r="D937" s="10">
        <v>5</v>
      </c>
      <c r="E937" s="19">
        <v>199.68</v>
      </c>
      <c r="F937" s="10">
        <v>0.15</v>
      </c>
      <c r="G937" s="19">
        <f t="shared" si="42"/>
        <v>848.6400000000001</v>
      </c>
      <c r="H937" s="10">
        <f>INDEX(Products!$C$2:$C$101,MATCH(C937,Products!$A$2:$A$101,0))</f>
        <v>8</v>
      </c>
      <c r="I937" s="10" t="str">
        <f>INDEX(Categories!$B$2:$B$11,MATCH(H937,Categories!$A$2:$A$11,0))</f>
        <v>Health &amp; Beauty</v>
      </c>
      <c r="J937" s="19">
        <f>INDEX(Products!$E$2:$E$101,MATCH(C937,Products!$A$2:$A$101,0))</f>
        <v>98.36</v>
      </c>
      <c r="K937" s="19">
        <f t="shared" si="43"/>
        <v>491.8</v>
      </c>
      <c r="L937" s="19">
        <f t="shared" si="44"/>
        <v>356.84000000000009</v>
      </c>
    </row>
    <row r="938" spans="1:12" ht="15" customHeight="1" x14ac:dyDescent="0.25">
      <c r="A938" s="10">
        <v>937</v>
      </c>
      <c r="B938" s="10">
        <v>296</v>
      </c>
      <c r="C938" s="10">
        <v>78</v>
      </c>
      <c r="D938" s="10">
        <v>6</v>
      </c>
      <c r="E938" s="19">
        <v>178.61</v>
      </c>
      <c r="F938" s="10">
        <v>0.15</v>
      </c>
      <c r="G938" s="19">
        <f t="shared" si="42"/>
        <v>910.91100000000006</v>
      </c>
      <c r="H938" s="10">
        <f>INDEX(Products!$C$2:$C$101,MATCH(C938,Products!$A$2:$A$101,0))</f>
        <v>8</v>
      </c>
      <c r="I938" s="10" t="str">
        <f>INDEX(Categories!$B$2:$B$11,MATCH(H938,Categories!$A$2:$A$11,0))</f>
        <v>Health &amp; Beauty</v>
      </c>
      <c r="J938" s="19">
        <f>INDEX(Products!$E$2:$E$101,MATCH(C938,Products!$A$2:$A$101,0))</f>
        <v>86.62</v>
      </c>
      <c r="K938" s="19">
        <f t="shared" si="43"/>
        <v>519.72</v>
      </c>
      <c r="L938" s="19">
        <f t="shared" si="44"/>
        <v>391.19100000000003</v>
      </c>
    </row>
    <row r="939" spans="1:12" ht="15" customHeight="1" x14ac:dyDescent="0.25">
      <c r="A939" s="10">
        <v>938</v>
      </c>
      <c r="B939" s="10">
        <v>296</v>
      </c>
      <c r="C939" s="10">
        <v>50</v>
      </c>
      <c r="D939" s="10">
        <v>1</v>
      </c>
      <c r="E939" s="19">
        <v>411.05</v>
      </c>
      <c r="F939" s="10">
        <v>0</v>
      </c>
      <c r="G939" s="19">
        <f t="shared" si="42"/>
        <v>411.05</v>
      </c>
      <c r="H939" s="10">
        <f>INDEX(Products!$C$2:$C$101,MATCH(C939,Products!$A$2:$A$101,0))</f>
        <v>5</v>
      </c>
      <c r="I939" s="10" t="str">
        <f>INDEX(Categories!$B$2:$B$11,MATCH(H939,Categories!$A$2:$A$11,0))</f>
        <v>Home &amp; Kitchen</v>
      </c>
      <c r="J939" s="19">
        <f>INDEX(Products!$E$2:$E$101,MATCH(C939,Products!$A$2:$A$101,0))</f>
        <v>230.53</v>
      </c>
      <c r="K939" s="19">
        <f t="shared" si="43"/>
        <v>230.53</v>
      </c>
      <c r="L939" s="19">
        <f t="shared" si="44"/>
        <v>180.52</v>
      </c>
    </row>
    <row r="940" spans="1:12" ht="15" customHeight="1" x14ac:dyDescent="0.25">
      <c r="A940" s="10">
        <v>939</v>
      </c>
      <c r="B940" s="10">
        <v>296</v>
      </c>
      <c r="C940" s="10">
        <v>24</v>
      </c>
      <c r="D940" s="10">
        <v>7</v>
      </c>
      <c r="E940" s="19">
        <v>158.72999999999999</v>
      </c>
      <c r="F940" s="10">
        <v>0</v>
      </c>
      <c r="G940" s="19">
        <f t="shared" si="42"/>
        <v>1111.1099999999999</v>
      </c>
      <c r="H940" s="10">
        <f>INDEX(Products!$C$2:$C$101,MATCH(C940,Products!$A$2:$A$101,0))</f>
        <v>3</v>
      </c>
      <c r="I940" s="10" t="str">
        <f>INDEX(Categories!$B$2:$B$11,MATCH(H940,Categories!$A$2:$A$11,0))</f>
        <v>Furniture</v>
      </c>
      <c r="J940" s="19">
        <f>INDEX(Products!$E$2:$E$101,MATCH(C940,Products!$A$2:$A$101,0))</f>
        <v>86.09</v>
      </c>
      <c r="K940" s="19">
        <f t="shared" si="43"/>
        <v>602.63</v>
      </c>
      <c r="L940" s="19">
        <f t="shared" si="44"/>
        <v>508.4799999999999</v>
      </c>
    </row>
    <row r="941" spans="1:12" ht="15" customHeight="1" x14ac:dyDescent="0.25">
      <c r="A941" s="10">
        <v>940</v>
      </c>
      <c r="B941" s="10">
        <v>297</v>
      </c>
      <c r="C941" s="10">
        <v>5</v>
      </c>
      <c r="D941" s="10">
        <v>2</v>
      </c>
      <c r="E941" s="19">
        <v>310.02</v>
      </c>
      <c r="F941" s="10">
        <v>0.05</v>
      </c>
      <c r="G941" s="19">
        <f t="shared" si="42"/>
        <v>589.0379999999999</v>
      </c>
      <c r="H941" s="10">
        <f>INDEX(Products!$C$2:$C$101,MATCH(C941,Products!$A$2:$A$101,0))</f>
        <v>1</v>
      </c>
      <c r="I941" s="10" t="str">
        <f>INDEX(Categories!$B$2:$B$11,MATCH(H941,Categories!$A$2:$A$11,0))</f>
        <v>Electronics</v>
      </c>
      <c r="J941" s="19">
        <f>INDEX(Products!$E$2:$E$101,MATCH(C941,Products!$A$2:$A$101,0))</f>
        <v>134.93</v>
      </c>
      <c r="K941" s="19">
        <f t="shared" si="43"/>
        <v>269.86</v>
      </c>
      <c r="L941" s="19">
        <f t="shared" si="44"/>
        <v>319.17799999999988</v>
      </c>
    </row>
    <row r="942" spans="1:12" ht="15" customHeight="1" x14ac:dyDescent="0.25">
      <c r="A942" s="10">
        <v>941</v>
      </c>
      <c r="B942" s="10">
        <v>297</v>
      </c>
      <c r="C942" s="10">
        <v>100</v>
      </c>
      <c r="D942" s="10">
        <v>9</v>
      </c>
      <c r="E942" s="19">
        <v>313.44</v>
      </c>
      <c r="F942" s="10">
        <v>0</v>
      </c>
      <c r="G942" s="19">
        <f t="shared" si="42"/>
        <v>2820.96</v>
      </c>
      <c r="H942" s="10">
        <f>INDEX(Products!$C$2:$C$101,MATCH(C942,Products!$A$2:$A$101,0))</f>
        <v>10</v>
      </c>
      <c r="I942" s="10" t="str">
        <f>INDEX(Categories!$B$2:$B$11,MATCH(H942,Categories!$A$2:$A$11,0))</f>
        <v>Groceries</v>
      </c>
      <c r="J942" s="19">
        <f>INDEX(Products!$E$2:$E$101,MATCH(C942,Products!$A$2:$A$101,0))</f>
        <v>187.4</v>
      </c>
      <c r="K942" s="19">
        <f t="shared" si="43"/>
        <v>1686.6000000000001</v>
      </c>
      <c r="L942" s="19">
        <f t="shared" si="44"/>
        <v>1134.3599999999999</v>
      </c>
    </row>
    <row r="943" spans="1:12" ht="15" customHeight="1" x14ac:dyDescent="0.25">
      <c r="A943" s="10">
        <v>942</v>
      </c>
      <c r="B943" s="10">
        <v>297</v>
      </c>
      <c r="C943" s="10">
        <v>26</v>
      </c>
      <c r="D943" s="10">
        <v>8</v>
      </c>
      <c r="E943" s="19">
        <v>262.08</v>
      </c>
      <c r="F943" s="10">
        <v>0.1</v>
      </c>
      <c r="G943" s="19">
        <f t="shared" si="42"/>
        <v>1886.9759999999999</v>
      </c>
      <c r="H943" s="10">
        <f>INDEX(Products!$C$2:$C$101,MATCH(C943,Products!$A$2:$A$101,0))</f>
        <v>3</v>
      </c>
      <c r="I943" s="10" t="str">
        <f>INDEX(Categories!$B$2:$B$11,MATCH(H943,Categories!$A$2:$A$11,0))</f>
        <v>Furniture</v>
      </c>
      <c r="J943" s="19">
        <f>INDEX(Products!$E$2:$E$101,MATCH(C943,Products!$A$2:$A$101,0))</f>
        <v>140.28</v>
      </c>
      <c r="K943" s="19">
        <f t="shared" si="43"/>
        <v>1122.24</v>
      </c>
      <c r="L943" s="19">
        <f t="shared" si="44"/>
        <v>764.73599999999988</v>
      </c>
    </row>
    <row r="944" spans="1:12" ht="15" customHeight="1" x14ac:dyDescent="0.25">
      <c r="A944" s="10">
        <v>943</v>
      </c>
      <c r="B944" s="10">
        <v>298</v>
      </c>
      <c r="C944" s="10">
        <v>67</v>
      </c>
      <c r="D944" s="10">
        <v>3</v>
      </c>
      <c r="E944" s="19">
        <v>120.48</v>
      </c>
      <c r="F944" s="10">
        <v>0</v>
      </c>
      <c r="G944" s="19">
        <f t="shared" si="42"/>
        <v>361.44</v>
      </c>
      <c r="H944" s="10">
        <f>INDEX(Products!$C$2:$C$101,MATCH(C944,Products!$A$2:$A$101,0))</f>
        <v>7</v>
      </c>
      <c r="I944" s="10" t="str">
        <f>INDEX(Categories!$B$2:$B$11,MATCH(H944,Categories!$A$2:$A$11,0))</f>
        <v>Toys &amp; Games</v>
      </c>
      <c r="J944" s="19">
        <f>INDEX(Products!$E$2:$E$101,MATCH(C944,Products!$A$2:$A$101,0))</f>
        <v>63.2</v>
      </c>
      <c r="K944" s="19">
        <f t="shared" si="43"/>
        <v>189.60000000000002</v>
      </c>
      <c r="L944" s="19">
        <f t="shared" si="44"/>
        <v>171.83999999999997</v>
      </c>
    </row>
    <row r="945" spans="1:12" ht="15" customHeight="1" x14ac:dyDescent="0.25">
      <c r="A945" s="10">
        <v>944</v>
      </c>
      <c r="B945" s="10">
        <v>299</v>
      </c>
      <c r="C945" s="10">
        <v>88</v>
      </c>
      <c r="D945" s="10">
        <v>10</v>
      </c>
      <c r="E945" s="19">
        <v>188.36</v>
      </c>
      <c r="F945" s="10">
        <v>0.2</v>
      </c>
      <c r="G945" s="19">
        <f t="shared" si="42"/>
        <v>1506.88</v>
      </c>
      <c r="H945" s="10">
        <f>INDEX(Products!$C$2:$C$101,MATCH(C945,Products!$A$2:$A$101,0))</f>
        <v>9</v>
      </c>
      <c r="I945" s="10" t="str">
        <f>INDEX(Categories!$B$2:$B$11,MATCH(H945,Categories!$A$2:$A$11,0))</f>
        <v>Automotive Parts</v>
      </c>
      <c r="J945" s="19">
        <f>INDEX(Products!$E$2:$E$101,MATCH(C945,Products!$A$2:$A$101,0))</f>
        <v>112.11</v>
      </c>
      <c r="K945" s="19">
        <f t="shared" si="43"/>
        <v>1121.0999999999999</v>
      </c>
      <c r="L945" s="19">
        <f t="shared" si="44"/>
        <v>385.7800000000002</v>
      </c>
    </row>
    <row r="946" spans="1:12" ht="15" customHeight="1" x14ac:dyDescent="0.25">
      <c r="A946" s="10">
        <v>945</v>
      </c>
      <c r="B946" s="10">
        <v>300</v>
      </c>
      <c r="C946" s="10">
        <v>82</v>
      </c>
      <c r="D946" s="10">
        <v>4</v>
      </c>
      <c r="E946" s="19">
        <v>390.74</v>
      </c>
      <c r="F946" s="10">
        <v>0</v>
      </c>
      <c r="G946" s="19">
        <f t="shared" si="42"/>
        <v>1562.96</v>
      </c>
      <c r="H946" s="10">
        <f>INDEX(Products!$C$2:$C$101,MATCH(C946,Products!$A$2:$A$101,0))</f>
        <v>9</v>
      </c>
      <c r="I946" s="10" t="str">
        <f>INDEX(Categories!$B$2:$B$11,MATCH(H946,Categories!$A$2:$A$11,0))</f>
        <v>Automotive Parts</v>
      </c>
      <c r="J946" s="19">
        <f>INDEX(Products!$E$2:$E$101,MATCH(C946,Products!$A$2:$A$101,0))</f>
        <v>218.53</v>
      </c>
      <c r="K946" s="19">
        <f t="shared" si="43"/>
        <v>874.12</v>
      </c>
      <c r="L946" s="19">
        <f t="shared" si="44"/>
        <v>688.84</v>
      </c>
    </row>
    <row r="947" spans="1:12" ht="15" customHeight="1" x14ac:dyDescent="0.25">
      <c r="A947" s="10">
        <v>946</v>
      </c>
      <c r="B947" s="10">
        <v>300</v>
      </c>
      <c r="C947" s="10">
        <v>27</v>
      </c>
      <c r="D947" s="10">
        <v>5</v>
      </c>
      <c r="E947" s="19">
        <v>263.93</v>
      </c>
      <c r="F947" s="10">
        <v>0</v>
      </c>
      <c r="G947" s="19">
        <f t="shared" si="42"/>
        <v>1319.65</v>
      </c>
      <c r="H947" s="10">
        <f>INDEX(Products!$C$2:$C$101,MATCH(C947,Products!$A$2:$A$101,0))</f>
        <v>3</v>
      </c>
      <c r="I947" s="10" t="str">
        <f>INDEX(Categories!$B$2:$B$11,MATCH(H947,Categories!$A$2:$A$11,0))</f>
        <v>Furniture</v>
      </c>
      <c r="J947" s="19">
        <f>INDEX(Products!$E$2:$E$101,MATCH(C947,Products!$A$2:$A$101,0))</f>
        <v>123.68</v>
      </c>
      <c r="K947" s="19">
        <f t="shared" si="43"/>
        <v>618.40000000000009</v>
      </c>
      <c r="L947" s="19">
        <f t="shared" si="44"/>
        <v>701.25</v>
      </c>
    </row>
    <row r="948" spans="1:12" ht="15" customHeight="1" x14ac:dyDescent="0.25">
      <c r="A948" s="10">
        <v>947</v>
      </c>
      <c r="B948" s="10">
        <v>300</v>
      </c>
      <c r="C948" s="10">
        <v>42</v>
      </c>
      <c r="D948" s="10">
        <v>9</v>
      </c>
      <c r="E948" s="19">
        <v>370</v>
      </c>
      <c r="F948" s="10">
        <v>0</v>
      </c>
      <c r="G948" s="19">
        <f t="shared" si="42"/>
        <v>3330</v>
      </c>
      <c r="H948" s="10">
        <f>INDEX(Products!$C$2:$C$101,MATCH(C948,Products!$A$2:$A$101,0))</f>
        <v>5</v>
      </c>
      <c r="I948" s="10" t="str">
        <f>INDEX(Categories!$B$2:$B$11,MATCH(H948,Categories!$A$2:$A$11,0))</f>
        <v>Home &amp; Kitchen</v>
      </c>
      <c r="J948" s="19">
        <f>INDEX(Products!$E$2:$E$101,MATCH(C948,Products!$A$2:$A$101,0))</f>
        <v>227.4</v>
      </c>
      <c r="K948" s="19">
        <f t="shared" si="43"/>
        <v>2046.6000000000001</v>
      </c>
      <c r="L948" s="19">
        <f t="shared" si="44"/>
        <v>1283.3999999999999</v>
      </c>
    </row>
    <row r="949" spans="1:12" ht="15" customHeight="1" x14ac:dyDescent="0.25">
      <c r="A949" s="10">
        <v>948</v>
      </c>
      <c r="B949" s="10">
        <v>301</v>
      </c>
      <c r="C949" s="10">
        <v>72</v>
      </c>
      <c r="D949" s="10">
        <v>6</v>
      </c>
      <c r="E949" s="19">
        <v>526.70000000000005</v>
      </c>
      <c r="F949" s="10">
        <v>0.1</v>
      </c>
      <c r="G949" s="19">
        <f t="shared" si="42"/>
        <v>2844.1800000000003</v>
      </c>
      <c r="H949" s="10">
        <f>INDEX(Products!$C$2:$C$101,MATCH(C949,Products!$A$2:$A$101,0))</f>
        <v>8</v>
      </c>
      <c r="I949" s="10" t="str">
        <f>INDEX(Categories!$B$2:$B$11,MATCH(H949,Categories!$A$2:$A$11,0))</f>
        <v>Health &amp; Beauty</v>
      </c>
      <c r="J949" s="19">
        <f>INDEX(Products!$E$2:$E$101,MATCH(C949,Products!$A$2:$A$101,0))</f>
        <v>233.41</v>
      </c>
      <c r="K949" s="19">
        <f t="shared" si="43"/>
        <v>1400.46</v>
      </c>
      <c r="L949" s="19">
        <f t="shared" si="44"/>
        <v>1443.7200000000003</v>
      </c>
    </row>
    <row r="950" spans="1:12" ht="15" customHeight="1" x14ac:dyDescent="0.25">
      <c r="A950" s="10">
        <v>949</v>
      </c>
      <c r="B950" s="10">
        <v>301</v>
      </c>
      <c r="C950" s="10">
        <v>66</v>
      </c>
      <c r="D950" s="10">
        <v>6</v>
      </c>
      <c r="E950" s="19">
        <v>155.88</v>
      </c>
      <c r="F950" s="10">
        <v>0</v>
      </c>
      <c r="G950" s="19">
        <f t="shared" si="42"/>
        <v>935.28</v>
      </c>
      <c r="H950" s="10">
        <f>INDEX(Products!$C$2:$C$101,MATCH(C950,Products!$A$2:$A$101,0))</f>
        <v>7</v>
      </c>
      <c r="I950" s="10" t="str">
        <f>INDEX(Categories!$B$2:$B$11,MATCH(H950,Categories!$A$2:$A$11,0))</f>
        <v>Toys &amp; Games</v>
      </c>
      <c r="J950" s="19">
        <f>INDEX(Products!$E$2:$E$101,MATCH(C950,Products!$A$2:$A$101,0))</f>
        <v>75.09</v>
      </c>
      <c r="K950" s="19">
        <f t="shared" si="43"/>
        <v>450.54</v>
      </c>
      <c r="L950" s="19">
        <f t="shared" si="44"/>
        <v>484.73999999999995</v>
      </c>
    </row>
    <row r="951" spans="1:12" ht="15" customHeight="1" x14ac:dyDescent="0.25">
      <c r="A951" s="10">
        <v>950</v>
      </c>
      <c r="B951" s="10">
        <v>301</v>
      </c>
      <c r="C951" s="10">
        <v>14</v>
      </c>
      <c r="D951" s="10">
        <v>3</v>
      </c>
      <c r="E951" s="19">
        <v>342.37</v>
      </c>
      <c r="F951" s="10">
        <v>0.15</v>
      </c>
      <c r="G951" s="19">
        <f t="shared" si="42"/>
        <v>873.04350000000011</v>
      </c>
      <c r="H951" s="10">
        <f>INDEX(Products!$C$2:$C$101,MATCH(C951,Products!$A$2:$A$101,0))</f>
        <v>2</v>
      </c>
      <c r="I951" s="10" t="str">
        <f>INDEX(Categories!$B$2:$B$11,MATCH(H951,Categories!$A$2:$A$11,0))</f>
        <v>Office Supplies</v>
      </c>
      <c r="J951" s="19">
        <f>INDEX(Products!$E$2:$E$101,MATCH(C951,Products!$A$2:$A$101,0))</f>
        <v>241.29</v>
      </c>
      <c r="K951" s="19">
        <f t="shared" si="43"/>
        <v>723.87</v>
      </c>
      <c r="L951" s="19">
        <f t="shared" si="44"/>
        <v>149.1735000000001</v>
      </c>
    </row>
    <row r="952" spans="1:12" ht="15" customHeight="1" x14ac:dyDescent="0.25">
      <c r="A952" s="10">
        <v>951</v>
      </c>
      <c r="B952" s="10">
        <v>301</v>
      </c>
      <c r="C952" s="10">
        <v>27</v>
      </c>
      <c r="D952" s="10">
        <v>5</v>
      </c>
      <c r="E952" s="19">
        <v>263.93</v>
      </c>
      <c r="F952" s="10">
        <v>0.1</v>
      </c>
      <c r="G952" s="19">
        <f t="shared" si="42"/>
        <v>1187.6850000000002</v>
      </c>
      <c r="H952" s="10">
        <f>INDEX(Products!$C$2:$C$101,MATCH(C952,Products!$A$2:$A$101,0))</f>
        <v>3</v>
      </c>
      <c r="I952" s="10" t="str">
        <f>INDEX(Categories!$B$2:$B$11,MATCH(H952,Categories!$A$2:$A$11,0))</f>
        <v>Furniture</v>
      </c>
      <c r="J952" s="19">
        <f>INDEX(Products!$E$2:$E$101,MATCH(C952,Products!$A$2:$A$101,0))</f>
        <v>123.68</v>
      </c>
      <c r="K952" s="19">
        <f t="shared" si="43"/>
        <v>618.40000000000009</v>
      </c>
      <c r="L952" s="19">
        <f t="shared" si="44"/>
        <v>569.28500000000008</v>
      </c>
    </row>
    <row r="953" spans="1:12" ht="15" customHeight="1" x14ac:dyDescent="0.25">
      <c r="A953" s="10">
        <v>952</v>
      </c>
      <c r="B953" s="10">
        <v>301</v>
      </c>
      <c r="C953" s="10">
        <v>70</v>
      </c>
      <c r="D953" s="10">
        <v>4</v>
      </c>
      <c r="E953" s="19">
        <v>149.31</v>
      </c>
      <c r="F953" s="10">
        <v>0</v>
      </c>
      <c r="G953" s="19">
        <f t="shared" si="42"/>
        <v>597.24</v>
      </c>
      <c r="H953" s="10">
        <f>INDEX(Products!$C$2:$C$101,MATCH(C953,Products!$A$2:$A$101,0))</f>
        <v>7</v>
      </c>
      <c r="I953" s="10" t="str">
        <f>INDEX(Categories!$B$2:$B$11,MATCH(H953,Categories!$A$2:$A$11,0))</f>
        <v>Toys &amp; Games</v>
      </c>
      <c r="J953" s="19">
        <f>INDEX(Products!$E$2:$E$101,MATCH(C953,Products!$A$2:$A$101,0))</f>
        <v>76.739999999999995</v>
      </c>
      <c r="K953" s="19">
        <f t="shared" si="43"/>
        <v>306.95999999999998</v>
      </c>
      <c r="L953" s="19">
        <f t="shared" si="44"/>
        <v>290.28000000000003</v>
      </c>
    </row>
    <row r="954" spans="1:12" ht="15" customHeight="1" x14ac:dyDescent="0.25">
      <c r="A954" s="10">
        <v>953</v>
      </c>
      <c r="B954" s="10">
        <v>302</v>
      </c>
      <c r="C954" s="10">
        <v>87</v>
      </c>
      <c r="D954" s="10">
        <v>1</v>
      </c>
      <c r="E954" s="19">
        <v>407.7</v>
      </c>
      <c r="F954" s="10">
        <v>0</v>
      </c>
      <c r="G954" s="19">
        <f t="shared" si="42"/>
        <v>407.7</v>
      </c>
      <c r="H954" s="10">
        <f>INDEX(Products!$C$2:$C$101,MATCH(C954,Products!$A$2:$A$101,0))</f>
        <v>9</v>
      </c>
      <c r="I954" s="10" t="str">
        <f>INDEX(Categories!$B$2:$B$11,MATCH(H954,Categories!$A$2:$A$11,0))</f>
        <v>Automotive Parts</v>
      </c>
      <c r="J954" s="19">
        <f>INDEX(Products!$E$2:$E$101,MATCH(C954,Products!$A$2:$A$101,0))</f>
        <v>225.03</v>
      </c>
      <c r="K954" s="19">
        <f t="shared" si="43"/>
        <v>225.03</v>
      </c>
      <c r="L954" s="19">
        <f t="shared" si="44"/>
        <v>182.67</v>
      </c>
    </row>
    <row r="955" spans="1:12" ht="15" customHeight="1" x14ac:dyDescent="0.25">
      <c r="A955" s="10">
        <v>954</v>
      </c>
      <c r="B955" s="10">
        <v>302</v>
      </c>
      <c r="C955" s="10">
        <v>7</v>
      </c>
      <c r="D955" s="10">
        <v>7</v>
      </c>
      <c r="E955" s="19">
        <v>150.96</v>
      </c>
      <c r="F955" s="10">
        <v>0.05</v>
      </c>
      <c r="G955" s="19">
        <f t="shared" si="42"/>
        <v>1003.884</v>
      </c>
      <c r="H955" s="10">
        <f>INDEX(Products!$C$2:$C$101,MATCH(C955,Products!$A$2:$A$101,0))</f>
        <v>1</v>
      </c>
      <c r="I955" s="10" t="str">
        <f>INDEX(Categories!$B$2:$B$11,MATCH(H955,Categories!$A$2:$A$11,0))</f>
        <v>Electronics</v>
      </c>
      <c r="J955" s="19">
        <f>INDEX(Products!$E$2:$E$101,MATCH(C955,Products!$A$2:$A$101,0))</f>
        <v>83.86</v>
      </c>
      <c r="K955" s="19">
        <f t="shared" si="43"/>
        <v>587.02</v>
      </c>
      <c r="L955" s="19">
        <f t="shared" si="44"/>
        <v>416.86400000000003</v>
      </c>
    </row>
    <row r="956" spans="1:12" ht="15" customHeight="1" x14ac:dyDescent="0.25">
      <c r="A956" s="10">
        <v>955</v>
      </c>
      <c r="B956" s="10">
        <v>302</v>
      </c>
      <c r="C956" s="10">
        <v>14</v>
      </c>
      <c r="D956" s="10">
        <v>3</v>
      </c>
      <c r="E956" s="19">
        <v>342.37</v>
      </c>
      <c r="F956" s="10">
        <v>0.15</v>
      </c>
      <c r="G956" s="19">
        <f t="shared" si="42"/>
        <v>873.04350000000011</v>
      </c>
      <c r="H956" s="10">
        <f>INDEX(Products!$C$2:$C$101,MATCH(C956,Products!$A$2:$A$101,0))</f>
        <v>2</v>
      </c>
      <c r="I956" s="10" t="str">
        <f>INDEX(Categories!$B$2:$B$11,MATCH(H956,Categories!$A$2:$A$11,0))</f>
        <v>Office Supplies</v>
      </c>
      <c r="J956" s="19">
        <f>INDEX(Products!$E$2:$E$101,MATCH(C956,Products!$A$2:$A$101,0))</f>
        <v>241.29</v>
      </c>
      <c r="K956" s="19">
        <f t="shared" si="43"/>
        <v>723.87</v>
      </c>
      <c r="L956" s="19">
        <f t="shared" si="44"/>
        <v>149.1735000000001</v>
      </c>
    </row>
    <row r="957" spans="1:12" ht="15" customHeight="1" x14ac:dyDescent="0.25">
      <c r="A957" s="10">
        <v>956</v>
      </c>
      <c r="B957" s="10">
        <v>302</v>
      </c>
      <c r="C957" s="10">
        <v>50</v>
      </c>
      <c r="D957" s="10">
        <v>10</v>
      </c>
      <c r="E957" s="19">
        <v>411.05</v>
      </c>
      <c r="F957" s="10">
        <v>0.1</v>
      </c>
      <c r="G957" s="19">
        <f t="shared" si="42"/>
        <v>3699.4500000000003</v>
      </c>
      <c r="H957" s="10">
        <f>INDEX(Products!$C$2:$C$101,MATCH(C957,Products!$A$2:$A$101,0))</f>
        <v>5</v>
      </c>
      <c r="I957" s="10" t="str">
        <f>INDEX(Categories!$B$2:$B$11,MATCH(H957,Categories!$A$2:$A$11,0))</f>
        <v>Home &amp; Kitchen</v>
      </c>
      <c r="J957" s="19">
        <f>INDEX(Products!$E$2:$E$101,MATCH(C957,Products!$A$2:$A$101,0))</f>
        <v>230.53</v>
      </c>
      <c r="K957" s="19">
        <f t="shared" si="43"/>
        <v>2305.3000000000002</v>
      </c>
      <c r="L957" s="19">
        <f t="shared" si="44"/>
        <v>1394.15</v>
      </c>
    </row>
    <row r="958" spans="1:12" ht="15" customHeight="1" x14ac:dyDescent="0.25">
      <c r="A958" s="10">
        <v>957</v>
      </c>
      <c r="B958" s="10">
        <v>303</v>
      </c>
      <c r="C958" s="10">
        <v>11</v>
      </c>
      <c r="D958" s="10">
        <v>3</v>
      </c>
      <c r="E958" s="19">
        <v>417.1</v>
      </c>
      <c r="F958" s="10">
        <v>0</v>
      </c>
      <c r="G958" s="19">
        <f t="shared" si="42"/>
        <v>1251.3000000000002</v>
      </c>
      <c r="H958" s="10">
        <f>INDEX(Products!$C$2:$C$101,MATCH(C958,Products!$A$2:$A$101,0))</f>
        <v>2</v>
      </c>
      <c r="I958" s="10" t="str">
        <f>INDEX(Categories!$B$2:$B$11,MATCH(H958,Categories!$A$2:$A$11,0))</f>
        <v>Office Supplies</v>
      </c>
      <c r="J958" s="19">
        <f>INDEX(Products!$E$2:$E$101,MATCH(C958,Products!$A$2:$A$101,0))</f>
        <v>210.29</v>
      </c>
      <c r="K958" s="19">
        <f t="shared" si="43"/>
        <v>630.87</v>
      </c>
      <c r="L958" s="19">
        <f t="shared" si="44"/>
        <v>620.43000000000018</v>
      </c>
    </row>
    <row r="959" spans="1:12" ht="15" customHeight="1" x14ac:dyDescent="0.25">
      <c r="A959" s="10">
        <v>958</v>
      </c>
      <c r="B959" s="10">
        <v>303</v>
      </c>
      <c r="C959" s="10">
        <v>97</v>
      </c>
      <c r="D959" s="10">
        <v>8</v>
      </c>
      <c r="E959" s="19">
        <v>81.58</v>
      </c>
      <c r="F959" s="10">
        <v>0</v>
      </c>
      <c r="G959" s="19">
        <f t="shared" si="42"/>
        <v>652.64</v>
      </c>
      <c r="H959" s="10">
        <f>INDEX(Products!$C$2:$C$101,MATCH(C959,Products!$A$2:$A$101,0))</f>
        <v>10</v>
      </c>
      <c r="I959" s="10" t="str">
        <f>INDEX(Categories!$B$2:$B$11,MATCH(H959,Categories!$A$2:$A$11,0))</f>
        <v>Groceries</v>
      </c>
      <c r="J959" s="19">
        <f>INDEX(Products!$E$2:$E$101,MATCH(C959,Products!$A$2:$A$101,0))</f>
        <v>35.46</v>
      </c>
      <c r="K959" s="19">
        <f t="shared" si="43"/>
        <v>283.68</v>
      </c>
      <c r="L959" s="19">
        <f t="shared" si="44"/>
        <v>368.96</v>
      </c>
    </row>
    <row r="960" spans="1:12" ht="15" customHeight="1" x14ac:dyDescent="0.25">
      <c r="A960" s="10">
        <v>959</v>
      </c>
      <c r="B960" s="10">
        <v>303</v>
      </c>
      <c r="C960" s="10">
        <v>98</v>
      </c>
      <c r="D960" s="10">
        <v>8</v>
      </c>
      <c r="E960" s="19">
        <v>67.48</v>
      </c>
      <c r="F960" s="10">
        <v>0</v>
      </c>
      <c r="G960" s="19">
        <f t="shared" si="42"/>
        <v>539.84</v>
      </c>
      <c r="H960" s="10">
        <f>INDEX(Products!$C$2:$C$101,MATCH(C960,Products!$A$2:$A$101,0))</f>
        <v>10</v>
      </c>
      <c r="I960" s="10" t="str">
        <f>INDEX(Categories!$B$2:$B$11,MATCH(H960,Categories!$A$2:$A$11,0))</f>
        <v>Groceries</v>
      </c>
      <c r="J960" s="19">
        <f>INDEX(Products!$E$2:$E$101,MATCH(C960,Products!$A$2:$A$101,0))</f>
        <v>35.64</v>
      </c>
      <c r="K960" s="19">
        <f t="shared" si="43"/>
        <v>285.12</v>
      </c>
      <c r="L960" s="19">
        <f t="shared" si="44"/>
        <v>254.72000000000003</v>
      </c>
    </row>
    <row r="961" spans="1:12" ht="15" customHeight="1" x14ac:dyDescent="0.25">
      <c r="A961" s="10">
        <v>960</v>
      </c>
      <c r="B961" s="10">
        <v>303</v>
      </c>
      <c r="C961" s="10">
        <v>60</v>
      </c>
      <c r="D961" s="10">
        <v>8</v>
      </c>
      <c r="E961" s="19">
        <v>313.82</v>
      </c>
      <c r="F961" s="10">
        <v>0.05</v>
      </c>
      <c r="G961" s="19">
        <f t="shared" si="42"/>
        <v>2385.0319999999997</v>
      </c>
      <c r="H961" s="10">
        <f>INDEX(Products!$C$2:$C$101,MATCH(C961,Products!$A$2:$A$101,0))</f>
        <v>6</v>
      </c>
      <c r="I961" s="10" t="str">
        <f>INDEX(Categories!$B$2:$B$11,MATCH(H961,Categories!$A$2:$A$11,0))</f>
        <v>Sporting Goods</v>
      </c>
      <c r="J961" s="19">
        <f>INDEX(Products!$E$2:$E$101,MATCH(C961,Products!$A$2:$A$101,0))</f>
        <v>165.44</v>
      </c>
      <c r="K961" s="19">
        <f t="shared" si="43"/>
        <v>1323.52</v>
      </c>
      <c r="L961" s="19">
        <f t="shared" si="44"/>
        <v>1061.5119999999997</v>
      </c>
    </row>
    <row r="962" spans="1:12" ht="15" customHeight="1" x14ac:dyDescent="0.25">
      <c r="A962" s="10">
        <v>961</v>
      </c>
      <c r="B962" s="10">
        <v>303</v>
      </c>
      <c r="C962" s="10">
        <v>73</v>
      </c>
      <c r="D962" s="10">
        <v>4</v>
      </c>
      <c r="E962" s="19">
        <v>375.67</v>
      </c>
      <c r="F962" s="10">
        <v>0</v>
      </c>
      <c r="G962" s="19">
        <f t="shared" ref="G962:G1025" si="45">D962*E962*(1-F962)</f>
        <v>1502.68</v>
      </c>
      <c r="H962" s="10">
        <f>INDEX(Products!$C$2:$C$101,MATCH(C962,Products!$A$2:$A$101,0))</f>
        <v>8</v>
      </c>
      <c r="I962" s="10" t="str">
        <f>INDEX(Categories!$B$2:$B$11,MATCH(H962,Categories!$A$2:$A$11,0))</f>
        <v>Health &amp; Beauty</v>
      </c>
      <c r="J962" s="19">
        <f>INDEX(Products!$E$2:$E$101,MATCH(C962,Products!$A$2:$A$101,0))</f>
        <v>214.44</v>
      </c>
      <c r="K962" s="19">
        <f t="shared" ref="K962:K1025" si="46">D962*J962</f>
        <v>857.76</v>
      </c>
      <c r="L962" s="19">
        <f t="shared" ref="L962:L1025" si="47">G962-K962</f>
        <v>644.92000000000007</v>
      </c>
    </row>
    <row r="963" spans="1:12" ht="15" customHeight="1" x14ac:dyDescent="0.25">
      <c r="A963" s="10">
        <v>962</v>
      </c>
      <c r="B963" s="10">
        <v>304</v>
      </c>
      <c r="C963" s="10">
        <v>63</v>
      </c>
      <c r="D963" s="10">
        <v>2</v>
      </c>
      <c r="E963" s="19">
        <v>20.190000000000001</v>
      </c>
      <c r="F963" s="10">
        <v>0</v>
      </c>
      <c r="G963" s="19">
        <f t="shared" si="45"/>
        <v>40.380000000000003</v>
      </c>
      <c r="H963" s="10">
        <f>INDEX(Products!$C$2:$C$101,MATCH(C963,Products!$A$2:$A$101,0))</f>
        <v>7</v>
      </c>
      <c r="I963" s="10" t="str">
        <f>INDEX(Categories!$B$2:$B$11,MATCH(H963,Categories!$A$2:$A$11,0))</f>
        <v>Toys &amp; Games</v>
      </c>
      <c r="J963" s="19">
        <f>INDEX(Products!$E$2:$E$101,MATCH(C963,Products!$A$2:$A$101,0))</f>
        <v>10.130000000000001</v>
      </c>
      <c r="K963" s="19">
        <f t="shared" si="46"/>
        <v>20.260000000000002</v>
      </c>
      <c r="L963" s="19">
        <f t="shared" si="47"/>
        <v>20.12</v>
      </c>
    </row>
    <row r="964" spans="1:12" ht="15" customHeight="1" x14ac:dyDescent="0.25">
      <c r="A964" s="10">
        <v>963</v>
      </c>
      <c r="B964" s="10">
        <v>304</v>
      </c>
      <c r="C964" s="10">
        <v>4</v>
      </c>
      <c r="D964" s="10">
        <v>8</v>
      </c>
      <c r="E964" s="19">
        <v>419.61</v>
      </c>
      <c r="F964" s="10">
        <v>0.05</v>
      </c>
      <c r="G964" s="19">
        <f t="shared" si="45"/>
        <v>3189.0360000000001</v>
      </c>
      <c r="H964" s="10">
        <f>INDEX(Products!$C$2:$C$101,MATCH(C964,Products!$A$2:$A$101,0))</f>
        <v>1</v>
      </c>
      <c r="I964" s="10" t="str">
        <f>INDEX(Categories!$B$2:$B$11,MATCH(H964,Categories!$A$2:$A$11,0))</f>
        <v>Electronics</v>
      </c>
      <c r="J964" s="19">
        <f>INDEX(Products!$E$2:$E$101,MATCH(C964,Products!$A$2:$A$101,0))</f>
        <v>200.14</v>
      </c>
      <c r="K964" s="19">
        <f t="shared" si="46"/>
        <v>1601.12</v>
      </c>
      <c r="L964" s="19">
        <f t="shared" si="47"/>
        <v>1587.9160000000002</v>
      </c>
    </row>
    <row r="965" spans="1:12" ht="15" customHeight="1" x14ac:dyDescent="0.25">
      <c r="A965" s="10">
        <v>964</v>
      </c>
      <c r="B965" s="10">
        <v>304</v>
      </c>
      <c r="C965" s="10">
        <v>9</v>
      </c>
      <c r="D965" s="10">
        <v>3</v>
      </c>
      <c r="E965" s="19">
        <v>255.18</v>
      </c>
      <c r="F965" s="10">
        <v>0</v>
      </c>
      <c r="G965" s="19">
        <f t="shared" si="45"/>
        <v>765.54</v>
      </c>
      <c r="H965" s="10">
        <f>INDEX(Products!$C$2:$C$101,MATCH(C965,Products!$A$2:$A$101,0))</f>
        <v>1</v>
      </c>
      <c r="I965" s="10" t="str">
        <f>INDEX(Categories!$B$2:$B$11,MATCH(H965,Categories!$A$2:$A$11,0))</f>
        <v>Electronics</v>
      </c>
      <c r="J965" s="19">
        <f>INDEX(Products!$E$2:$E$101,MATCH(C965,Products!$A$2:$A$101,0))</f>
        <v>188.01</v>
      </c>
      <c r="K965" s="19">
        <f t="shared" si="46"/>
        <v>564.03</v>
      </c>
      <c r="L965" s="19">
        <f t="shared" si="47"/>
        <v>201.51</v>
      </c>
    </row>
    <row r="966" spans="1:12" ht="15" customHeight="1" x14ac:dyDescent="0.25">
      <c r="A966" s="10">
        <v>965</v>
      </c>
      <c r="B966" s="10">
        <v>304</v>
      </c>
      <c r="C966" s="10">
        <v>61</v>
      </c>
      <c r="D966" s="10">
        <v>6</v>
      </c>
      <c r="E966" s="19">
        <v>289.8</v>
      </c>
      <c r="F966" s="10">
        <v>0.1</v>
      </c>
      <c r="G966" s="19">
        <f t="shared" si="45"/>
        <v>1564.9200000000003</v>
      </c>
      <c r="H966" s="10">
        <f>INDEX(Products!$C$2:$C$101,MATCH(C966,Products!$A$2:$A$101,0))</f>
        <v>7</v>
      </c>
      <c r="I966" s="10" t="str">
        <f>INDEX(Categories!$B$2:$B$11,MATCH(H966,Categories!$A$2:$A$11,0))</f>
        <v>Toys &amp; Games</v>
      </c>
      <c r="J966" s="19">
        <f>INDEX(Products!$E$2:$E$101,MATCH(C966,Products!$A$2:$A$101,0))</f>
        <v>156.79</v>
      </c>
      <c r="K966" s="19">
        <f t="shared" si="46"/>
        <v>940.74</v>
      </c>
      <c r="L966" s="19">
        <f t="shared" si="47"/>
        <v>624.18000000000029</v>
      </c>
    </row>
    <row r="967" spans="1:12" ht="15" customHeight="1" x14ac:dyDescent="0.25">
      <c r="A967" s="10">
        <v>966</v>
      </c>
      <c r="B967" s="10">
        <v>305</v>
      </c>
      <c r="C967" s="10">
        <v>39</v>
      </c>
      <c r="D967" s="10">
        <v>9</v>
      </c>
      <c r="E967" s="19">
        <v>42.44</v>
      </c>
      <c r="F967" s="10">
        <v>0.05</v>
      </c>
      <c r="G967" s="19">
        <f t="shared" si="45"/>
        <v>362.86199999999997</v>
      </c>
      <c r="H967" s="10">
        <f>INDEX(Products!$C$2:$C$101,MATCH(C967,Products!$A$2:$A$101,0))</f>
        <v>4</v>
      </c>
      <c r="I967" s="10" t="str">
        <f>INDEX(Categories!$B$2:$B$11,MATCH(H967,Categories!$A$2:$A$11,0))</f>
        <v>Apparel</v>
      </c>
      <c r="J967" s="19">
        <f>INDEX(Products!$E$2:$E$101,MATCH(C967,Products!$A$2:$A$101,0))</f>
        <v>21.3</v>
      </c>
      <c r="K967" s="19">
        <f t="shared" si="46"/>
        <v>191.70000000000002</v>
      </c>
      <c r="L967" s="19">
        <f t="shared" si="47"/>
        <v>171.16199999999995</v>
      </c>
    </row>
    <row r="968" spans="1:12" ht="15" customHeight="1" x14ac:dyDescent="0.25">
      <c r="A968" s="10">
        <v>967</v>
      </c>
      <c r="B968" s="10">
        <v>306</v>
      </c>
      <c r="C968" s="10">
        <v>27</v>
      </c>
      <c r="D968" s="10">
        <v>7</v>
      </c>
      <c r="E968" s="19">
        <v>263.93</v>
      </c>
      <c r="F968" s="10">
        <v>0.2</v>
      </c>
      <c r="G968" s="19">
        <f t="shared" si="45"/>
        <v>1478.008</v>
      </c>
      <c r="H968" s="10">
        <f>INDEX(Products!$C$2:$C$101,MATCH(C968,Products!$A$2:$A$101,0))</f>
        <v>3</v>
      </c>
      <c r="I968" s="10" t="str">
        <f>INDEX(Categories!$B$2:$B$11,MATCH(H968,Categories!$A$2:$A$11,0))</f>
        <v>Furniture</v>
      </c>
      <c r="J968" s="19">
        <f>INDEX(Products!$E$2:$E$101,MATCH(C968,Products!$A$2:$A$101,0))</f>
        <v>123.68</v>
      </c>
      <c r="K968" s="19">
        <f t="shared" si="46"/>
        <v>865.76</v>
      </c>
      <c r="L968" s="19">
        <f t="shared" si="47"/>
        <v>612.24800000000005</v>
      </c>
    </row>
    <row r="969" spans="1:12" ht="15" customHeight="1" x14ac:dyDescent="0.25">
      <c r="A969" s="10">
        <v>968</v>
      </c>
      <c r="B969" s="10">
        <v>306</v>
      </c>
      <c r="C969" s="10">
        <v>89</v>
      </c>
      <c r="D969" s="10">
        <v>7</v>
      </c>
      <c r="E969" s="19">
        <v>312.76</v>
      </c>
      <c r="F969" s="10">
        <v>0.1</v>
      </c>
      <c r="G969" s="19">
        <f t="shared" si="45"/>
        <v>1970.3879999999997</v>
      </c>
      <c r="H969" s="10">
        <f>INDEX(Products!$C$2:$C$101,MATCH(C969,Products!$A$2:$A$101,0))</f>
        <v>9</v>
      </c>
      <c r="I969" s="10" t="str">
        <f>INDEX(Categories!$B$2:$B$11,MATCH(H969,Categories!$A$2:$A$11,0))</f>
        <v>Automotive Parts</v>
      </c>
      <c r="J969" s="19">
        <f>INDEX(Products!$E$2:$E$101,MATCH(C969,Products!$A$2:$A$101,0))</f>
        <v>173.51</v>
      </c>
      <c r="K969" s="19">
        <f t="shared" si="46"/>
        <v>1214.57</v>
      </c>
      <c r="L969" s="19">
        <f t="shared" si="47"/>
        <v>755.81799999999976</v>
      </c>
    </row>
    <row r="970" spans="1:12" ht="15" customHeight="1" x14ac:dyDescent="0.25">
      <c r="A970" s="10">
        <v>969</v>
      </c>
      <c r="B970" s="10">
        <v>306</v>
      </c>
      <c r="C970" s="10">
        <v>76</v>
      </c>
      <c r="D970" s="10">
        <v>6</v>
      </c>
      <c r="E970" s="19">
        <v>390.64</v>
      </c>
      <c r="F970" s="10">
        <v>0.1</v>
      </c>
      <c r="G970" s="19">
        <f t="shared" si="45"/>
        <v>2109.4560000000001</v>
      </c>
      <c r="H970" s="10">
        <f>INDEX(Products!$C$2:$C$101,MATCH(C970,Products!$A$2:$A$101,0))</f>
        <v>8</v>
      </c>
      <c r="I970" s="10" t="str">
        <f>INDEX(Categories!$B$2:$B$11,MATCH(H970,Categories!$A$2:$A$11,0))</f>
        <v>Health &amp; Beauty</v>
      </c>
      <c r="J970" s="19">
        <f>INDEX(Products!$E$2:$E$101,MATCH(C970,Products!$A$2:$A$101,0))</f>
        <v>218.93</v>
      </c>
      <c r="K970" s="19">
        <f t="shared" si="46"/>
        <v>1313.58</v>
      </c>
      <c r="L970" s="19">
        <f t="shared" si="47"/>
        <v>795.8760000000002</v>
      </c>
    </row>
    <row r="971" spans="1:12" ht="15" customHeight="1" x14ac:dyDescent="0.25">
      <c r="A971" s="10">
        <v>970</v>
      </c>
      <c r="B971" s="10">
        <v>307</v>
      </c>
      <c r="C971" s="10">
        <v>57</v>
      </c>
      <c r="D971" s="10">
        <v>3</v>
      </c>
      <c r="E971" s="19">
        <v>357.27</v>
      </c>
      <c r="F971" s="10">
        <v>0</v>
      </c>
      <c r="G971" s="19">
        <f t="shared" si="45"/>
        <v>1071.81</v>
      </c>
      <c r="H971" s="10">
        <f>INDEX(Products!$C$2:$C$101,MATCH(C971,Products!$A$2:$A$101,0))</f>
        <v>6</v>
      </c>
      <c r="I971" s="10" t="str">
        <f>INDEX(Categories!$B$2:$B$11,MATCH(H971,Categories!$A$2:$A$11,0))</f>
        <v>Sporting Goods</v>
      </c>
      <c r="J971" s="19">
        <f>INDEX(Products!$E$2:$E$101,MATCH(C971,Products!$A$2:$A$101,0))</f>
        <v>214.86</v>
      </c>
      <c r="K971" s="19">
        <f t="shared" si="46"/>
        <v>644.58000000000004</v>
      </c>
      <c r="L971" s="19">
        <f t="shared" si="47"/>
        <v>427.2299999999999</v>
      </c>
    </row>
    <row r="972" spans="1:12" ht="15" customHeight="1" x14ac:dyDescent="0.25">
      <c r="A972" s="10">
        <v>971</v>
      </c>
      <c r="B972" s="10">
        <v>308</v>
      </c>
      <c r="C972" s="10">
        <v>18</v>
      </c>
      <c r="D972" s="10">
        <v>1</v>
      </c>
      <c r="E972" s="19">
        <v>185.81</v>
      </c>
      <c r="F972" s="10">
        <v>0.2</v>
      </c>
      <c r="G972" s="19">
        <f t="shared" si="45"/>
        <v>148.648</v>
      </c>
      <c r="H972" s="10">
        <f>INDEX(Products!$C$2:$C$101,MATCH(C972,Products!$A$2:$A$101,0))</f>
        <v>2</v>
      </c>
      <c r="I972" s="10" t="str">
        <f>INDEX(Categories!$B$2:$B$11,MATCH(H972,Categories!$A$2:$A$11,0))</f>
        <v>Office Supplies</v>
      </c>
      <c r="J972" s="19">
        <f>INDEX(Products!$E$2:$E$101,MATCH(C972,Products!$A$2:$A$101,0))</f>
        <v>108.81</v>
      </c>
      <c r="K972" s="19">
        <f t="shared" si="46"/>
        <v>108.81</v>
      </c>
      <c r="L972" s="19">
        <f t="shared" si="47"/>
        <v>39.837999999999994</v>
      </c>
    </row>
    <row r="973" spans="1:12" ht="15" customHeight="1" x14ac:dyDescent="0.25">
      <c r="A973" s="10">
        <v>972</v>
      </c>
      <c r="B973" s="10">
        <v>308</v>
      </c>
      <c r="C973" s="10">
        <v>75</v>
      </c>
      <c r="D973" s="10">
        <v>3</v>
      </c>
      <c r="E973" s="19">
        <v>347.21</v>
      </c>
      <c r="F973" s="10">
        <v>0.15</v>
      </c>
      <c r="G973" s="19">
        <f t="shared" si="45"/>
        <v>885.38549999999987</v>
      </c>
      <c r="H973" s="10">
        <f>INDEX(Products!$C$2:$C$101,MATCH(C973,Products!$A$2:$A$101,0))</f>
        <v>8</v>
      </c>
      <c r="I973" s="10" t="str">
        <f>INDEX(Categories!$B$2:$B$11,MATCH(H973,Categories!$A$2:$A$11,0))</f>
        <v>Health &amp; Beauty</v>
      </c>
      <c r="J973" s="19">
        <f>INDEX(Products!$E$2:$E$101,MATCH(C973,Products!$A$2:$A$101,0))</f>
        <v>241.31</v>
      </c>
      <c r="K973" s="19">
        <f t="shared" si="46"/>
        <v>723.93000000000006</v>
      </c>
      <c r="L973" s="19">
        <f t="shared" si="47"/>
        <v>161.4554999999998</v>
      </c>
    </row>
    <row r="974" spans="1:12" ht="15" customHeight="1" x14ac:dyDescent="0.25">
      <c r="A974" s="10">
        <v>973</v>
      </c>
      <c r="B974" s="10">
        <v>309</v>
      </c>
      <c r="C974" s="10">
        <v>87</v>
      </c>
      <c r="D974" s="10">
        <v>2</v>
      </c>
      <c r="E974" s="19">
        <v>407.7</v>
      </c>
      <c r="F974" s="10">
        <v>0.1</v>
      </c>
      <c r="G974" s="19">
        <f t="shared" si="45"/>
        <v>733.86</v>
      </c>
      <c r="H974" s="10">
        <f>INDEX(Products!$C$2:$C$101,MATCH(C974,Products!$A$2:$A$101,0))</f>
        <v>9</v>
      </c>
      <c r="I974" s="10" t="str">
        <f>INDEX(Categories!$B$2:$B$11,MATCH(H974,Categories!$A$2:$A$11,0))</f>
        <v>Automotive Parts</v>
      </c>
      <c r="J974" s="19">
        <f>INDEX(Products!$E$2:$E$101,MATCH(C974,Products!$A$2:$A$101,0))</f>
        <v>225.03</v>
      </c>
      <c r="K974" s="19">
        <f t="shared" si="46"/>
        <v>450.06</v>
      </c>
      <c r="L974" s="19">
        <f t="shared" si="47"/>
        <v>283.8</v>
      </c>
    </row>
    <row r="975" spans="1:12" ht="15" customHeight="1" x14ac:dyDescent="0.25">
      <c r="A975" s="10">
        <v>974</v>
      </c>
      <c r="B975" s="10">
        <v>309</v>
      </c>
      <c r="C975" s="10">
        <v>39</v>
      </c>
      <c r="D975" s="10">
        <v>1</v>
      </c>
      <c r="E975" s="19">
        <v>42.44</v>
      </c>
      <c r="F975" s="10">
        <v>0.1</v>
      </c>
      <c r="G975" s="19">
        <f t="shared" si="45"/>
        <v>38.195999999999998</v>
      </c>
      <c r="H975" s="10">
        <f>INDEX(Products!$C$2:$C$101,MATCH(C975,Products!$A$2:$A$101,0))</f>
        <v>4</v>
      </c>
      <c r="I975" s="10" t="str">
        <f>INDEX(Categories!$B$2:$B$11,MATCH(H975,Categories!$A$2:$A$11,0))</f>
        <v>Apparel</v>
      </c>
      <c r="J975" s="19">
        <f>INDEX(Products!$E$2:$E$101,MATCH(C975,Products!$A$2:$A$101,0))</f>
        <v>21.3</v>
      </c>
      <c r="K975" s="19">
        <f t="shared" si="46"/>
        <v>21.3</v>
      </c>
      <c r="L975" s="19">
        <f t="shared" si="47"/>
        <v>16.895999999999997</v>
      </c>
    </row>
    <row r="976" spans="1:12" ht="15" customHeight="1" x14ac:dyDescent="0.25">
      <c r="A976" s="10">
        <v>975</v>
      </c>
      <c r="B976" s="10">
        <v>309</v>
      </c>
      <c r="C976" s="10">
        <v>56</v>
      </c>
      <c r="D976" s="10">
        <v>9</v>
      </c>
      <c r="E976" s="19">
        <v>440.37</v>
      </c>
      <c r="F976" s="10">
        <v>0.05</v>
      </c>
      <c r="G976" s="19">
        <f t="shared" si="45"/>
        <v>3765.1634999999997</v>
      </c>
      <c r="H976" s="10">
        <f>INDEX(Products!$C$2:$C$101,MATCH(C976,Products!$A$2:$A$101,0))</f>
        <v>6</v>
      </c>
      <c r="I976" s="10" t="str">
        <f>INDEX(Categories!$B$2:$B$11,MATCH(H976,Categories!$A$2:$A$11,0))</f>
        <v>Sporting Goods</v>
      </c>
      <c r="J976" s="19">
        <f>INDEX(Products!$E$2:$E$101,MATCH(C976,Products!$A$2:$A$101,0))</f>
        <v>242.36</v>
      </c>
      <c r="K976" s="19">
        <f t="shared" si="46"/>
        <v>2181.2400000000002</v>
      </c>
      <c r="L976" s="19">
        <f t="shared" si="47"/>
        <v>1583.9234999999994</v>
      </c>
    </row>
    <row r="977" spans="1:12" ht="15" customHeight="1" x14ac:dyDescent="0.25">
      <c r="A977" s="10">
        <v>976</v>
      </c>
      <c r="B977" s="10">
        <v>309</v>
      </c>
      <c r="C977" s="10">
        <v>92</v>
      </c>
      <c r="D977" s="10">
        <v>3</v>
      </c>
      <c r="E977" s="19">
        <v>467.17</v>
      </c>
      <c r="F977" s="10">
        <v>0.2</v>
      </c>
      <c r="G977" s="19">
        <f t="shared" si="45"/>
        <v>1121.2080000000001</v>
      </c>
      <c r="H977" s="10">
        <f>INDEX(Products!$C$2:$C$101,MATCH(C977,Products!$A$2:$A$101,0))</f>
        <v>10</v>
      </c>
      <c r="I977" s="10" t="str">
        <f>INDEX(Categories!$B$2:$B$11,MATCH(H977,Categories!$A$2:$A$11,0))</f>
        <v>Groceries</v>
      </c>
      <c r="J977" s="19">
        <f>INDEX(Products!$E$2:$E$101,MATCH(C977,Products!$A$2:$A$101,0))</f>
        <v>216.67</v>
      </c>
      <c r="K977" s="19">
        <f t="shared" si="46"/>
        <v>650.01</v>
      </c>
      <c r="L977" s="19">
        <f t="shared" si="47"/>
        <v>471.19800000000009</v>
      </c>
    </row>
    <row r="978" spans="1:12" ht="15" customHeight="1" x14ac:dyDescent="0.25">
      <c r="A978" s="10">
        <v>977</v>
      </c>
      <c r="B978" s="10">
        <v>309</v>
      </c>
      <c r="C978" s="10">
        <v>45</v>
      </c>
      <c r="D978" s="10">
        <v>5</v>
      </c>
      <c r="E978" s="19">
        <v>72.88</v>
      </c>
      <c r="F978" s="10">
        <v>0</v>
      </c>
      <c r="G978" s="19">
        <f t="shared" si="45"/>
        <v>364.4</v>
      </c>
      <c r="H978" s="10">
        <f>INDEX(Products!$C$2:$C$101,MATCH(C978,Products!$A$2:$A$101,0))</f>
        <v>5</v>
      </c>
      <c r="I978" s="10" t="str">
        <f>INDEX(Categories!$B$2:$B$11,MATCH(H978,Categories!$A$2:$A$11,0))</f>
        <v>Home &amp; Kitchen</v>
      </c>
      <c r="J978" s="19">
        <f>INDEX(Products!$E$2:$E$101,MATCH(C978,Products!$A$2:$A$101,0))</f>
        <v>41.66</v>
      </c>
      <c r="K978" s="19">
        <f t="shared" si="46"/>
        <v>208.29999999999998</v>
      </c>
      <c r="L978" s="19">
        <f t="shared" si="47"/>
        <v>156.1</v>
      </c>
    </row>
    <row r="979" spans="1:12" ht="15" customHeight="1" x14ac:dyDescent="0.25">
      <c r="A979" s="10">
        <v>978</v>
      </c>
      <c r="B979" s="10">
        <v>310</v>
      </c>
      <c r="C979" s="10">
        <v>90</v>
      </c>
      <c r="D979" s="10">
        <v>6</v>
      </c>
      <c r="E979" s="19">
        <v>50.45</v>
      </c>
      <c r="F979" s="10">
        <v>0.15</v>
      </c>
      <c r="G979" s="19">
        <f t="shared" si="45"/>
        <v>257.29500000000002</v>
      </c>
      <c r="H979" s="10">
        <f>INDEX(Products!$C$2:$C$101,MATCH(C979,Products!$A$2:$A$101,0))</f>
        <v>9</v>
      </c>
      <c r="I979" s="10" t="str">
        <f>INDEX(Categories!$B$2:$B$11,MATCH(H979,Categories!$A$2:$A$11,0))</f>
        <v>Automotive Parts</v>
      </c>
      <c r="J979" s="19">
        <f>INDEX(Products!$E$2:$E$101,MATCH(C979,Products!$A$2:$A$101,0))</f>
        <v>29.34</v>
      </c>
      <c r="K979" s="19">
        <f t="shared" si="46"/>
        <v>176.04</v>
      </c>
      <c r="L979" s="19">
        <f t="shared" si="47"/>
        <v>81.255000000000024</v>
      </c>
    </row>
    <row r="980" spans="1:12" ht="15" customHeight="1" x14ac:dyDescent="0.25">
      <c r="A980" s="10">
        <v>979</v>
      </c>
      <c r="B980" s="10">
        <v>310</v>
      </c>
      <c r="C980" s="10">
        <v>76</v>
      </c>
      <c r="D980" s="10">
        <v>7</v>
      </c>
      <c r="E980" s="19">
        <v>390.64</v>
      </c>
      <c r="F980" s="10">
        <v>0.05</v>
      </c>
      <c r="G980" s="19">
        <f t="shared" si="45"/>
        <v>2597.7559999999999</v>
      </c>
      <c r="H980" s="10">
        <f>INDEX(Products!$C$2:$C$101,MATCH(C980,Products!$A$2:$A$101,0))</f>
        <v>8</v>
      </c>
      <c r="I980" s="10" t="str">
        <f>INDEX(Categories!$B$2:$B$11,MATCH(H980,Categories!$A$2:$A$11,0))</f>
        <v>Health &amp; Beauty</v>
      </c>
      <c r="J980" s="19">
        <f>INDEX(Products!$E$2:$E$101,MATCH(C980,Products!$A$2:$A$101,0))</f>
        <v>218.93</v>
      </c>
      <c r="K980" s="19">
        <f t="shared" si="46"/>
        <v>1532.51</v>
      </c>
      <c r="L980" s="19">
        <f t="shared" si="47"/>
        <v>1065.2459999999999</v>
      </c>
    </row>
    <row r="981" spans="1:12" ht="15" customHeight="1" x14ac:dyDescent="0.25">
      <c r="A981" s="10">
        <v>980</v>
      </c>
      <c r="B981" s="10">
        <v>310</v>
      </c>
      <c r="C981" s="10">
        <v>51</v>
      </c>
      <c r="D981" s="10">
        <v>7</v>
      </c>
      <c r="E981" s="19">
        <v>436.43</v>
      </c>
      <c r="F981" s="10">
        <v>0.05</v>
      </c>
      <c r="G981" s="19">
        <f t="shared" si="45"/>
        <v>2902.2595000000001</v>
      </c>
      <c r="H981" s="10">
        <f>INDEX(Products!$C$2:$C$101,MATCH(C981,Products!$A$2:$A$101,0))</f>
        <v>6</v>
      </c>
      <c r="I981" s="10" t="str">
        <f>INDEX(Categories!$B$2:$B$11,MATCH(H981,Categories!$A$2:$A$11,0))</f>
        <v>Sporting Goods</v>
      </c>
      <c r="J981" s="19">
        <f>INDEX(Products!$E$2:$E$101,MATCH(C981,Products!$A$2:$A$101,0))</f>
        <v>235.84</v>
      </c>
      <c r="K981" s="19">
        <f t="shared" si="46"/>
        <v>1650.88</v>
      </c>
      <c r="L981" s="19">
        <f t="shared" si="47"/>
        <v>1251.3795</v>
      </c>
    </row>
    <row r="982" spans="1:12" ht="15" customHeight="1" x14ac:dyDescent="0.25">
      <c r="A982" s="10">
        <v>981</v>
      </c>
      <c r="B982" s="10">
        <v>310</v>
      </c>
      <c r="C982" s="10">
        <v>81</v>
      </c>
      <c r="D982" s="10">
        <v>9</v>
      </c>
      <c r="E982" s="19">
        <v>529</v>
      </c>
      <c r="F982" s="10">
        <v>0</v>
      </c>
      <c r="G982" s="19">
        <f t="shared" si="45"/>
        <v>4761</v>
      </c>
      <c r="H982" s="10">
        <f>INDEX(Products!$C$2:$C$101,MATCH(C982,Products!$A$2:$A$101,0))</f>
        <v>9</v>
      </c>
      <c r="I982" s="10" t="str">
        <f>INDEX(Categories!$B$2:$B$11,MATCH(H982,Categories!$A$2:$A$11,0))</f>
        <v>Automotive Parts</v>
      </c>
      <c r="J982" s="19">
        <f>INDEX(Products!$E$2:$E$101,MATCH(C982,Products!$A$2:$A$101,0))</f>
        <v>249.36</v>
      </c>
      <c r="K982" s="19">
        <f t="shared" si="46"/>
        <v>2244.2400000000002</v>
      </c>
      <c r="L982" s="19">
        <f t="shared" si="47"/>
        <v>2516.7599999999998</v>
      </c>
    </row>
    <row r="983" spans="1:12" ht="15" customHeight="1" x14ac:dyDescent="0.25">
      <c r="A983" s="10">
        <v>982</v>
      </c>
      <c r="B983" s="10">
        <v>311</v>
      </c>
      <c r="C983" s="10">
        <v>20</v>
      </c>
      <c r="D983" s="10">
        <v>3</v>
      </c>
      <c r="E983" s="19">
        <v>316.14999999999998</v>
      </c>
      <c r="F983" s="10">
        <v>0</v>
      </c>
      <c r="G983" s="19">
        <f t="shared" si="45"/>
        <v>948.44999999999993</v>
      </c>
      <c r="H983" s="10">
        <f>INDEX(Products!$C$2:$C$101,MATCH(C983,Products!$A$2:$A$101,0))</f>
        <v>2</v>
      </c>
      <c r="I983" s="10" t="str">
        <f>INDEX(Categories!$B$2:$B$11,MATCH(H983,Categories!$A$2:$A$11,0))</f>
        <v>Office Supplies</v>
      </c>
      <c r="J983" s="19">
        <f>INDEX(Products!$E$2:$E$101,MATCH(C983,Products!$A$2:$A$101,0))</f>
        <v>177.71</v>
      </c>
      <c r="K983" s="19">
        <f t="shared" si="46"/>
        <v>533.13</v>
      </c>
      <c r="L983" s="19">
        <f t="shared" si="47"/>
        <v>415.31999999999994</v>
      </c>
    </row>
    <row r="984" spans="1:12" ht="15" customHeight="1" x14ac:dyDescent="0.25">
      <c r="A984" s="10">
        <v>983</v>
      </c>
      <c r="B984" s="10">
        <v>311</v>
      </c>
      <c r="C984" s="10">
        <v>37</v>
      </c>
      <c r="D984" s="10">
        <v>2</v>
      </c>
      <c r="E984" s="19">
        <v>262.99</v>
      </c>
      <c r="F984" s="10">
        <v>0.15</v>
      </c>
      <c r="G984" s="19">
        <f t="shared" si="45"/>
        <v>447.08300000000003</v>
      </c>
      <c r="H984" s="10">
        <f>INDEX(Products!$C$2:$C$101,MATCH(C984,Products!$A$2:$A$101,0))</f>
        <v>4</v>
      </c>
      <c r="I984" s="10" t="str">
        <f>INDEX(Categories!$B$2:$B$11,MATCH(H984,Categories!$A$2:$A$11,0))</f>
        <v>Apparel</v>
      </c>
      <c r="J984" s="19">
        <f>INDEX(Products!$E$2:$E$101,MATCH(C984,Products!$A$2:$A$101,0))</f>
        <v>144.79</v>
      </c>
      <c r="K984" s="19">
        <f t="shared" si="46"/>
        <v>289.58</v>
      </c>
      <c r="L984" s="19">
        <f t="shared" si="47"/>
        <v>157.50300000000004</v>
      </c>
    </row>
    <row r="985" spans="1:12" ht="15" customHeight="1" x14ac:dyDescent="0.25">
      <c r="A985" s="10">
        <v>984</v>
      </c>
      <c r="B985" s="10">
        <v>311</v>
      </c>
      <c r="C985" s="10">
        <v>86</v>
      </c>
      <c r="D985" s="10">
        <v>1</v>
      </c>
      <c r="E985" s="19">
        <v>69.31</v>
      </c>
      <c r="F985" s="10">
        <v>0</v>
      </c>
      <c r="G985" s="19">
        <f t="shared" si="45"/>
        <v>69.31</v>
      </c>
      <c r="H985" s="10">
        <f>INDEX(Products!$C$2:$C$101,MATCH(C985,Products!$A$2:$A$101,0))</f>
        <v>9</v>
      </c>
      <c r="I985" s="10" t="str">
        <f>INDEX(Categories!$B$2:$B$11,MATCH(H985,Categories!$A$2:$A$11,0))</f>
        <v>Automotive Parts</v>
      </c>
      <c r="J985" s="19">
        <f>INDEX(Products!$E$2:$E$101,MATCH(C985,Products!$A$2:$A$101,0))</f>
        <v>38.35</v>
      </c>
      <c r="K985" s="19">
        <f t="shared" si="46"/>
        <v>38.35</v>
      </c>
      <c r="L985" s="19">
        <f t="shared" si="47"/>
        <v>30.96</v>
      </c>
    </row>
    <row r="986" spans="1:12" ht="15" customHeight="1" x14ac:dyDescent="0.25">
      <c r="A986" s="10">
        <v>985</v>
      </c>
      <c r="B986" s="10">
        <v>311</v>
      </c>
      <c r="C986" s="10">
        <v>17</v>
      </c>
      <c r="D986" s="10">
        <v>8</v>
      </c>
      <c r="E986" s="19">
        <v>216.84</v>
      </c>
      <c r="F986" s="10">
        <v>0.15</v>
      </c>
      <c r="G986" s="19">
        <f t="shared" si="45"/>
        <v>1474.5119999999999</v>
      </c>
      <c r="H986" s="10">
        <f>INDEX(Products!$C$2:$C$101,MATCH(C986,Products!$A$2:$A$101,0))</f>
        <v>2</v>
      </c>
      <c r="I986" s="10" t="str">
        <f>INDEX(Categories!$B$2:$B$11,MATCH(H986,Categories!$A$2:$A$11,0))</f>
        <v>Office Supplies</v>
      </c>
      <c r="J986" s="19">
        <f>INDEX(Products!$E$2:$E$101,MATCH(C986,Products!$A$2:$A$101,0))</f>
        <v>151.30000000000001</v>
      </c>
      <c r="K986" s="19">
        <f t="shared" si="46"/>
        <v>1210.4000000000001</v>
      </c>
      <c r="L986" s="19">
        <f t="shared" si="47"/>
        <v>264.11199999999985</v>
      </c>
    </row>
    <row r="987" spans="1:12" ht="15" customHeight="1" x14ac:dyDescent="0.25">
      <c r="A987" s="10">
        <v>986</v>
      </c>
      <c r="B987" s="10">
        <v>312</v>
      </c>
      <c r="C987" s="10">
        <v>55</v>
      </c>
      <c r="D987" s="10">
        <v>7</v>
      </c>
      <c r="E987" s="19">
        <v>378.27</v>
      </c>
      <c r="F987" s="10">
        <v>0.1</v>
      </c>
      <c r="G987" s="19">
        <f t="shared" si="45"/>
        <v>2383.1010000000001</v>
      </c>
      <c r="H987" s="10">
        <f>INDEX(Products!$C$2:$C$101,MATCH(C987,Products!$A$2:$A$101,0))</f>
        <v>6</v>
      </c>
      <c r="I987" s="10" t="str">
        <f>INDEX(Categories!$B$2:$B$11,MATCH(H987,Categories!$A$2:$A$11,0))</f>
        <v>Sporting Goods</v>
      </c>
      <c r="J987" s="19">
        <f>INDEX(Products!$E$2:$E$101,MATCH(C987,Products!$A$2:$A$101,0))</f>
        <v>163.92</v>
      </c>
      <c r="K987" s="19">
        <f t="shared" si="46"/>
        <v>1147.4399999999998</v>
      </c>
      <c r="L987" s="19">
        <f t="shared" si="47"/>
        <v>1235.6610000000003</v>
      </c>
    </row>
    <row r="988" spans="1:12" ht="15" customHeight="1" x14ac:dyDescent="0.25">
      <c r="A988" s="10">
        <v>987</v>
      </c>
      <c r="B988" s="10">
        <v>312</v>
      </c>
      <c r="C988" s="10">
        <v>80</v>
      </c>
      <c r="D988" s="10">
        <v>8</v>
      </c>
      <c r="E988" s="19">
        <v>292.64999999999998</v>
      </c>
      <c r="F988" s="10">
        <v>0.05</v>
      </c>
      <c r="G988" s="19">
        <f t="shared" si="45"/>
        <v>2224.14</v>
      </c>
      <c r="H988" s="10">
        <f>INDEX(Products!$C$2:$C$101,MATCH(C988,Products!$A$2:$A$101,0))</f>
        <v>8</v>
      </c>
      <c r="I988" s="10" t="str">
        <f>INDEX(Categories!$B$2:$B$11,MATCH(H988,Categories!$A$2:$A$11,0))</f>
        <v>Health &amp; Beauty</v>
      </c>
      <c r="J988" s="19">
        <f>INDEX(Products!$E$2:$E$101,MATCH(C988,Products!$A$2:$A$101,0))</f>
        <v>218.48</v>
      </c>
      <c r="K988" s="19">
        <f t="shared" si="46"/>
        <v>1747.84</v>
      </c>
      <c r="L988" s="19">
        <f t="shared" si="47"/>
        <v>476.29999999999995</v>
      </c>
    </row>
    <row r="989" spans="1:12" ht="15" customHeight="1" x14ac:dyDescent="0.25">
      <c r="A989" s="10">
        <v>988</v>
      </c>
      <c r="B989" s="10">
        <v>312</v>
      </c>
      <c r="C989" s="10">
        <v>24</v>
      </c>
      <c r="D989" s="10">
        <v>6</v>
      </c>
      <c r="E989" s="19">
        <v>158.72999999999999</v>
      </c>
      <c r="F989" s="10">
        <v>0</v>
      </c>
      <c r="G989" s="19">
        <f t="shared" si="45"/>
        <v>952.37999999999988</v>
      </c>
      <c r="H989" s="10">
        <f>INDEX(Products!$C$2:$C$101,MATCH(C989,Products!$A$2:$A$101,0))</f>
        <v>3</v>
      </c>
      <c r="I989" s="10" t="str">
        <f>INDEX(Categories!$B$2:$B$11,MATCH(H989,Categories!$A$2:$A$11,0))</f>
        <v>Furniture</v>
      </c>
      <c r="J989" s="19">
        <f>INDEX(Products!$E$2:$E$101,MATCH(C989,Products!$A$2:$A$101,0))</f>
        <v>86.09</v>
      </c>
      <c r="K989" s="19">
        <f t="shared" si="46"/>
        <v>516.54</v>
      </c>
      <c r="L989" s="19">
        <f t="shared" si="47"/>
        <v>435.83999999999992</v>
      </c>
    </row>
    <row r="990" spans="1:12" ht="15" customHeight="1" x14ac:dyDescent="0.25">
      <c r="A990" s="10">
        <v>989</v>
      </c>
      <c r="B990" s="10">
        <v>312</v>
      </c>
      <c r="C990" s="10">
        <v>59</v>
      </c>
      <c r="D990" s="10">
        <v>3</v>
      </c>
      <c r="E990" s="19">
        <v>68</v>
      </c>
      <c r="F990" s="10">
        <v>0.05</v>
      </c>
      <c r="G990" s="19">
        <f t="shared" si="45"/>
        <v>193.79999999999998</v>
      </c>
      <c r="H990" s="10">
        <f>INDEX(Products!$C$2:$C$101,MATCH(C990,Products!$A$2:$A$101,0))</f>
        <v>6</v>
      </c>
      <c r="I990" s="10" t="str">
        <f>INDEX(Categories!$B$2:$B$11,MATCH(H990,Categories!$A$2:$A$11,0))</f>
        <v>Sporting Goods</v>
      </c>
      <c r="J990" s="19">
        <f>INDEX(Products!$E$2:$E$101,MATCH(C990,Products!$A$2:$A$101,0))</f>
        <v>31.63</v>
      </c>
      <c r="K990" s="19">
        <f t="shared" si="46"/>
        <v>94.89</v>
      </c>
      <c r="L990" s="19">
        <f t="shared" si="47"/>
        <v>98.909999999999982</v>
      </c>
    </row>
    <row r="991" spans="1:12" ht="15" customHeight="1" x14ac:dyDescent="0.25">
      <c r="A991" s="10">
        <v>990</v>
      </c>
      <c r="B991" s="10">
        <v>312</v>
      </c>
      <c r="C991" s="10">
        <v>66</v>
      </c>
      <c r="D991" s="10">
        <v>10</v>
      </c>
      <c r="E991" s="19">
        <v>155.88</v>
      </c>
      <c r="F991" s="10">
        <v>0</v>
      </c>
      <c r="G991" s="19">
        <f t="shared" si="45"/>
        <v>1558.8</v>
      </c>
      <c r="H991" s="10">
        <f>INDEX(Products!$C$2:$C$101,MATCH(C991,Products!$A$2:$A$101,0))</f>
        <v>7</v>
      </c>
      <c r="I991" s="10" t="str">
        <f>INDEX(Categories!$B$2:$B$11,MATCH(H991,Categories!$A$2:$A$11,0))</f>
        <v>Toys &amp; Games</v>
      </c>
      <c r="J991" s="19">
        <f>INDEX(Products!$E$2:$E$101,MATCH(C991,Products!$A$2:$A$101,0))</f>
        <v>75.09</v>
      </c>
      <c r="K991" s="19">
        <f t="shared" si="46"/>
        <v>750.90000000000009</v>
      </c>
      <c r="L991" s="19">
        <f t="shared" si="47"/>
        <v>807.89999999999986</v>
      </c>
    </row>
    <row r="992" spans="1:12" ht="15" customHeight="1" x14ac:dyDescent="0.25">
      <c r="A992" s="10">
        <v>991</v>
      </c>
      <c r="B992" s="10">
        <v>313</v>
      </c>
      <c r="C992" s="10">
        <v>47</v>
      </c>
      <c r="D992" s="10">
        <v>6</v>
      </c>
      <c r="E992" s="19">
        <v>96.51</v>
      </c>
      <c r="F992" s="10">
        <v>0</v>
      </c>
      <c r="G992" s="19">
        <f t="shared" si="45"/>
        <v>579.06000000000006</v>
      </c>
      <c r="H992" s="10">
        <f>INDEX(Products!$C$2:$C$101,MATCH(C992,Products!$A$2:$A$101,0))</f>
        <v>5</v>
      </c>
      <c r="I992" s="10" t="str">
        <f>INDEX(Categories!$B$2:$B$11,MATCH(H992,Categories!$A$2:$A$11,0))</f>
        <v>Home &amp; Kitchen</v>
      </c>
      <c r="J992" s="19">
        <f>INDEX(Products!$E$2:$E$101,MATCH(C992,Products!$A$2:$A$101,0))</f>
        <v>60.66</v>
      </c>
      <c r="K992" s="19">
        <f t="shared" si="46"/>
        <v>363.96</v>
      </c>
      <c r="L992" s="19">
        <f t="shared" si="47"/>
        <v>215.10000000000008</v>
      </c>
    </row>
    <row r="993" spans="1:12" ht="15" customHeight="1" x14ac:dyDescent="0.25">
      <c r="A993" s="10">
        <v>992</v>
      </c>
      <c r="B993" s="10">
        <v>313</v>
      </c>
      <c r="C993" s="10">
        <v>5</v>
      </c>
      <c r="D993" s="10">
        <v>10</v>
      </c>
      <c r="E993" s="19">
        <v>310.02</v>
      </c>
      <c r="F993" s="10">
        <v>0.05</v>
      </c>
      <c r="G993" s="19">
        <f t="shared" si="45"/>
        <v>2945.1899999999996</v>
      </c>
      <c r="H993" s="10">
        <f>INDEX(Products!$C$2:$C$101,MATCH(C993,Products!$A$2:$A$101,0))</f>
        <v>1</v>
      </c>
      <c r="I993" s="10" t="str">
        <f>INDEX(Categories!$B$2:$B$11,MATCH(H993,Categories!$A$2:$A$11,0))</f>
        <v>Electronics</v>
      </c>
      <c r="J993" s="19">
        <f>INDEX(Products!$E$2:$E$101,MATCH(C993,Products!$A$2:$A$101,0))</f>
        <v>134.93</v>
      </c>
      <c r="K993" s="19">
        <f t="shared" si="46"/>
        <v>1349.3000000000002</v>
      </c>
      <c r="L993" s="19">
        <f t="shared" si="47"/>
        <v>1595.8899999999994</v>
      </c>
    </row>
    <row r="994" spans="1:12" ht="15" customHeight="1" x14ac:dyDescent="0.25">
      <c r="A994" s="10">
        <v>993</v>
      </c>
      <c r="B994" s="10">
        <v>313</v>
      </c>
      <c r="C994" s="10">
        <v>73</v>
      </c>
      <c r="D994" s="10">
        <v>2</v>
      </c>
      <c r="E994" s="19">
        <v>375.67</v>
      </c>
      <c r="F994" s="10">
        <v>0</v>
      </c>
      <c r="G994" s="19">
        <f t="shared" si="45"/>
        <v>751.34</v>
      </c>
      <c r="H994" s="10">
        <f>INDEX(Products!$C$2:$C$101,MATCH(C994,Products!$A$2:$A$101,0))</f>
        <v>8</v>
      </c>
      <c r="I994" s="10" t="str">
        <f>INDEX(Categories!$B$2:$B$11,MATCH(H994,Categories!$A$2:$A$11,0))</f>
        <v>Health &amp; Beauty</v>
      </c>
      <c r="J994" s="19">
        <f>INDEX(Products!$E$2:$E$101,MATCH(C994,Products!$A$2:$A$101,0))</f>
        <v>214.44</v>
      </c>
      <c r="K994" s="19">
        <f t="shared" si="46"/>
        <v>428.88</v>
      </c>
      <c r="L994" s="19">
        <f t="shared" si="47"/>
        <v>322.46000000000004</v>
      </c>
    </row>
    <row r="995" spans="1:12" ht="15" customHeight="1" x14ac:dyDescent="0.25">
      <c r="A995" s="10">
        <v>994</v>
      </c>
      <c r="B995" s="10">
        <v>313</v>
      </c>
      <c r="C995" s="10">
        <v>62</v>
      </c>
      <c r="D995" s="10">
        <v>9</v>
      </c>
      <c r="E995" s="19">
        <v>321.75</v>
      </c>
      <c r="F995" s="10">
        <v>0.2</v>
      </c>
      <c r="G995" s="19">
        <f t="shared" si="45"/>
        <v>2316.6</v>
      </c>
      <c r="H995" s="10">
        <f>INDEX(Products!$C$2:$C$101,MATCH(C995,Products!$A$2:$A$101,0))</f>
        <v>7</v>
      </c>
      <c r="I995" s="10" t="str">
        <f>INDEX(Categories!$B$2:$B$11,MATCH(H995,Categories!$A$2:$A$11,0))</f>
        <v>Toys &amp; Games</v>
      </c>
      <c r="J995" s="19">
        <f>INDEX(Products!$E$2:$E$101,MATCH(C995,Products!$A$2:$A$101,0))</f>
        <v>138.66</v>
      </c>
      <c r="K995" s="19">
        <f t="shared" si="46"/>
        <v>1247.94</v>
      </c>
      <c r="L995" s="19">
        <f t="shared" si="47"/>
        <v>1068.6599999999999</v>
      </c>
    </row>
    <row r="996" spans="1:12" ht="15" customHeight="1" x14ac:dyDescent="0.25">
      <c r="A996" s="10">
        <v>995</v>
      </c>
      <c r="B996" s="10">
        <v>313</v>
      </c>
      <c r="C996" s="10">
        <v>91</v>
      </c>
      <c r="D996" s="10">
        <v>5</v>
      </c>
      <c r="E996" s="19">
        <v>180.37</v>
      </c>
      <c r="F996" s="10">
        <v>0.05</v>
      </c>
      <c r="G996" s="19">
        <f t="shared" si="45"/>
        <v>856.75749999999994</v>
      </c>
      <c r="H996" s="10">
        <f>INDEX(Products!$C$2:$C$101,MATCH(C996,Products!$A$2:$A$101,0))</f>
        <v>10</v>
      </c>
      <c r="I996" s="10" t="str">
        <f>INDEX(Categories!$B$2:$B$11,MATCH(H996,Categories!$A$2:$A$11,0))</f>
        <v>Groceries</v>
      </c>
      <c r="J996" s="19">
        <f>INDEX(Products!$E$2:$E$101,MATCH(C996,Products!$A$2:$A$101,0))</f>
        <v>75.92</v>
      </c>
      <c r="K996" s="19">
        <f t="shared" si="46"/>
        <v>379.6</v>
      </c>
      <c r="L996" s="19">
        <f t="shared" si="47"/>
        <v>477.15749999999991</v>
      </c>
    </row>
    <row r="997" spans="1:12" ht="15" customHeight="1" x14ac:dyDescent="0.25">
      <c r="A997" s="10">
        <v>996</v>
      </c>
      <c r="B997" s="10">
        <v>314</v>
      </c>
      <c r="C997" s="10">
        <v>40</v>
      </c>
      <c r="D997" s="10">
        <v>1</v>
      </c>
      <c r="E997" s="19">
        <v>330.91</v>
      </c>
      <c r="F997" s="10">
        <v>0.05</v>
      </c>
      <c r="G997" s="19">
        <f t="shared" si="45"/>
        <v>314.36450000000002</v>
      </c>
      <c r="H997" s="10">
        <f>INDEX(Products!$C$2:$C$101,MATCH(C997,Products!$A$2:$A$101,0))</f>
        <v>4</v>
      </c>
      <c r="I997" s="10" t="str">
        <f>INDEX(Categories!$B$2:$B$11,MATCH(H997,Categories!$A$2:$A$11,0))</f>
        <v>Apparel</v>
      </c>
      <c r="J997" s="19">
        <f>INDEX(Products!$E$2:$E$101,MATCH(C997,Products!$A$2:$A$101,0))</f>
        <v>237.43</v>
      </c>
      <c r="K997" s="19">
        <f t="shared" si="46"/>
        <v>237.43</v>
      </c>
      <c r="L997" s="19">
        <f t="shared" si="47"/>
        <v>76.934500000000014</v>
      </c>
    </row>
    <row r="998" spans="1:12" ht="15" customHeight="1" x14ac:dyDescent="0.25">
      <c r="A998" s="10">
        <v>997</v>
      </c>
      <c r="B998" s="10">
        <v>314</v>
      </c>
      <c r="C998" s="10">
        <v>79</v>
      </c>
      <c r="D998" s="10">
        <v>8</v>
      </c>
      <c r="E998" s="19">
        <v>369.82</v>
      </c>
      <c r="F998" s="10">
        <v>0.1</v>
      </c>
      <c r="G998" s="19">
        <f t="shared" si="45"/>
        <v>2662.7040000000002</v>
      </c>
      <c r="H998" s="10">
        <f>INDEX(Products!$C$2:$C$101,MATCH(C998,Products!$A$2:$A$101,0))</f>
        <v>8</v>
      </c>
      <c r="I998" s="10" t="str">
        <f>INDEX(Categories!$B$2:$B$11,MATCH(H998,Categories!$A$2:$A$11,0))</f>
        <v>Health &amp; Beauty</v>
      </c>
      <c r="J998" s="19">
        <f>INDEX(Products!$E$2:$E$101,MATCH(C998,Products!$A$2:$A$101,0))</f>
        <v>215.26</v>
      </c>
      <c r="K998" s="19">
        <f t="shared" si="46"/>
        <v>1722.08</v>
      </c>
      <c r="L998" s="19">
        <f t="shared" si="47"/>
        <v>940.62400000000025</v>
      </c>
    </row>
    <row r="999" spans="1:12" ht="15" customHeight="1" x14ac:dyDescent="0.25">
      <c r="A999" s="10">
        <v>998</v>
      </c>
      <c r="B999" s="10">
        <v>314</v>
      </c>
      <c r="C999" s="10">
        <v>7</v>
      </c>
      <c r="D999" s="10">
        <v>8</v>
      </c>
      <c r="E999" s="19">
        <v>150.96</v>
      </c>
      <c r="F999" s="10">
        <v>0.1</v>
      </c>
      <c r="G999" s="19">
        <f t="shared" si="45"/>
        <v>1086.912</v>
      </c>
      <c r="H999" s="10">
        <f>INDEX(Products!$C$2:$C$101,MATCH(C999,Products!$A$2:$A$101,0))</f>
        <v>1</v>
      </c>
      <c r="I999" s="10" t="str">
        <f>INDEX(Categories!$B$2:$B$11,MATCH(H999,Categories!$A$2:$A$11,0))</f>
        <v>Electronics</v>
      </c>
      <c r="J999" s="19">
        <f>INDEX(Products!$E$2:$E$101,MATCH(C999,Products!$A$2:$A$101,0))</f>
        <v>83.86</v>
      </c>
      <c r="K999" s="19">
        <f t="shared" si="46"/>
        <v>670.88</v>
      </c>
      <c r="L999" s="19">
        <f t="shared" si="47"/>
        <v>416.03200000000004</v>
      </c>
    </row>
    <row r="1000" spans="1:12" ht="15" customHeight="1" x14ac:dyDescent="0.25">
      <c r="A1000" s="10">
        <v>999</v>
      </c>
      <c r="B1000" s="10">
        <v>314</v>
      </c>
      <c r="C1000" s="10">
        <v>44</v>
      </c>
      <c r="D1000" s="10">
        <v>6</v>
      </c>
      <c r="E1000" s="19">
        <v>111.7</v>
      </c>
      <c r="F1000" s="10">
        <v>0.05</v>
      </c>
      <c r="G1000" s="19">
        <f t="shared" si="45"/>
        <v>636.69000000000005</v>
      </c>
      <c r="H1000" s="10">
        <f>INDEX(Products!$C$2:$C$101,MATCH(C1000,Products!$A$2:$A$101,0))</f>
        <v>5</v>
      </c>
      <c r="I1000" s="10" t="str">
        <f>INDEX(Categories!$B$2:$B$11,MATCH(H1000,Categories!$A$2:$A$11,0))</f>
        <v>Home &amp; Kitchen</v>
      </c>
      <c r="J1000" s="19">
        <f>INDEX(Products!$E$2:$E$101,MATCH(C1000,Products!$A$2:$A$101,0))</f>
        <v>55.12</v>
      </c>
      <c r="K1000" s="19">
        <f t="shared" si="46"/>
        <v>330.71999999999997</v>
      </c>
      <c r="L1000" s="19">
        <f t="shared" si="47"/>
        <v>305.97000000000008</v>
      </c>
    </row>
    <row r="1001" spans="1:12" ht="15" customHeight="1" x14ac:dyDescent="0.25">
      <c r="A1001" s="10">
        <v>1000</v>
      </c>
      <c r="B1001" s="10">
        <v>314</v>
      </c>
      <c r="C1001" s="10">
        <v>69</v>
      </c>
      <c r="D1001" s="10">
        <v>6</v>
      </c>
      <c r="E1001" s="19">
        <v>188.38</v>
      </c>
      <c r="F1001" s="10">
        <v>0.2</v>
      </c>
      <c r="G1001" s="19">
        <f t="shared" si="45"/>
        <v>904.22400000000005</v>
      </c>
      <c r="H1001" s="10">
        <f>INDEX(Products!$C$2:$C$101,MATCH(C1001,Products!$A$2:$A$101,0))</f>
        <v>7</v>
      </c>
      <c r="I1001" s="10" t="str">
        <f>INDEX(Categories!$B$2:$B$11,MATCH(H1001,Categories!$A$2:$A$11,0))</f>
        <v>Toys &amp; Games</v>
      </c>
      <c r="J1001" s="19">
        <f>INDEX(Products!$E$2:$E$101,MATCH(C1001,Products!$A$2:$A$101,0))</f>
        <v>86.95</v>
      </c>
      <c r="K1001" s="19">
        <f t="shared" si="46"/>
        <v>521.70000000000005</v>
      </c>
      <c r="L1001" s="19">
        <f t="shared" si="47"/>
        <v>382.524</v>
      </c>
    </row>
    <row r="1002" spans="1:12" ht="15" customHeight="1" x14ac:dyDescent="0.25">
      <c r="A1002" s="10">
        <v>1001</v>
      </c>
      <c r="B1002" s="10">
        <v>315</v>
      </c>
      <c r="C1002" s="10">
        <v>74</v>
      </c>
      <c r="D1002" s="10">
        <v>5</v>
      </c>
      <c r="E1002" s="19">
        <v>199.68</v>
      </c>
      <c r="F1002" s="10">
        <v>0.2</v>
      </c>
      <c r="G1002" s="19">
        <f t="shared" si="45"/>
        <v>798.72000000000014</v>
      </c>
      <c r="H1002" s="10">
        <f>INDEX(Products!$C$2:$C$101,MATCH(C1002,Products!$A$2:$A$101,0))</f>
        <v>8</v>
      </c>
      <c r="I1002" s="10" t="str">
        <f>INDEX(Categories!$B$2:$B$11,MATCH(H1002,Categories!$A$2:$A$11,0))</f>
        <v>Health &amp; Beauty</v>
      </c>
      <c r="J1002" s="19">
        <f>INDEX(Products!$E$2:$E$101,MATCH(C1002,Products!$A$2:$A$101,0))</f>
        <v>98.36</v>
      </c>
      <c r="K1002" s="19">
        <f t="shared" si="46"/>
        <v>491.8</v>
      </c>
      <c r="L1002" s="19">
        <f t="shared" si="47"/>
        <v>306.92000000000013</v>
      </c>
    </row>
    <row r="1003" spans="1:12" ht="15" customHeight="1" x14ac:dyDescent="0.25">
      <c r="A1003" s="10">
        <v>1002</v>
      </c>
      <c r="B1003" s="10">
        <v>315</v>
      </c>
      <c r="C1003" s="10">
        <v>7</v>
      </c>
      <c r="D1003" s="10">
        <v>10</v>
      </c>
      <c r="E1003" s="19">
        <v>150.96</v>
      </c>
      <c r="F1003" s="10">
        <v>0</v>
      </c>
      <c r="G1003" s="19">
        <f t="shared" si="45"/>
        <v>1509.6000000000001</v>
      </c>
      <c r="H1003" s="10">
        <f>INDEX(Products!$C$2:$C$101,MATCH(C1003,Products!$A$2:$A$101,0))</f>
        <v>1</v>
      </c>
      <c r="I1003" s="10" t="str">
        <f>INDEX(Categories!$B$2:$B$11,MATCH(H1003,Categories!$A$2:$A$11,0))</f>
        <v>Electronics</v>
      </c>
      <c r="J1003" s="19">
        <f>INDEX(Products!$E$2:$E$101,MATCH(C1003,Products!$A$2:$A$101,0))</f>
        <v>83.86</v>
      </c>
      <c r="K1003" s="19">
        <f t="shared" si="46"/>
        <v>838.6</v>
      </c>
      <c r="L1003" s="19">
        <f t="shared" si="47"/>
        <v>671.00000000000011</v>
      </c>
    </row>
    <row r="1004" spans="1:12" ht="15" customHeight="1" x14ac:dyDescent="0.25">
      <c r="A1004" s="10">
        <v>1003</v>
      </c>
      <c r="B1004" s="10">
        <v>316</v>
      </c>
      <c r="C1004" s="10">
        <v>79</v>
      </c>
      <c r="D1004" s="10">
        <v>5</v>
      </c>
      <c r="E1004" s="19">
        <v>369.82</v>
      </c>
      <c r="F1004" s="10">
        <v>0.2</v>
      </c>
      <c r="G1004" s="19">
        <f t="shared" si="45"/>
        <v>1479.28</v>
      </c>
      <c r="H1004" s="10">
        <f>INDEX(Products!$C$2:$C$101,MATCH(C1004,Products!$A$2:$A$101,0))</f>
        <v>8</v>
      </c>
      <c r="I1004" s="10" t="str">
        <f>INDEX(Categories!$B$2:$B$11,MATCH(H1004,Categories!$A$2:$A$11,0))</f>
        <v>Health &amp; Beauty</v>
      </c>
      <c r="J1004" s="19">
        <f>INDEX(Products!$E$2:$E$101,MATCH(C1004,Products!$A$2:$A$101,0))</f>
        <v>215.26</v>
      </c>
      <c r="K1004" s="19">
        <f t="shared" si="46"/>
        <v>1076.3</v>
      </c>
      <c r="L1004" s="19">
        <f t="shared" si="47"/>
        <v>402.98</v>
      </c>
    </row>
    <row r="1005" spans="1:12" ht="15" customHeight="1" x14ac:dyDescent="0.25">
      <c r="A1005" s="10">
        <v>1004</v>
      </c>
      <c r="B1005" s="10">
        <v>316</v>
      </c>
      <c r="C1005" s="10">
        <v>36</v>
      </c>
      <c r="D1005" s="10">
        <v>5</v>
      </c>
      <c r="E1005" s="19">
        <v>472.77</v>
      </c>
      <c r="F1005" s="10">
        <v>0</v>
      </c>
      <c r="G1005" s="19">
        <f t="shared" si="45"/>
        <v>2363.85</v>
      </c>
      <c r="H1005" s="10">
        <f>INDEX(Products!$C$2:$C$101,MATCH(C1005,Products!$A$2:$A$101,0))</f>
        <v>4</v>
      </c>
      <c r="I1005" s="10" t="str">
        <f>INDEX(Categories!$B$2:$B$11,MATCH(H1005,Categories!$A$2:$A$11,0))</f>
        <v>Apparel</v>
      </c>
      <c r="J1005" s="19">
        <f>INDEX(Products!$E$2:$E$101,MATCH(C1005,Products!$A$2:$A$101,0))</f>
        <v>236.19</v>
      </c>
      <c r="K1005" s="19">
        <f t="shared" si="46"/>
        <v>1180.95</v>
      </c>
      <c r="L1005" s="19">
        <f t="shared" si="47"/>
        <v>1182.8999999999999</v>
      </c>
    </row>
    <row r="1006" spans="1:12" ht="15" customHeight="1" x14ac:dyDescent="0.25">
      <c r="A1006" s="10">
        <v>1005</v>
      </c>
      <c r="B1006" s="10">
        <v>317</v>
      </c>
      <c r="C1006" s="10">
        <v>90</v>
      </c>
      <c r="D1006" s="10">
        <v>3</v>
      </c>
      <c r="E1006" s="19">
        <v>50.45</v>
      </c>
      <c r="F1006" s="10">
        <v>0.2</v>
      </c>
      <c r="G1006" s="19">
        <f t="shared" si="45"/>
        <v>121.08000000000003</v>
      </c>
      <c r="H1006" s="10">
        <f>INDEX(Products!$C$2:$C$101,MATCH(C1006,Products!$A$2:$A$101,0))</f>
        <v>9</v>
      </c>
      <c r="I1006" s="10" t="str">
        <f>INDEX(Categories!$B$2:$B$11,MATCH(H1006,Categories!$A$2:$A$11,0))</f>
        <v>Automotive Parts</v>
      </c>
      <c r="J1006" s="19">
        <f>INDEX(Products!$E$2:$E$101,MATCH(C1006,Products!$A$2:$A$101,0))</f>
        <v>29.34</v>
      </c>
      <c r="K1006" s="19">
        <f t="shared" si="46"/>
        <v>88.02</v>
      </c>
      <c r="L1006" s="19">
        <f t="shared" si="47"/>
        <v>33.060000000000031</v>
      </c>
    </row>
    <row r="1007" spans="1:12" ht="15" customHeight="1" x14ac:dyDescent="0.25">
      <c r="A1007" s="10">
        <v>1006</v>
      </c>
      <c r="B1007" s="10">
        <v>317</v>
      </c>
      <c r="C1007" s="10">
        <v>31</v>
      </c>
      <c r="D1007" s="10">
        <v>9</v>
      </c>
      <c r="E1007" s="19">
        <v>93.27</v>
      </c>
      <c r="F1007" s="10">
        <v>0.2</v>
      </c>
      <c r="G1007" s="19">
        <f t="shared" si="45"/>
        <v>671.54399999999998</v>
      </c>
      <c r="H1007" s="10">
        <f>INDEX(Products!$C$2:$C$101,MATCH(C1007,Products!$A$2:$A$101,0))</f>
        <v>4</v>
      </c>
      <c r="I1007" s="10" t="str">
        <f>INDEX(Categories!$B$2:$B$11,MATCH(H1007,Categories!$A$2:$A$11,0))</f>
        <v>Apparel</v>
      </c>
      <c r="J1007" s="19">
        <f>INDEX(Products!$E$2:$E$101,MATCH(C1007,Products!$A$2:$A$101,0))</f>
        <v>65.099999999999994</v>
      </c>
      <c r="K1007" s="19">
        <f t="shared" si="46"/>
        <v>585.9</v>
      </c>
      <c r="L1007" s="19">
        <f t="shared" si="47"/>
        <v>85.644000000000005</v>
      </c>
    </row>
    <row r="1008" spans="1:12" ht="15" customHeight="1" x14ac:dyDescent="0.25">
      <c r="A1008" s="10">
        <v>1007</v>
      </c>
      <c r="B1008" s="10">
        <v>317</v>
      </c>
      <c r="C1008" s="10">
        <v>63</v>
      </c>
      <c r="D1008" s="10">
        <v>1</v>
      </c>
      <c r="E1008" s="19">
        <v>20.190000000000001</v>
      </c>
      <c r="F1008" s="10">
        <v>0</v>
      </c>
      <c r="G1008" s="19">
        <f t="shared" si="45"/>
        <v>20.190000000000001</v>
      </c>
      <c r="H1008" s="10">
        <f>INDEX(Products!$C$2:$C$101,MATCH(C1008,Products!$A$2:$A$101,0))</f>
        <v>7</v>
      </c>
      <c r="I1008" s="10" t="str">
        <f>INDEX(Categories!$B$2:$B$11,MATCH(H1008,Categories!$A$2:$A$11,0))</f>
        <v>Toys &amp; Games</v>
      </c>
      <c r="J1008" s="19">
        <f>INDEX(Products!$E$2:$E$101,MATCH(C1008,Products!$A$2:$A$101,0))</f>
        <v>10.130000000000001</v>
      </c>
      <c r="K1008" s="19">
        <f t="shared" si="46"/>
        <v>10.130000000000001</v>
      </c>
      <c r="L1008" s="19">
        <f t="shared" si="47"/>
        <v>10.06</v>
      </c>
    </row>
    <row r="1009" spans="1:12" ht="15" customHeight="1" x14ac:dyDescent="0.25">
      <c r="A1009" s="10">
        <v>1008</v>
      </c>
      <c r="B1009" s="10">
        <v>318</v>
      </c>
      <c r="C1009" s="10">
        <v>93</v>
      </c>
      <c r="D1009" s="10">
        <v>10</v>
      </c>
      <c r="E1009" s="19">
        <v>288.39999999999998</v>
      </c>
      <c r="F1009" s="10">
        <v>0.15</v>
      </c>
      <c r="G1009" s="19">
        <f t="shared" si="45"/>
        <v>2451.4</v>
      </c>
      <c r="H1009" s="10">
        <f>INDEX(Products!$C$2:$C$101,MATCH(C1009,Products!$A$2:$A$101,0))</f>
        <v>10</v>
      </c>
      <c r="I1009" s="10" t="str">
        <f>INDEX(Categories!$B$2:$B$11,MATCH(H1009,Categories!$A$2:$A$11,0))</f>
        <v>Groceries</v>
      </c>
      <c r="J1009" s="19">
        <f>INDEX(Products!$E$2:$E$101,MATCH(C1009,Products!$A$2:$A$101,0))</f>
        <v>125.69</v>
      </c>
      <c r="K1009" s="19">
        <f t="shared" si="46"/>
        <v>1256.9000000000001</v>
      </c>
      <c r="L1009" s="19">
        <f t="shared" si="47"/>
        <v>1194.5</v>
      </c>
    </row>
    <row r="1010" spans="1:12" ht="15" customHeight="1" x14ac:dyDescent="0.25">
      <c r="A1010" s="10">
        <v>1009</v>
      </c>
      <c r="B1010" s="10">
        <v>318</v>
      </c>
      <c r="C1010" s="10">
        <v>82</v>
      </c>
      <c r="D1010" s="10">
        <v>6</v>
      </c>
      <c r="E1010" s="19">
        <v>390.74</v>
      </c>
      <c r="F1010" s="10">
        <v>0</v>
      </c>
      <c r="G1010" s="19">
        <f t="shared" si="45"/>
        <v>2344.44</v>
      </c>
      <c r="H1010" s="10">
        <f>INDEX(Products!$C$2:$C$101,MATCH(C1010,Products!$A$2:$A$101,0))</f>
        <v>9</v>
      </c>
      <c r="I1010" s="10" t="str">
        <f>INDEX(Categories!$B$2:$B$11,MATCH(H1010,Categories!$A$2:$A$11,0))</f>
        <v>Automotive Parts</v>
      </c>
      <c r="J1010" s="19">
        <f>INDEX(Products!$E$2:$E$101,MATCH(C1010,Products!$A$2:$A$101,0))</f>
        <v>218.53</v>
      </c>
      <c r="K1010" s="19">
        <f t="shared" si="46"/>
        <v>1311.18</v>
      </c>
      <c r="L1010" s="19">
        <f t="shared" si="47"/>
        <v>1033.26</v>
      </c>
    </row>
    <row r="1011" spans="1:12" ht="15" customHeight="1" x14ac:dyDescent="0.25">
      <c r="A1011" s="10">
        <v>1010</v>
      </c>
      <c r="B1011" s="10">
        <v>318</v>
      </c>
      <c r="C1011" s="10">
        <v>22</v>
      </c>
      <c r="D1011" s="10">
        <v>5</v>
      </c>
      <c r="E1011" s="19">
        <v>247.09</v>
      </c>
      <c r="F1011" s="10">
        <v>0.2</v>
      </c>
      <c r="G1011" s="19">
        <f t="shared" si="45"/>
        <v>988.36000000000013</v>
      </c>
      <c r="H1011" s="10">
        <f>INDEX(Products!$C$2:$C$101,MATCH(C1011,Products!$A$2:$A$101,0))</f>
        <v>3</v>
      </c>
      <c r="I1011" s="10" t="str">
        <f>INDEX(Categories!$B$2:$B$11,MATCH(H1011,Categories!$A$2:$A$11,0))</f>
        <v>Furniture</v>
      </c>
      <c r="J1011" s="19">
        <f>INDEX(Products!$E$2:$E$101,MATCH(C1011,Products!$A$2:$A$101,0))</f>
        <v>149.34</v>
      </c>
      <c r="K1011" s="19">
        <f t="shared" si="46"/>
        <v>746.7</v>
      </c>
      <c r="L1011" s="19">
        <f t="shared" si="47"/>
        <v>241.66000000000008</v>
      </c>
    </row>
    <row r="1012" spans="1:12" ht="15" customHeight="1" x14ac:dyDescent="0.25">
      <c r="A1012" s="10">
        <v>1011</v>
      </c>
      <c r="B1012" s="10">
        <v>318</v>
      </c>
      <c r="C1012" s="10">
        <v>27</v>
      </c>
      <c r="D1012" s="10">
        <v>2</v>
      </c>
      <c r="E1012" s="19">
        <v>263.93</v>
      </c>
      <c r="F1012" s="10">
        <v>0</v>
      </c>
      <c r="G1012" s="19">
        <f t="shared" si="45"/>
        <v>527.86</v>
      </c>
      <c r="H1012" s="10">
        <f>INDEX(Products!$C$2:$C$101,MATCH(C1012,Products!$A$2:$A$101,0))</f>
        <v>3</v>
      </c>
      <c r="I1012" s="10" t="str">
        <f>INDEX(Categories!$B$2:$B$11,MATCH(H1012,Categories!$A$2:$A$11,0))</f>
        <v>Furniture</v>
      </c>
      <c r="J1012" s="19">
        <f>INDEX(Products!$E$2:$E$101,MATCH(C1012,Products!$A$2:$A$101,0))</f>
        <v>123.68</v>
      </c>
      <c r="K1012" s="19">
        <f t="shared" si="46"/>
        <v>247.36</v>
      </c>
      <c r="L1012" s="19">
        <f t="shared" si="47"/>
        <v>280.5</v>
      </c>
    </row>
    <row r="1013" spans="1:12" ht="15" customHeight="1" x14ac:dyDescent="0.25">
      <c r="A1013" s="10">
        <v>1012</v>
      </c>
      <c r="B1013" s="10">
        <v>319</v>
      </c>
      <c r="C1013" s="10">
        <v>30</v>
      </c>
      <c r="D1013" s="10">
        <v>8</v>
      </c>
      <c r="E1013" s="19">
        <v>474.78</v>
      </c>
      <c r="F1013" s="10">
        <v>0</v>
      </c>
      <c r="G1013" s="19">
        <f t="shared" si="45"/>
        <v>3798.24</v>
      </c>
      <c r="H1013" s="10">
        <f>INDEX(Products!$C$2:$C$101,MATCH(C1013,Products!$A$2:$A$101,0))</f>
        <v>3</v>
      </c>
      <c r="I1013" s="10" t="str">
        <f>INDEX(Categories!$B$2:$B$11,MATCH(H1013,Categories!$A$2:$A$11,0))</f>
        <v>Furniture</v>
      </c>
      <c r="J1013" s="19">
        <f>INDEX(Products!$E$2:$E$101,MATCH(C1013,Products!$A$2:$A$101,0))</f>
        <v>249.17</v>
      </c>
      <c r="K1013" s="19">
        <f t="shared" si="46"/>
        <v>1993.36</v>
      </c>
      <c r="L1013" s="19">
        <f t="shared" si="47"/>
        <v>1804.8799999999999</v>
      </c>
    </row>
    <row r="1014" spans="1:12" ht="15" customHeight="1" x14ac:dyDescent="0.25">
      <c r="A1014" s="10">
        <v>1013</v>
      </c>
      <c r="B1014" s="10">
        <v>319</v>
      </c>
      <c r="C1014" s="10">
        <v>49</v>
      </c>
      <c r="D1014" s="10">
        <v>3</v>
      </c>
      <c r="E1014" s="19">
        <v>30.6</v>
      </c>
      <c r="F1014" s="10">
        <v>0.1</v>
      </c>
      <c r="G1014" s="19">
        <f t="shared" si="45"/>
        <v>82.620000000000019</v>
      </c>
      <c r="H1014" s="10">
        <f>INDEX(Products!$C$2:$C$101,MATCH(C1014,Products!$A$2:$A$101,0))</f>
        <v>5</v>
      </c>
      <c r="I1014" s="10" t="str">
        <f>INDEX(Categories!$B$2:$B$11,MATCH(H1014,Categories!$A$2:$A$11,0))</f>
        <v>Home &amp; Kitchen</v>
      </c>
      <c r="J1014" s="19">
        <f>INDEX(Products!$E$2:$E$101,MATCH(C1014,Products!$A$2:$A$101,0))</f>
        <v>20.64</v>
      </c>
      <c r="K1014" s="19">
        <f t="shared" si="46"/>
        <v>61.92</v>
      </c>
      <c r="L1014" s="19">
        <f t="shared" si="47"/>
        <v>20.700000000000017</v>
      </c>
    </row>
    <row r="1015" spans="1:12" ht="15" customHeight="1" x14ac:dyDescent="0.25">
      <c r="A1015" s="10">
        <v>1014</v>
      </c>
      <c r="B1015" s="10">
        <v>319</v>
      </c>
      <c r="C1015" s="10">
        <v>88</v>
      </c>
      <c r="D1015" s="10">
        <v>7</v>
      </c>
      <c r="E1015" s="19">
        <v>188.36</v>
      </c>
      <c r="F1015" s="10">
        <v>0</v>
      </c>
      <c r="G1015" s="19">
        <f t="shared" si="45"/>
        <v>1318.52</v>
      </c>
      <c r="H1015" s="10">
        <f>INDEX(Products!$C$2:$C$101,MATCH(C1015,Products!$A$2:$A$101,0))</f>
        <v>9</v>
      </c>
      <c r="I1015" s="10" t="str">
        <f>INDEX(Categories!$B$2:$B$11,MATCH(H1015,Categories!$A$2:$A$11,0))</f>
        <v>Automotive Parts</v>
      </c>
      <c r="J1015" s="19">
        <f>INDEX(Products!$E$2:$E$101,MATCH(C1015,Products!$A$2:$A$101,0))</f>
        <v>112.11</v>
      </c>
      <c r="K1015" s="19">
        <f t="shared" si="46"/>
        <v>784.77</v>
      </c>
      <c r="L1015" s="19">
        <f t="shared" si="47"/>
        <v>533.75</v>
      </c>
    </row>
    <row r="1016" spans="1:12" ht="15" customHeight="1" x14ac:dyDescent="0.25">
      <c r="A1016" s="10">
        <v>1015</v>
      </c>
      <c r="B1016" s="10">
        <v>319</v>
      </c>
      <c r="C1016" s="10">
        <v>91</v>
      </c>
      <c r="D1016" s="10">
        <v>5</v>
      </c>
      <c r="E1016" s="19">
        <v>180.37</v>
      </c>
      <c r="F1016" s="10">
        <v>0.2</v>
      </c>
      <c r="G1016" s="19">
        <f t="shared" si="45"/>
        <v>721.48</v>
      </c>
      <c r="H1016" s="10">
        <f>INDEX(Products!$C$2:$C$101,MATCH(C1016,Products!$A$2:$A$101,0))</f>
        <v>10</v>
      </c>
      <c r="I1016" s="10" t="str">
        <f>INDEX(Categories!$B$2:$B$11,MATCH(H1016,Categories!$A$2:$A$11,0))</f>
        <v>Groceries</v>
      </c>
      <c r="J1016" s="19">
        <f>INDEX(Products!$E$2:$E$101,MATCH(C1016,Products!$A$2:$A$101,0))</f>
        <v>75.92</v>
      </c>
      <c r="K1016" s="19">
        <f t="shared" si="46"/>
        <v>379.6</v>
      </c>
      <c r="L1016" s="19">
        <f t="shared" si="47"/>
        <v>341.88</v>
      </c>
    </row>
    <row r="1017" spans="1:12" ht="15" customHeight="1" x14ac:dyDescent="0.25">
      <c r="A1017" s="10">
        <v>1016</v>
      </c>
      <c r="B1017" s="10">
        <v>319</v>
      </c>
      <c r="C1017" s="10">
        <v>50</v>
      </c>
      <c r="D1017" s="10">
        <v>8</v>
      </c>
      <c r="E1017" s="19">
        <v>411.05</v>
      </c>
      <c r="F1017" s="10">
        <v>0.05</v>
      </c>
      <c r="G1017" s="19">
        <f t="shared" si="45"/>
        <v>3123.98</v>
      </c>
      <c r="H1017" s="10">
        <f>INDEX(Products!$C$2:$C$101,MATCH(C1017,Products!$A$2:$A$101,0))</f>
        <v>5</v>
      </c>
      <c r="I1017" s="10" t="str">
        <f>INDEX(Categories!$B$2:$B$11,MATCH(H1017,Categories!$A$2:$A$11,0))</f>
        <v>Home &amp; Kitchen</v>
      </c>
      <c r="J1017" s="19">
        <f>INDEX(Products!$E$2:$E$101,MATCH(C1017,Products!$A$2:$A$101,0))</f>
        <v>230.53</v>
      </c>
      <c r="K1017" s="19">
        <f t="shared" si="46"/>
        <v>1844.24</v>
      </c>
      <c r="L1017" s="19">
        <f t="shared" si="47"/>
        <v>1279.74</v>
      </c>
    </row>
    <row r="1018" spans="1:12" ht="15" customHeight="1" x14ac:dyDescent="0.25">
      <c r="A1018" s="10">
        <v>1017</v>
      </c>
      <c r="B1018" s="10">
        <v>320</v>
      </c>
      <c r="C1018" s="10">
        <v>13</v>
      </c>
      <c r="D1018" s="10">
        <v>10</v>
      </c>
      <c r="E1018" s="19">
        <v>360.29</v>
      </c>
      <c r="F1018" s="10">
        <v>0.05</v>
      </c>
      <c r="G1018" s="19">
        <f t="shared" si="45"/>
        <v>3422.7550000000001</v>
      </c>
      <c r="H1018" s="10">
        <f>INDEX(Products!$C$2:$C$101,MATCH(C1018,Products!$A$2:$A$101,0))</f>
        <v>2</v>
      </c>
      <c r="I1018" s="10" t="str">
        <f>INDEX(Categories!$B$2:$B$11,MATCH(H1018,Categories!$A$2:$A$11,0))</f>
        <v>Office Supplies</v>
      </c>
      <c r="J1018" s="19">
        <f>INDEX(Products!$E$2:$E$101,MATCH(C1018,Products!$A$2:$A$101,0))</f>
        <v>152.66</v>
      </c>
      <c r="K1018" s="19">
        <f t="shared" si="46"/>
        <v>1526.6</v>
      </c>
      <c r="L1018" s="19">
        <f t="shared" si="47"/>
        <v>1896.1550000000002</v>
      </c>
    </row>
    <row r="1019" spans="1:12" ht="15" customHeight="1" x14ac:dyDescent="0.25">
      <c r="A1019" s="10">
        <v>1018</v>
      </c>
      <c r="B1019" s="10">
        <v>320</v>
      </c>
      <c r="C1019" s="10">
        <v>33</v>
      </c>
      <c r="D1019" s="10">
        <v>8</v>
      </c>
      <c r="E1019" s="19">
        <v>432.05</v>
      </c>
      <c r="F1019" s="10">
        <v>0.2</v>
      </c>
      <c r="G1019" s="19">
        <f t="shared" si="45"/>
        <v>2765.1200000000003</v>
      </c>
      <c r="H1019" s="10">
        <f>INDEX(Products!$C$2:$C$101,MATCH(C1019,Products!$A$2:$A$101,0))</f>
        <v>4</v>
      </c>
      <c r="I1019" s="10" t="str">
        <f>INDEX(Categories!$B$2:$B$11,MATCH(H1019,Categories!$A$2:$A$11,0))</f>
        <v>Apparel</v>
      </c>
      <c r="J1019" s="19">
        <f>INDEX(Products!$E$2:$E$101,MATCH(C1019,Products!$A$2:$A$101,0))</f>
        <v>181.97</v>
      </c>
      <c r="K1019" s="19">
        <f t="shared" si="46"/>
        <v>1455.76</v>
      </c>
      <c r="L1019" s="19">
        <f t="shared" si="47"/>
        <v>1309.3600000000004</v>
      </c>
    </row>
    <row r="1020" spans="1:12" ht="15" customHeight="1" x14ac:dyDescent="0.25">
      <c r="A1020" s="10">
        <v>1019</v>
      </c>
      <c r="B1020" s="10">
        <v>320</v>
      </c>
      <c r="C1020" s="10">
        <v>84</v>
      </c>
      <c r="D1020" s="10">
        <v>4</v>
      </c>
      <c r="E1020" s="19">
        <v>258</v>
      </c>
      <c r="F1020" s="10">
        <v>0.15</v>
      </c>
      <c r="G1020" s="19">
        <f t="shared" si="45"/>
        <v>877.19999999999993</v>
      </c>
      <c r="H1020" s="10">
        <f>INDEX(Products!$C$2:$C$101,MATCH(C1020,Products!$A$2:$A$101,0))</f>
        <v>9</v>
      </c>
      <c r="I1020" s="10" t="str">
        <f>INDEX(Categories!$B$2:$B$11,MATCH(H1020,Categories!$A$2:$A$11,0))</f>
        <v>Automotive Parts</v>
      </c>
      <c r="J1020" s="19">
        <f>INDEX(Products!$E$2:$E$101,MATCH(C1020,Products!$A$2:$A$101,0))</f>
        <v>134.19999999999999</v>
      </c>
      <c r="K1020" s="19">
        <f t="shared" si="46"/>
        <v>536.79999999999995</v>
      </c>
      <c r="L1020" s="19">
        <f t="shared" si="47"/>
        <v>340.4</v>
      </c>
    </row>
    <row r="1021" spans="1:12" ht="15" customHeight="1" x14ac:dyDescent="0.25">
      <c r="A1021" s="10">
        <v>1020</v>
      </c>
      <c r="B1021" s="10">
        <v>321</v>
      </c>
      <c r="C1021" s="10">
        <v>53</v>
      </c>
      <c r="D1021" s="10">
        <v>2</v>
      </c>
      <c r="E1021" s="19">
        <v>534</v>
      </c>
      <c r="F1021" s="10">
        <v>0.1</v>
      </c>
      <c r="G1021" s="19">
        <f t="shared" si="45"/>
        <v>961.2</v>
      </c>
      <c r="H1021" s="10">
        <f>INDEX(Products!$C$2:$C$101,MATCH(C1021,Products!$A$2:$A$101,0))</f>
        <v>6</v>
      </c>
      <c r="I1021" s="10" t="str">
        <f>INDEX(Categories!$B$2:$B$11,MATCH(H1021,Categories!$A$2:$A$11,0))</f>
        <v>Sporting Goods</v>
      </c>
      <c r="J1021" s="19">
        <f>INDEX(Products!$E$2:$E$101,MATCH(C1021,Products!$A$2:$A$101,0))</f>
        <v>240.59</v>
      </c>
      <c r="K1021" s="19">
        <f t="shared" si="46"/>
        <v>481.18</v>
      </c>
      <c r="L1021" s="19">
        <f t="shared" si="47"/>
        <v>480.02000000000004</v>
      </c>
    </row>
    <row r="1022" spans="1:12" ht="15" customHeight="1" x14ac:dyDescent="0.25">
      <c r="A1022" s="10">
        <v>1021</v>
      </c>
      <c r="B1022" s="10">
        <v>322</v>
      </c>
      <c r="C1022" s="10">
        <v>80</v>
      </c>
      <c r="D1022" s="10">
        <v>2</v>
      </c>
      <c r="E1022" s="19">
        <v>292.64999999999998</v>
      </c>
      <c r="F1022" s="10">
        <v>0</v>
      </c>
      <c r="G1022" s="19">
        <f t="shared" si="45"/>
        <v>585.29999999999995</v>
      </c>
      <c r="H1022" s="10">
        <f>INDEX(Products!$C$2:$C$101,MATCH(C1022,Products!$A$2:$A$101,0))</f>
        <v>8</v>
      </c>
      <c r="I1022" s="10" t="str">
        <f>INDEX(Categories!$B$2:$B$11,MATCH(H1022,Categories!$A$2:$A$11,0))</f>
        <v>Health &amp; Beauty</v>
      </c>
      <c r="J1022" s="19">
        <f>INDEX(Products!$E$2:$E$101,MATCH(C1022,Products!$A$2:$A$101,0))</f>
        <v>218.48</v>
      </c>
      <c r="K1022" s="19">
        <f t="shared" si="46"/>
        <v>436.96</v>
      </c>
      <c r="L1022" s="19">
        <f t="shared" si="47"/>
        <v>148.33999999999997</v>
      </c>
    </row>
    <row r="1023" spans="1:12" ht="15" customHeight="1" x14ac:dyDescent="0.25">
      <c r="A1023" s="10">
        <v>1022</v>
      </c>
      <c r="B1023" s="10">
        <v>323</v>
      </c>
      <c r="C1023" s="10">
        <v>85</v>
      </c>
      <c r="D1023" s="10">
        <v>3</v>
      </c>
      <c r="E1023" s="19">
        <v>264.20999999999998</v>
      </c>
      <c r="F1023" s="10">
        <v>0</v>
      </c>
      <c r="G1023" s="19">
        <f t="shared" si="45"/>
        <v>792.62999999999988</v>
      </c>
      <c r="H1023" s="10">
        <f>INDEX(Products!$C$2:$C$101,MATCH(C1023,Products!$A$2:$A$101,0))</f>
        <v>9</v>
      </c>
      <c r="I1023" s="10" t="str">
        <f>INDEX(Categories!$B$2:$B$11,MATCH(H1023,Categories!$A$2:$A$11,0))</f>
        <v>Automotive Parts</v>
      </c>
      <c r="J1023" s="19">
        <f>INDEX(Products!$E$2:$E$101,MATCH(C1023,Products!$A$2:$A$101,0))</f>
        <v>153.54</v>
      </c>
      <c r="K1023" s="19">
        <f t="shared" si="46"/>
        <v>460.62</v>
      </c>
      <c r="L1023" s="19">
        <f t="shared" si="47"/>
        <v>332.00999999999988</v>
      </c>
    </row>
    <row r="1024" spans="1:12" ht="15" customHeight="1" x14ac:dyDescent="0.25">
      <c r="A1024" s="10">
        <v>1023</v>
      </c>
      <c r="B1024" s="10">
        <v>323</v>
      </c>
      <c r="C1024" s="10">
        <v>98</v>
      </c>
      <c r="D1024" s="10">
        <v>3</v>
      </c>
      <c r="E1024" s="19">
        <v>67.48</v>
      </c>
      <c r="F1024" s="10">
        <v>0</v>
      </c>
      <c r="G1024" s="19">
        <f t="shared" si="45"/>
        <v>202.44</v>
      </c>
      <c r="H1024" s="10">
        <f>INDEX(Products!$C$2:$C$101,MATCH(C1024,Products!$A$2:$A$101,0))</f>
        <v>10</v>
      </c>
      <c r="I1024" s="10" t="str">
        <f>INDEX(Categories!$B$2:$B$11,MATCH(H1024,Categories!$A$2:$A$11,0))</f>
        <v>Groceries</v>
      </c>
      <c r="J1024" s="19">
        <f>INDEX(Products!$E$2:$E$101,MATCH(C1024,Products!$A$2:$A$101,0))</f>
        <v>35.64</v>
      </c>
      <c r="K1024" s="19">
        <f t="shared" si="46"/>
        <v>106.92</v>
      </c>
      <c r="L1024" s="19">
        <f t="shared" si="47"/>
        <v>95.52</v>
      </c>
    </row>
    <row r="1025" spans="1:12" ht="15" customHeight="1" x14ac:dyDescent="0.25">
      <c r="A1025" s="10">
        <v>1024</v>
      </c>
      <c r="B1025" s="10">
        <v>323</v>
      </c>
      <c r="C1025" s="10">
        <v>83</v>
      </c>
      <c r="D1025" s="10">
        <v>5</v>
      </c>
      <c r="E1025" s="19">
        <v>113.19</v>
      </c>
      <c r="F1025" s="10">
        <v>0.05</v>
      </c>
      <c r="G1025" s="19">
        <f t="shared" si="45"/>
        <v>537.65250000000003</v>
      </c>
      <c r="H1025" s="10">
        <f>INDEX(Products!$C$2:$C$101,MATCH(C1025,Products!$A$2:$A$101,0))</f>
        <v>9</v>
      </c>
      <c r="I1025" s="10" t="str">
        <f>INDEX(Categories!$B$2:$B$11,MATCH(H1025,Categories!$A$2:$A$11,0))</f>
        <v>Automotive Parts</v>
      </c>
      <c r="J1025" s="19">
        <f>INDEX(Products!$E$2:$E$101,MATCH(C1025,Products!$A$2:$A$101,0))</f>
        <v>83.12</v>
      </c>
      <c r="K1025" s="19">
        <f t="shared" si="46"/>
        <v>415.6</v>
      </c>
      <c r="L1025" s="19">
        <f t="shared" si="47"/>
        <v>122.05250000000001</v>
      </c>
    </row>
    <row r="1026" spans="1:12" ht="15" customHeight="1" x14ac:dyDescent="0.25">
      <c r="A1026" s="10">
        <v>1025</v>
      </c>
      <c r="B1026" s="10">
        <v>323</v>
      </c>
      <c r="C1026" s="10">
        <v>73</v>
      </c>
      <c r="D1026" s="10">
        <v>2</v>
      </c>
      <c r="E1026" s="19">
        <v>375.67</v>
      </c>
      <c r="F1026" s="10">
        <v>0.15</v>
      </c>
      <c r="G1026" s="19">
        <f t="shared" ref="G1026:G1089" si="48">D1026*E1026*(1-F1026)</f>
        <v>638.63900000000001</v>
      </c>
      <c r="H1026" s="10">
        <f>INDEX(Products!$C$2:$C$101,MATCH(C1026,Products!$A$2:$A$101,0))</f>
        <v>8</v>
      </c>
      <c r="I1026" s="10" t="str">
        <f>INDEX(Categories!$B$2:$B$11,MATCH(H1026,Categories!$A$2:$A$11,0))</f>
        <v>Health &amp; Beauty</v>
      </c>
      <c r="J1026" s="19">
        <f>INDEX(Products!$E$2:$E$101,MATCH(C1026,Products!$A$2:$A$101,0))</f>
        <v>214.44</v>
      </c>
      <c r="K1026" s="19">
        <f t="shared" ref="K1026:K1089" si="49">D1026*J1026</f>
        <v>428.88</v>
      </c>
      <c r="L1026" s="19">
        <f t="shared" ref="L1026:L1089" si="50">G1026-K1026</f>
        <v>209.75900000000001</v>
      </c>
    </row>
    <row r="1027" spans="1:12" ht="15" customHeight="1" x14ac:dyDescent="0.25">
      <c r="A1027" s="10">
        <v>1026</v>
      </c>
      <c r="B1027" s="10">
        <v>324</v>
      </c>
      <c r="C1027" s="10">
        <v>100</v>
      </c>
      <c r="D1027" s="10">
        <v>7</v>
      </c>
      <c r="E1027" s="19">
        <v>313.44</v>
      </c>
      <c r="F1027" s="10">
        <v>0</v>
      </c>
      <c r="G1027" s="19">
        <f t="shared" si="48"/>
        <v>2194.08</v>
      </c>
      <c r="H1027" s="10">
        <f>INDEX(Products!$C$2:$C$101,MATCH(C1027,Products!$A$2:$A$101,0))</f>
        <v>10</v>
      </c>
      <c r="I1027" s="10" t="str">
        <f>INDEX(Categories!$B$2:$B$11,MATCH(H1027,Categories!$A$2:$A$11,0))</f>
        <v>Groceries</v>
      </c>
      <c r="J1027" s="19">
        <f>INDEX(Products!$E$2:$E$101,MATCH(C1027,Products!$A$2:$A$101,0))</f>
        <v>187.4</v>
      </c>
      <c r="K1027" s="19">
        <f t="shared" si="49"/>
        <v>1311.8</v>
      </c>
      <c r="L1027" s="19">
        <f t="shared" si="50"/>
        <v>882.28</v>
      </c>
    </row>
    <row r="1028" spans="1:12" ht="15" customHeight="1" x14ac:dyDescent="0.25">
      <c r="A1028" s="10">
        <v>1027</v>
      </c>
      <c r="B1028" s="10">
        <v>324</v>
      </c>
      <c r="C1028" s="10">
        <v>8</v>
      </c>
      <c r="D1028" s="10">
        <v>1</v>
      </c>
      <c r="E1028" s="19">
        <v>418.1</v>
      </c>
      <c r="F1028" s="10">
        <v>0</v>
      </c>
      <c r="G1028" s="19">
        <f t="shared" si="48"/>
        <v>418.1</v>
      </c>
      <c r="H1028" s="10">
        <f>INDEX(Products!$C$2:$C$101,MATCH(C1028,Products!$A$2:$A$101,0))</f>
        <v>1</v>
      </c>
      <c r="I1028" s="10" t="str">
        <f>INDEX(Categories!$B$2:$B$11,MATCH(H1028,Categories!$A$2:$A$11,0))</f>
        <v>Electronics</v>
      </c>
      <c r="J1028" s="19">
        <f>INDEX(Products!$E$2:$E$101,MATCH(C1028,Products!$A$2:$A$101,0))</f>
        <v>188.75</v>
      </c>
      <c r="K1028" s="19">
        <f t="shared" si="49"/>
        <v>188.75</v>
      </c>
      <c r="L1028" s="19">
        <f t="shared" si="50"/>
        <v>229.35000000000002</v>
      </c>
    </row>
    <row r="1029" spans="1:12" ht="15" customHeight="1" x14ac:dyDescent="0.25">
      <c r="A1029" s="10">
        <v>1028</v>
      </c>
      <c r="B1029" s="10">
        <v>324</v>
      </c>
      <c r="C1029" s="10">
        <v>49</v>
      </c>
      <c r="D1029" s="10">
        <v>5</v>
      </c>
      <c r="E1029" s="19">
        <v>30.6</v>
      </c>
      <c r="F1029" s="10">
        <v>0</v>
      </c>
      <c r="G1029" s="19">
        <f t="shared" si="48"/>
        <v>153</v>
      </c>
      <c r="H1029" s="10">
        <f>INDEX(Products!$C$2:$C$101,MATCH(C1029,Products!$A$2:$A$101,0))</f>
        <v>5</v>
      </c>
      <c r="I1029" s="10" t="str">
        <f>INDEX(Categories!$B$2:$B$11,MATCH(H1029,Categories!$A$2:$A$11,0))</f>
        <v>Home &amp; Kitchen</v>
      </c>
      <c r="J1029" s="19">
        <f>INDEX(Products!$E$2:$E$101,MATCH(C1029,Products!$A$2:$A$101,0))</f>
        <v>20.64</v>
      </c>
      <c r="K1029" s="19">
        <f t="shared" si="49"/>
        <v>103.2</v>
      </c>
      <c r="L1029" s="19">
        <f t="shared" si="50"/>
        <v>49.8</v>
      </c>
    </row>
    <row r="1030" spans="1:12" ht="15" customHeight="1" x14ac:dyDescent="0.25">
      <c r="A1030" s="10">
        <v>1029</v>
      </c>
      <c r="B1030" s="10">
        <v>325</v>
      </c>
      <c r="C1030" s="10">
        <v>70</v>
      </c>
      <c r="D1030" s="10">
        <v>7</v>
      </c>
      <c r="E1030" s="19">
        <v>149.31</v>
      </c>
      <c r="F1030" s="10">
        <v>0</v>
      </c>
      <c r="G1030" s="19">
        <f t="shared" si="48"/>
        <v>1045.17</v>
      </c>
      <c r="H1030" s="10">
        <f>INDEX(Products!$C$2:$C$101,MATCH(C1030,Products!$A$2:$A$101,0))</f>
        <v>7</v>
      </c>
      <c r="I1030" s="10" t="str">
        <f>INDEX(Categories!$B$2:$B$11,MATCH(H1030,Categories!$A$2:$A$11,0))</f>
        <v>Toys &amp; Games</v>
      </c>
      <c r="J1030" s="19">
        <f>INDEX(Products!$E$2:$E$101,MATCH(C1030,Products!$A$2:$A$101,0))</f>
        <v>76.739999999999995</v>
      </c>
      <c r="K1030" s="19">
        <f t="shared" si="49"/>
        <v>537.17999999999995</v>
      </c>
      <c r="L1030" s="19">
        <f t="shared" si="50"/>
        <v>507.99000000000012</v>
      </c>
    </row>
    <row r="1031" spans="1:12" ht="15" customHeight="1" x14ac:dyDescent="0.25">
      <c r="A1031" s="10">
        <v>1030</v>
      </c>
      <c r="B1031" s="10">
        <v>325</v>
      </c>
      <c r="C1031" s="10">
        <v>99</v>
      </c>
      <c r="D1031" s="10">
        <v>10</v>
      </c>
      <c r="E1031" s="19">
        <v>329.4</v>
      </c>
      <c r="F1031" s="10">
        <v>0.15</v>
      </c>
      <c r="G1031" s="19">
        <f t="shared" si="48"/>
        <v>2799.9</v>
      </c>
      <c r="H1031" s="10">
        <f>INDEX(Products!$C$2:$C$101,MATCH(C1031,Products!$A$2:$A$101,0))</f>
        <v>10</v>
      </c>
      <c r="I1031" s="10" t="str">
        <f>INDEX(Categories!$B$2:$B$11,MATCH(H1031,Categories!$A$2:$A$11,0))</f>
        <v>Groceries</v>
      </c>
      <c r="J1031" s="19">
        <f>INDEX(Products!$E$2:$E$101,MATCH(C1031,Products!$A$2:$A$101,0))</f>
        <v>208.13</v>
      </c>
      <c r="K1031" s="19">
        <f t="shared" si="49"/>
        <v>2081.3000000000002</v>
      </c>
      <c r="L1031" s="19">
        <f t="shared" si="50"/>
        <v>718.59999999999991</v>
      </c>
    </row>
    <row r="1032" spans="1:12" ht="15" customHeight="1" x14ac:dyDescent="0.25">
      <c r="A1032" s="10">
        <v>1031</v>
      </c>
      <c r="B1032" s="10">
        <v>326</v>
      </c>
      <c r="C1032" s="10">
        <v>94</v>
      </c>
      <c r="D1032" s="10">
        <v>8</v>
      </c>
      <c r="E1032" s="19">
        <v>309.85000000000002</v>
      </c>
      <c r="F1032" s="10">
        <v>0</v>
      </c>
      <c r="G1032" s="19">
        <f t="shared" si="48"/>
        <v>2478.8000000000002</v>
      </c>
      <c r="H1032" s="10">
        <f>INDEX(Products!$C$2:$C$101,MATCH(C1032,Products!$A$2:$A$101,0))</f>
        <v>10</v>
      </c>
      <c r="I1032" s="10" t="str">
        <f>INDEX(Categories!$B$2:$B$11,MATCH(H1032,Categories!$A$2:$A$11,0))</f>
        <v>Groceries</v>
      </c>
      <c r="J1032" s="19">
        <f>INDEX(Products!$E$2:$E$101,MATCH(C1032,Products!$A$2:$A$101,0))</f>
        <v>201.08</v>
      </c>
      <c r="K1032" s="19">
        <f t="shared" si="49"/>
        <v>1608.64</v>
      </c>
      <c r="L1032" s="19">
        <f t="shared" si="50"/>
        <v>870.16000000000008</v>
      </c>
    </row>
    <row r="1033" spans="1:12" ht="15" customHeight="1" x14ac:dyDescent="0.25">
      <c r="A1033" s="10">
        <v>1032</v>
      </c>
      <c r="B1033" s="10">
        <v>326</v>
      </c>
      <c r="C1033" s="10">
        <v>33</v>
      </c>
      <c r="D1033" s="10">
        <v>1</v>
      </c>
      <c r="E1033" s="19">
        <v>432.05</v>
      </c>
      <c r="F1033" s="10">
        <v>0</v>
      </c>
      <c r="G1033" s="19">
        <f t="shared" si="48"/>
        <v>432.05</v>
      </c>
      <c r="H1033" s="10">
        <f>INDEX(Products!$C$2:$C$101,MATCH(C1033,Products!$A$2:$A$101,0))</f>
        <v>4</v>
      </c>
      <c r="I1033" s="10" t="str">
        <f>INDEX(Categories!$B$2:$B$11,MATCH(H1033,Categories!$A$2:$A$11,0))</f>
        <v>Apparel</v>
      </c>
      <c r="J1033" s="19">
        <f>INDEX(Products!$E$2:$E$101,MATCH(C1033,Products!$A$2:$A$101,0))</f>
        <v>181.97</v>
      </c>
      <c r="K1033" s="19">
        <f t="shared" si="49"/>
        <v>181.97</v>
      </c>
      <c r="L1033" s="19">
        <f t="shared" si="50"/>
        <v>250.08</v>
      </c>
    </row>
    <row r="1034" spans="1:12" ht="15" customHeight="1" x14ac:dyDescent="0.25">
      <c r="A1034" s="10">
        <v>1033</v>
      </c>
      <c r="B1034" s="10">
        <v>326</v>
      </c>
      <c r="C1034" s="10">
        <v>100</v>
      </c>
      <c r="D1034" s="10">
        <v>7</v>
      </c>
      <c r="E1034" s="19">
        <v>313.44</v>
      </c>
      <c r="F1034" s="10">
        <v>0</v>
      </c>
      <c r="G1034" s="19">
        <f t="shared" si="48"/>
        <v>2194.08</v>
      </c>
      <c r="H1034" s="10">
        <f>INDEX(Products!$C$2:$C$101,MATCH(C1034,Products!$A$2:$A$101,0))</f>
        <v>10</v>
      </c>
      <c r="I1034" s="10" t="str">
        <f>INDEX(Categories!$B$2:$B$11,MATCH(H1034,Categories!$A$2:$A$11,0))</f>
        <v>Groceries</v>
      </c>
      <c r="J1034" s="19">
        <f>INDEX(Products!$E$2:$E$101,MATCH(C1034,Products!$A$2:$A$101,0))</f>
        <v>187.4</v>
      </c>
      <c r="K1034" s="19">
        <f t="shared" si="49"/>
        <v>1311.8</v>
      </c>
      <c r="L1034" s="19">
        <f t="shared" si="50"/>
        <v>882.28</v>
      </c>
    </row>
    <row r="1035" spans="1:12" ht="15" customHeight="1" x14ac:dyDescent="0.25">
      <c r="A1035" s="10">
        <v>1034</v>
      </c>
      <c r="B1035" s="10">
        <v>326</v>
      </c>
      <c r="C1035" s="10">
        <v>58</v>
      </c>
      <c r="D1035" s="10">
        <v>3</v>
      </c>
      <c r="E1035" s="19">
        <v>388.55</v>
      </c>
      <c r="F1035" s="10">
        <v>0.15</v>
      </c>
      <c r="G1035" s="19">
        <f t="shared" si="48"/>
        <v>990.80250000000001</v>
      </c>
      <c r="H1035" s="10">
        <f>INDEX(Products!$C$2:$C$101,MATCH(C1035,Products!$A$2:$A$101,0))</f>
        <v>6</v>
      </c>
      <c r="I1035" s="10" t="str">
        <f>INDEX(Categories!$B$2:$B$11,MATCH(H1035,Categories!$A$2:$A$11,0))</f>
        <v>Sporting Goods</v>
      </c>
      <c r="J1035" s="19">
        <f>INDEX(Products!$E$2:$E$101,MATCH(C1035,Products!$A$2:$A$101,0))</f>
        <v>203.95</v>
      </c>
      <c r="K1035" s="19">
        <f t="shared" si="49"/>
        <v>611.84999999999991</v>
      </c>
      <c r="L1035" s="19">
        <f t="shared" si="50"/>
        <v>378.9525000000001</v>
      </c>
    </row>
    <row r="1036" spans="1:12" ht="15" customHeight="1" x14ac:dyDescent="0.25">
      <c r="A1036" s="10">
        <v>1035</v>
      </c>
      <c r="B1036" s="10">
        <v>326</v>
      </c>
      <c r="C1036" s="10">
        <v>3</v>
      </c>
      <c r="D1036" s="10">
        <v>6</v>
      </c>
      <c r="E1036" s="19">
        <v>101.78</v>
      </c>
      <c r="F1036" s="10">
        <v>0.05</v>
      </c>
      <c r="G1036" s="19">
        <f t="shared" si="48"/>
        <v>580.14600000000007</v>
      </c>
      <c r="H1036" s="10">
        <f>INDEX(Products!$C$2:$C$101,MATCH(C1036,Products!$A$2:$A$101,0))</f>
        <v>1</v>
      </c>
      <c r="I1036" s="10" t="str">
        <f>INDEX(Categories!$B$2:$B$11,MATCH(H1036,Categories!$A$2:$A$11,0))</f>
        <v>Electronics</v>
      </c>
      <c r="J1036" s="19">
        <f>INDEX(Products!$E$2:$E$101,MATCH(C1036,Products!$A$2:$A$101,0))</f>
        <v>57.2</v>
      </c>
      <c r="K1036" s="19">
        <f t="shared" si="49"/>
        <v>343.20000000000005</v>
      </c>
      <c r="L1036" s="19">
        <f t="shared" si="50"/>
        <v>236.94600000000003</v>
      </c>
    </row>
    <row r="1037" spans="1:12" ht="15" customHeight="1" x14ac:dyDescent="0.25">
      <c r="A1037" s="10">
        <v>1036</v>
      </c>
      <c r="B1037" s="10">
        <v>327</v>
      </c>
      <c r="C1037" s="10">
        <v>70</v>
      </c>
      <c r="D1037" s="10">
        <v>4</v>
      </c>
      <c r="E1037" s="19">
        <v>149.31</v>
      </c>
      <c r="F1037" s="10">
        <v>0</v>
      </c>
      <c r="G1037" s="19">
        <f t="shared" si="48"/>
        <v>597.24</v>
      </c>
      <c r="H1037" s="10">
        <f>INDEX(Products!$C$2:$C$101,MATCH(C1037,Products!$A$2:$A$101,0))</f>
        <v>7</v>
      </c>
      <c r="I1037" s="10" t="str">
        <f>INDEX(Categories!$B$2:$B$11,MATCH(H1037,Categories!$A$2:$A$11,0))</f>
        <v>Toys &amp; Games</v>
      </c>
      <c r="J1037" s="19">
        <f>INDEX(Products!$E$2:$E$101,MATCH(C1037,Products!$A$2:$A$101,0))</f>
        <v>76.739999999999995</v>
      </c>
      <c r="K1037" s="19">
        <f t="shared" si="49"/>
        <v>306.95999999999998</v>
      </c>
      <c r="L1037" s="19">
        <f t="shared" si="50"/>
        <v>290.28000000000003</v>
      </c>
    </row>
    <row r="1038" spans="1:12" ht="15" customHeight="1" x14ac:dyDescent="0.25">
      <c r="A1038" s="10">
        <v>1037</v>
      </c>
      <c r="B1038" s="10">
        <v>328</v>
      </c>
      <c r="C1038" s="10">
        <v>52</v>
      </c>
      <c r="D1038" s="10">
        <v>2</v>
      </c>
      <c r="E1038" s="19">
        <v>469.43</v>
      </c>
      <c r="F1038" s="10">
        <v>0</v>
      </c>
      <c r="G1038" s="19">
        <f t="shared" si="48"/>
        <v>938.86</v>
      </c>
      <c r="H1038" s="10">
        <f>INDEX(Products!$C$2:$C$101,MATCH(C1038,Products!$A$2:$A$101,0))</f>
        <v>6</v>
      </c>
      <c r="I1038" s="10" t="str">
        <f>INDEX(Categories!$B$2:$B$11,MATCH(H1038,Categories!$A$2:$A$11,0))</f>
        <v>Sporting Goods</v>
      </c>
      <c r="J1038" s="19">
        <f>INDEX(Products!$E$2:$E$101,MATCH(C1038,Products!$A$2:$A$101,0))</f>
        <v>222.69</v>
      </c>
      <c r="K1038" s="19">
        <f t="shared" si="49"/>
        <v>445.38</v>
      </c>
      <c r="L1038" s="19">
        <f t="shared" si="50"/>
        <v>493.48</v>
      </c>
    </row>
    <row r="1039" spans="1:12" ht="15" customHeight="1" x14ac:dyDescent="0.25">
      <c r="A1039" s="10">
        <v>1038</v>
      </c>
      <c r="B1039" s="10">
        <v>328</v>
      </c>
      <c r="C1039" s="10">
        <v>8</v>
      </c>
      <c r="D1039" s="10">
        <v>9</v>
      </c>
      <c r="E1039" s="19">
        <v>418.1</v>
      </c>
      <c r="F1039" s="10">
        <v>0.2</v>
      </c>
      <c r="G1039" s="19">
        <f t="shared" si="48"/>
        <v>3010.32</v>
      </c>
      <c r="H1039" s="10">
        <f>INDEX(Products!$C$2:$C$101,MATCH(C1039,Products!$A$2:$A$101,0))</f>
        <v>1</v>
      </c>
      <c r="I1039" s="10" t="str">
        <f>INDEX(Categories!$B$2:$B$11,MATCH(H1039,Categories!$A$2:$A$11,0))</f>
        <v>Electronics</v>
      </c>
      <c r="J1039" s="19">
        <f>INDEX(Products!$E$2:$E$101,MATCH(C1039,Products!$A$2:$A$101,0))</f>
        <v>188.75</v>
      </c>
      <c r="K1039" s="19">
        <f t="shared" si="49"/>
        <v>1698.75</v>
      </c>
      <c r="L1039" s="19">
        <f t="shared" si="50"/>
        <v>1311.5700000000002</v>
      </c>
    </row>
    <row r="1040" spans="1:12" ht="15" customHeight="1" x14ac:dyDescent="0.25">
      <c r="A1040" s="10">
        <v>1039</v>
      </c>
      <c r="B1040" s="10">
        <v>328</v>
      </c>
      <c r="C1040" s="10">
        <v>81</v>
      </c>
      <c r="D1040" s="10">
        <v>6</v>
      </c>
      <c r="E1040" s="19">
        <v>529</v>
      </c>
      <c r="F1040" s="10">
        <v>0</v>
      </c>
      <c r="G1040" s="19">
        <f t="shared" si="48"/>
        <v>3174</v>
      </c>
      <c r="H1040" s="10">
        <f>INDEX(Products!$C$2:$C$101,MATCH(C1040,Products!$A$2:$A$101,0))</f>
        <v>9</v>
      </c>
      <c r="I1040" s="10" t="str">
        <f>INDEX(Categories!$B$2:$B$11,MATCH(H1040,Categories!$A$2:$A$11,0))</f>
        <v>Automotive Parts</v>
      </c>
      <c r="J1040" s="19">
        <f>INDEX(Products!$E$2:$E$101,MATCH(C1040,Products!$A$2:$A$101,0))</f>
        <v>249.36</v>
      </c>
      <c r="K1040" s="19">
        <f t="shared" si="49"/>
        <v>1496.16</v>
      </c>
      <c r="L1040" s="19">
        <f t="shared" si="50"/>
        <v>1677.84</v>
      </c>
    </row>
    <row r="1041" spans="1:12" ht="15" customHeight="1" x14ac:dyDescent="0.25">
      <c r="A1041" s="10">
        <v>1040</v>
      </c>
      <c r="B1041" s="10">
        <v>329</v>
      </c>
      <c r="C1041" s="10">
        <v>81</v>
      </c>
      <c r="D1041" s="10">
        <v>6</v>
      </c>
      <c r="E1041" s="19">
        <v>529</v>
      </c>
      <c r="F1041" s="10">
        <v>0.05</v>
      </c>
      <c r="G1041" s="19">
        <f t="shared" si="48"/>
        <v>3015.2999999999997</v>
      </c>
      <c r="H1041" s="10">
        <f>INDEX(Products!$C$2:$C$101,MATCH(C1041,Products!$A$2:$A$101,0))</f>
        <v>9</v>
      </c>
      <c r="I1041" s="10" t="str">
        <f>INDEX(Categories!$B$2:$B$11,MATCH(H1041,Categories!$A$2:$A$11,0))</f>
        <v>Automotive Parts</v>
      </c>
      <c r="J1041" s="19">
        <f>INDEX(Products!$E$2:$E$101,MATCH(C1041,Products!$A$2:$A$101,0))</f>
        <v>249.36</v>
      </c>
      <c r="K1041" s="19">
        <f t="shared" si="49"/>
        <v>1496.16</v>
      </c>
      <c r="L1041" s="19">
        <f t="shared" si="50"/>
        <v>1519.1399999999996</v>
      </c>
    </row>
    <row r="1042" spans="1:12" ht="15" customHeight="1" x14ac:dyDescent="0.25">
      <c r="A1042" s="10">
        <v>1041</v>
      </c>
      <c r="B1042" s="10">
        <v>330</v>
      </c>
      <c r="C1042" s="10">
        <v>31</v>
      </c>
      <c r="D1042" s="10">
        <v>5</v>
      </c>
      <c r="E1042" s="19">
        <v>93.27</v>
      </c>
      <c r="F1042" s="10">
        <v>0.05</v>
      </c>
      <c r="G1042" s="19">
        <f t="shared" si="48"/>
        <v>443.03249999999997</v>
      </c>
      <c r="H1042" s="10">
        <f>INDEX(Products!$C$2:$C$101,MATCH(C1042,Products!$A$2:$A$101,0))</f>
        <v>4</v>
      </c>
      <c r="I1042" s="10" t="str">
        <f>INDEX(Categories!$B$2:$B$11,MATCH(H1042,Categories!$A$2:$A$11,0))</f>
        <v>Apparel</v>
      </c>
      <c r="J1042" s="19">
        <f>INDEX(Products!$E$2:$E$101,MATCH(C1042,Products!$A$2:$A$101,0))</f>
        <v>65.099999999999994</v>
      </c>
      <c r="K1042" s="19">
        <f t="shared" si="49"/>
        <v>325.5</v>
      </c>
      <c r="L1042" s="19">
        <f t="shared" si="50"/>
        <v>117.53249999999997</v>
      </c>
    </row>
    <row r="1043" spans="1:12" ht="15" customHeight="1" x14ac:dyDescent="0.25">
      <c r="A1043" s="10">
        <v>1042</v>
      </c>
      <c r="B1043" s="10">
        <v>330</v>
      </c>
      <c r="C1043" s="10">
        <v>63</v>
      </c>
      <c r="D1043" s="10">
        <v>9</v>
      </c>
      <c r="E1043" s="19">
        <v>20.190000000000001</v>
      </c>
      <c r="F1043" s="10">
        <v>0.2</v>
      </c>
      <c r="G1043" s="19">
        <f t="shared" si="48"/>
        <v>145.36800000000002</v>
      </c>
      <c r="H1043" s="10">
        <f>INDEX(Products!$C$2:$C$101,MATCH(C1043,Products!$A$2:$A$101,0))</f>
        <v>7</v>
      </c>
      <c r="I1043" s="10" t="str">
        <f>INDEX(Categories!$B$2:$B$11,MATCH(H1043,Categories!$A$2:$A$11,0))</f>
        <v>Toys &amp; Games</v>
      </c>
      <c r="J1043" s="19">
        <f>INDEX(Products!$E$2:$E$101,MATCH(C1043,Products!$A$2:$A$101,0))</f>
        <v>10.130000000000001</v>
      </c>
      <c r="K1043" s="19">
        <f t="shared" si="49"/>
        <v>91.17</v>
      </c>
      <c r="L1043" s="19">
        <f t="shared" si="50"/>
        <v>54.198000000000022</v>
      </c>
    </row>
    <row r="1044" spans="1:12" ht="15" customHeight="1" x14ac:dyDescent="0.25">
      <c r="A1044" s="10">
        <v>1043</v>
      </c>
      <c r="B1044" s="10">
        <v>330</v>
      </c>
      <c r="C1044" s="10">
        <v>50</v>
      </c>
      <c r="D1044" s="10">
        <v>8</v>
      </c>
      <c r="E1044" s="19">
        <v>411.05</v>
      </c>
      <c r="F1044" s="10">
        <v>0</v>
      </c>
      <c r="G1044" s="19">
        <f t="shared" si="48"/>
        <v>3288.4</v>
      </c>
      <c r="H1044" s="10">
        <f>INDEX(Products!$C$2:$C$101,MATCH(C1044,Products!$A$2:$A$101,0))</f>
        <v>5</v>
      </c>
      <c r="I1044" s="10" t="str">
        <f>INDEX(Categories!$B$2:$B$11,MATCH(H1044,Categories!$A$2:$A$11,0))</f>
        <v>Home &amp; Kitchen</v>
      </c>
      <c r="J1044" s="19">
        <f>INDEX(Products!$E$2:$E$101,MATCH(C1044,Products!$A$2:$A$101,0))</f>
        <v>230.53</v>
      </c>
      <c r="K1044" s="19">
        <f t="shared" si="49"/>
        <v>1844.24</v>
      </c>
      <c r="L1044" s="19">
        <f t="shared" si="50"/>
        <v>1444.16</v>
      </c>
    </row>
    <row r="1045" spans="1:12" ht="15" customHeight="1" x14ac:dyDescent="0.25">
      <c r="A1045" s="10">
        <v>1044</v>
      </c>
      <c r="B1045" s="10">
        <v>330</v>
      </c>
      <c r="C1045" s="10">
        <v>9</v>
      </c>
      <c r="D1045" s="10">
        <v>1</v>
      </c>
      <c r="E1045" s="19">
        <v>255.18</v>
      </c>
      <c r="F1045" s="10">
        <v>0</v>
      </c>
      <c r="G1045" s="19">
        <f t="shared" si="48"/>
        <v>255.18</v>
      </c>
      <c r="H1045" s="10">
        <f>INDEX(Products!$C$2:$C$101,MATCH(C1045,Products!$A$2:$A$101,0))</f>
        <v>1</v>
      </c>
      <c r="I1045" s="10" t="str">
        <f>INDEX(Categories!$B$2:$B$11,MATCH(H1045,Categories!$A$2:$A$11,0))</f>
        <v>Electronics</v>
      </c>
      <c r="J1045" s="19">
        <f>INDEX(Products!$E$2:$E$101,MATCH(C1045,Products!$A$2:$A$101,0))</f>
        <v>188.01</v>
      </c>
      <c r="K1045" s="19">
        <f t="shared" si="49"/>
        <v>188.01</v>
      </c>
      <c r="L1045" s="19">
        <f t="shared" si="50"/>
        <v>67.170000000000016</v>
      </c>
    </row>
    <row r="1046" spans="1:12" ht="15" customHeight="1" x14ac:dyDescent="0.25">
      <c r="A1046" s="10">
        <v>1045</v>
      </c>
      <c r="B1046" s="10">
        <v>330</v>
      </c>
      <c r="C1046" s="10">
        <v>70</v>
      </c>
      <c r="D1046" s="10">
        <v>1</v>
      </c>
      <c r="E1046" s="19">
        <v>149.31</v>
      </c>
      <c r="F1046" s="10">
        <v>0</v>
      </c>
      <c r="G1046" s="19">
        <f t="shared" si="48"/>
        <v>149.31</v>
      </c>
      <c r="H1046" s="10">
        <f>INDEX(Products!$C$2:$C$101,MATCH(C1046,Products!$A$2:$A$101,0))</f>
        <v>7</v>
      </c>
      <c r="I1046" s="10" t="str">
        <f>INDEX(Categories!$B$2:$B$11,MATCH(H1046,Categories!$A$2:$A$11,0))</f>
        <v>Toys &amp; Games</v>
      </c>
      <c r="J1046" s="19">
        <f>INDEX(Products!$E$2:$E$101,MATCH(C1046,Products!$A$2:$A$101,0))</f>
        <v>76.739999999999995</v>
      </c>
      <c r="K1046" s="19">
        <f t="shared" si="49"/>
        <v>76.739999999999995</v>
      </c>
      <c r="L1046" s="19">
        <f t="shared" si="50"/>
        <v>72.570000000000007</v>
      </c>
    </row>
    <row r="1047" spans="1:12" ht="15" customHeight="1" x14ac:dyDescent="0.25">
      <c r="A1047" s="10">
        <v>1046</v>
      </c>
      <c r="B1047" s="10">
        <v>331</v>
      </c>
      <c r="C1047" s="10">
        <v>30</v>
      </c>
      <c r="D1047" s="10">
        <v>8</v>
      </c>
      <c r="E1047" s="19">
        <v>474.78</v>
      </c>
      <c r="F1047" s="10">
        <v>0.15</v>
      </c>
      <c r="G1047" s="19">
        <f t="shared" si="48"/>
        <v>3228.5039999999999</v>
      </c>
      <c r="H1047" s="10">
        <f>INDEX(Products!$C$2:$C$101,MATCH(C1047,Products!$A$2:$A$101,0))</f>
        <v>3</v>
      </c>
      <c r="I1047" s="10" t="str">
        <f>INDEX(Categories!$B$2:$B$11,MATCH(H1047,Categories!$A$2:$A$11,0))</f>
        <v>Furniture</v>
      </c>
      <c r="J1047" s="19">
        <f>INDEX(Products!$E$2:$E$101,MATCH(C1047,Products!$A$2:$A$101,0))</f>
        <v>249.17</v>
      </c>
      <c r="K1047" s="19">
        <f t="shared" si="49"/>
        <v>1993.36</v>
      </c>
      <c r="L1047" s="19">
        <f t="shared" si="50"/>
        <v>1235.144</v>
      </c>
    </row>
    <row r="1048" spans="1:12" ht="15" customHeight="1" x14ac:dyDescent="0.25">
      <c r="A1048" s="10">
        <v>1047</v>
      </c>
      <c r="B1048" s="10">
        <v>331</v>
      </c>
      <c r="C1048" s="10">
        <v>10</v>
      </c>
      <c r="D1048" s="10">
        <v>1</v>
      </c>
      <c r="E1048" s="19">
        <v>395.24</v>
      </c>
      <c r="F1048" s="10">
        <v>0.05</v>
      </c>
      <c r="G1048" s="19">
        <f t="shared" si="48"/>
        <v>375.47800000000001</v>
      </c>
      <c r="H1048" s="10">
        <f>INDEX(Products!$C$2:$C$101,MATCH(C1048,Products!$A$2:$A$101,0))</f>
        <v>1</v>
      </c>
      <c r="I1048" s="10" t="str">
        <f>INDEX(Categories!$B$2:$B$11,MATCH(H1048,Categories!$A$2:$A$11,0))</f>
        <v>Electronics</v>
      </c>
      <c r="J1048" s="19">
        <f>INDEX(Products!$E$2:$E$101,MATCH(C1048,Products!$A$2:$A$101,0))</f>
        <v>195.96</v>
      </c>
      <c r="K1048" s="19">
        <f t="shared" si="49"/>
        <v>195.96</v>
      </c>
      <c r="L1048" s="19">
        <f t="shared" si="50"/>
        <v>179.518</v>
      </c>
    </row>
    <row r="1049" spans="1:12" ht="15" customHeight="1" x14ac:dyDescent="0.25">
      <c r="A1049" s="10">
        <v>1048</v>
      </c>
      <c r="B1049" s="10">
        <v>331</v>
      </c>
      <c r="C1049" s="10">
        <v>5</v>
      </c>
      <c r="D1049" s="10">
        <v>10</v>
      </c>
      <c r="E1049" s="19">
        <v>310.02</v>
      </c>
      <c r="F1049" s="10">
        <v>0</v>
      </c>
      <c r="G1049" s="19">
        <f t="shared" si="48"/>
        <v>3100.2</v>
      </c>
      <c r="H1049" s="10">
        <f>INDEX(Products!$C$2:$C$101,MATCH(C1049,Products!$A$2:$A$101,0))</f>
        <v>1</v>
      </c>
      <c r="I1049" s="10" t="str">
        <f>INDEX(Categories!$B$2:$B$11,MATCH(H1049,Categories!$A$2:$A$11,0))</f>
        <v>Electronics</v>
      </c>
      <c r="J1049" s="19">
        <f>INDEX(Products!$E$2:$E$101,MATCH(C1049,Products!$A$2:$A$101,0))</f>
        <v>134.93</v>
      </c>
      <c r="K1049" s="19">
        <f t="shared" si="49"/>
        <v>1349.3000000000002</v>
      </c>
      <c r="L1049" s="19">
        <f t="shared" si="50"/>
        <v>1750.8999999999996</v>
      </c>
    </row>
    <row r="1050" spans="1:12" ht="15" customHeight="1" x14ac:dyDescent="0.25">
      <c r="A1050" s="10">
        <v>1049</v>
      </c>
      <c r="B1050" s="10">
        <v>331</v>
      </c>
      <c r="C1050" s="10">
        <v>95</v>
      </c>
      <c r="D1050" s="10">
        <v>4</v>
      </c>
      <c r="E1050" s="19">
        <v>394.56</v>
      </c>
      <c r="F1050" s="10">
        <v>0.15</v>
      </c>
      <c r="G1050" s="19">
        <f t="shared" si="48"/>
        <v>1341.5039999999999</v>
      </c>
      <c r="H1050" s="10">
        <f>INDEX(Products!$C$2:$C$101,MATCH(C1050,Products!$A$2:$A$101,0))</f>
        <v>10</v>
      </c>
      <c r="I1050" s="10" t="str">
        <f>INDEX(Categories!$B$2:$B$11,MATCH(H1050,Categories!$A$2:$A$11,0))</f>
        <v>Groceries</v>
      </c>
      <c r="J1050" s="19">
        <f>INDEX(Products!$E$2:$E$101,MATCH(C1050,Products!$A$2:$A$101,0))</f>
        <v>192.57</v>
      </c>
      <c r="K1050" s="19">
        <f t="shared" si="49"/>
        <v>770.28</v>
      </c>
      <c r="L1050" s="19">
        <f t="shared" si="50"/>
        <v>571.22399999999993</v>
      </c>
    </row>
    <row r="1051" spans="1:12" ht="15" customHeight="1" x14ac:dyDescent="0.25">
      <c r="A1051" s="10">
        <v>1050</v>
      </c>
      <c r="B1051" s="10">
        <v>331</v>
      </c>
      <c r="C1051" s="10">
        <v>19</v>
      </c>
      <c r="D1051" s="10">
        <v>3</v>
      </c>
      <c r="E1051" s="19">
        <v>291.89</v>
      </c>
      <c r="F1051" s="10">
        <v>0</v>
      </c>
      <c r="G1051" s="19">
        <f t="shared" si="48"/>
        <v>875.67</v>
      </c>
      <c r="H1051" s="10">
        <f>INDEX(Products!$C$2:$C$101,MATCH(C1051,Products!$A$2:$A$101,0))</f>
        <v>2</v>
      </c>
      <c r="I1051" s="10" t="str">
        <f>INDEX(Categories!$B$2:$B$11,MATCH(H1051,Categories!$A$2:$A$11,0))</f>
        <v>Office Supplies</v>
      </c>
      <c r="J1051" s="19">
        <f>INDEX(Products!$E$2:$E$101,MATCH(C1051,Products!$A$2:$A$101,0))</f>
        <v>206.12</v>
      </c>
      <c r="K1051" s="19">
        <f t="shared" si="49"/>
        <v>618.36</v>
      </c>
      <c r="L1051" s="19">
        <f t="shared" si="50"/>
        <v>257.30999999999995</v>
      </c>
    </row>
    <row r="1052" spans="1:12" ht="15" customHeight="1" x14ac:dyDescent="0.25">
      <c r="A1052" s="10">
        <v>1051</v>
      </c>
      <c r="B1052" s="10">
        <v>332</v>
      </c>
      <c r="C1052" s="10">
        <v>79</v>
      </c>
      <c r="D1052" s="10">
        <v>6</v>
      </c>
      <c r="E1052" s="19">
        <v>369.82</v>
      </c>
      <c r="F1052" s="10">
        <v>0.2</v>
      </c>
      <c r="G1052" s="19">
        <f t="shared" si="48"/>
        <v>1775.1360000000002</v>
      </c>
      <c r="H1052" s="10">
        <f>INDEX(Products!$C$2:$C$101,MATCH(C1052,Products!$A$2:$A$101,0))</f>
        <v>8</v>
      </c>
      <c r="I1052" s="10" t="str">
        <f>INDEX(Categories!$B$2:$B$11,MATCH(H1052,Categories!$A$2:$A$11,0))</f>
        <v>Health &amp; Beauty</v>
      </c>
      <c r="J1052" s="19">
        <f>INDEX(Products!$E$2:$E$101,MATCH(C1052,Products!$A$2:$A$101,0))</f>
        <v>215.26</v>
      </c>
      <c r="K1052" s="19">
        <f t="shared" si="49"/>
        <v>1291.56</v>
      </c>
      <c r="L1052" s="19">
        <f t="shared" si="50"/>
        <v>483.57600000000025</v>
      </c>
    </row>
    <row r="1053" spans="1:12" ht="15" customHeight="1" x14ac:dyDescent="0.25">
      <c r="A1053" s="10">
        <v>1052</v>
      </c>
      <c r="B1053" s="10">
        <v>332</v>
      </c>
      <c r="C1053" s="10">
        <v>29</v>
      </c>
      <c r="D1053" s="10">
        <v>7</v>
      </c>
      <c r="E1053" s="19">
        <v>152.52000000000001</v>
      </c>
      <c r="F1053" s="10">
        <v>0</v>
      </c>
      <c r="G1053" s="19">
        <f t="shared" si="48"/>
        <v>1067.6400000000001</v>
      </c>
      <c r="H1053" s="10">
        <f>INDEX(Products!$C$2:$C$101,MATCH(C1053,Products!$A$2:$A$101,0))</f>
        <v>3</v>
      </c>
      <c r="I1053" s="10" t="str">
        <f>INDEX(Categories!$B$2:$B$11,MATCH(H1053,Categories!$A$2:$A$11,0))</f>
        <v>Furniture</v>
      </c>
      <c r="J1053" s="19">
        <f>INDEX(Products!$E$2:$E$101,MATCH(C1053,Products!$A$2:$A$101,0))</f>
        <v>78.63</v>
      </c>
      <c r="K1053" s="19">
        <f t="shared" si="49"/>
        <v>550.41</v>
      </c>
      <c r="L1053" s="19">
        <f t="shared" si="50"/>
        <v>517.23000000000013</v>
      </c>
    </row>
    <row r="1054" spans="1:12" ht="15" customHeight="1" x14ac:dyDescent="0.25">
      <c r="A1054" s="10">
        <v>1053</v>
      </c>
      <c r="B1054" s="10">
        <v>332</v>
      </c>
      <c r="C1054" s="10">
        <v>9</v>
      </c>
      <c r="D1054" s="10">
        <v>2</v>
      </c>
      <c r="E1054" s="19">
        <v>255.18</v>
      </c>
      <c r="F1054" s="10">
        <v>0.15</v>
      </c>
      <c r="G1054" s="19">
        <f t="shared" si="48"/>
        <v>433.80599999999998</v>
      </c>
      <c r="H1054" s="10">
        <f>INDEX(Products!$C$2:$C$101,MATCH(C1054,Products!$A$2:$A$101,0))</f>
        <v>1</v>
      </c>
      <c r="I1054" s="10" t="str">
        <f>INDEX(Categories!$B$2:$B$11,MATCH(H1054,Categories!$A$2:$A$11,0))</f>
        <v>Electronics</v>
      </c>
      <c r="J1054" s="19">
        <f>INDEX(Products!$E$2:$E$101,MATCH(C1054,Products!$A$2:$A$101,0))</f>
        <v>188.01</v>
      </c>
      <c r="K1054" s="19">
        <f t="shared" si="49"/>
        <v>376.02</v>
      </c>
      <c r="L1054" s="19">
        <f t="shared" si="50"/>
        <v>57.786000000000001</v>
      </c>
    </row>
    <row r="1055" spans="1:12" ht="15" customHeight="1" x14ac:dyDescent="0.25">
      <c r="A1055" s="10">
        <v>1054</v>
      </c>
      <c r="B1055" s="10">
        <v>332</v>
      </c>
      <c r="C1055" s="10">
        <v>26</v>
      </c>
      <c r="D1055" s="10">
        <v>10</v>
      </c>
      <c r="E1055" s="19">
        <v>262.08</v>
      </c>
      <c r="F1055" s="10">
        <v>0.1</v>
      </c>
      <c r="G1055" s="19">
        <f t="shared" si="48"/>
        <v>2358.7199999999998</v>
      </c>
      <c r="H1055" s="10">
        <f>INDEX(Products!$C$2:$C$101,MATCH(C1055,Products!$A$2:$A$101,0))</f>
        <v>3</v>
      </c>
      <c r="I1055" s="10" t="str">
        <f>INDEX(Categories!$B$2:$B$11,MATCH(H1055,Categories!$A$2:$A$11,0))</f>
        <v>Furniture</v>
      </c>
      <c r="J1055" s="19">
        <f>INDEX(Products!$E$2:$E$101,MATCH(C1055,Products!$A$2:$A$101,0))</f>
        <v>140.28</v>
      </c>
      <c r="K1055" s="19">
        <f t="shared" si="49"/>
        <v>1402.8</v>
      </c>
      <c r="L1055" s="19">
        <f t="shared" si="50"/>
        <v>955.91999999999985</v>
      </c>
    </row>
    <row r="1056" spans="1:12" ht="15" customHeight="1" x14ac:dyDescent="0.25">
      <c r="A1056" s="10">
        <v>1055</v>
      </c>
      <c r="B1056" s="10">
        <v>332</v>
      </c>
      <c r="C1056" s="10">
        <v>55</v>
      </c>
      <c r="D1056" s="10">
        <v>3</v>
      </c>
      <c r="E1056" s="19">
        <v>378.27</v>
      </c>
      <c r="F1056" s="10">
        <v>0</v>
      </c>
      <c r="G1056" s="19">
        <f t="shared" si="48"/>
        <v>1134.81</v>
      </c>
      <c r="H1056" s="10">
        <f>INDEX(Products!$C$2:$C$101,MATCH(C1056,Products!$A$2:$A$101,0))</f>
        <v>6</v>
      </c>
      <c r="I1056" s="10" t="str">
        <f>INDEX(Categories!$B$2:$B$11,MATCH(H1056,Categories!$A$2:$A$11,0))</f>
        <v>Sporting Goods</v>
      </c>
      <c r="J1056" s="19">
        <f>INDEX(Products!$E$2:$E$101,MATCH(C1056,Products!$A$2:$A$101,0))</f>
        <v>163.92</v>
      </c>
      <c r="K1056" s="19">
        <f t="shared" si="49"/>
        <v>491.76</v>
      </c>
      <c r="L1056" s="19">
        <f t="shared" si="50"/>
        <v>643.04999999999995</v>
      </c>
    </row>
    <row r="1057" spans="1:12" ht="15" customHeight="1" x14ac:dyDescent="0.25">
      <c r="A1057" s="10">
        <v>1056</v>
      </c>
      <c r="B1057" s="10">
        <v>333</v>
      </c>
      <c r="C1057" s="10">
        <v>97</v>
      </c>
      <c r="D1057" s="10">
        <v>3</v>
      </c>
      <c r="E1057" s="19">
        <v>81.58</v>
      </c>
      <c r="F1057" s="10">
        <v>0.15</v>
      </c>
      <c r="G1057" s="19">
        <f t="shared" si="48"/>
        <v>208.029</v>
      </c>
      <c r="H1057" s="10">
        <f>INDEX(Products!$C$2:$C$101,MATCH(C1057,Products!$A$2:$A$101,0))</f>
        <v>10</v>
      </c>
      <c r="I1057" s="10" t="str">
        <f>INDEX(Categories!$B$2:$B$11,MATCH(H1057,Categories!$A$2:$A$11,0))</f>
        <v>Groceries</v>
      </c>
      <c r="J1057" s="19">
        <f>INDEX(Products!$E$2:$E$101,MATCH(C1057,Products!$A$2:$A$101,0))</f>
        <v>35.46</v>
      </c>
      <c r="K1057" s="19">
        <f t="shared" si="49"/>
        <v>106.38</v>
      </c>
      <c r="L1057" s="19">
        <f t="shared" si="50"/>
        <v>101.649</v>
      </c>
    </row>
    <row r="1058" spans="1:12" ht="15" customHeight="1" x14ac:dyDescent="0.25">
      <c r="A1058" s="10">
        <v>1057</v>
      </c>
      <c r="B1058" s="10">
        <v>333</v>
      </c>
      <c r="C1058" s="10">
        <v>54</v>
      </c>
      <c r="D1058" s="10">
        <v>6</v>
      </c>
      <c r="E1058" s="19">
        <v>398.16</v>
      </c>
      <c r="F1058" s="10">
        <v>0.1</v>
      </c>
      <c r="G1058" s="19">
        <f t="shared" si="48"/>
        <v>2150.0640000000003</v>
      </c>
      <c r="H1058" s="10">
        <f>INDEX(Products!$C$2:$C$101,MATCH(C1058,Products!$A$2:$A$101,0))</f>
        <v>6</v>
      </c>
      <c r="I1058" s="10" t="str">
        <f>INDEX(Categories!$B$2:$B$11,MATCH(H1058,Categories!$A$2:$A$11,0))</f>
        <v>Sporting Goods</v>
      </c>
      <c r="J1058" s="19">
        <f>INDEX(Products!$E$2:$E$101,MATCH(C1058,Products!$A$2:$A$101,0))</f>
        <v>205.89</v>
      </c>
      <c r="K1058" s="19">
        <f t="shared" si="49"/>
        <v>1235.3399999999999</v>
      </c>
      <c r="L1058" s="19">
        <f t="shared" si="50"/>
        <v>914.72400000000039</v>
      </c>
    </row>
    <row r="1059" spans="1:12" ht="15" customHeight="1" x14ac:dyDescent="0.25">
      <c r="A1059" s="10">
        <v>1058</v>
      </c>
      <c r="B1059" s="10">
        <v>334</v>
      </c>
      <c r="C1059" s="10">
        <v>3</v>
      </c>
      <c r="D1059" s="10">
        <v>2</v>
      </c>
      <c r="E1059" s="19">
        <v>101.78</v>
      </c>
      <c r="F1059" s="10">
        <v>0</v>
      </c>
      <c r="G1059" s="19">
        <f t="shared" si="48"/>
        <v>203.56</v>
      </c>
      <c r="H1059" s="10">
        <f>INDEX(Products!$C$2:$C$101,MATCH(C1059,Products!$A$2:$A$101,0))</f>
        <v>1</v>
      </c>
      <c r="I1059" s="10" t="str">
        <f>INDEX(Categories!$B$2:$B$11,MATCH(H1059,Categories!$A$2:$A$11,0))</f>
        <v>Electronics</v>
      </c>
      <c r="J1059" s="19">
        <f>INDEX(Products!$E$2:$E$101,MATCH(C1059,Products!$A$2:$A$101,0))</f>
        <v>57.2</v>
      </c>
      <c r="K1059" s="19">
        <f t="shared" si="49"/>
        <v>114.4</v>
      </c>
      <c r="L1059" s="19">
        <f t="shared" si="50"/>
        <v>89.16</v>
      </c>
    </row>
    <row r="1060" spans="1:12" ht="15" customHeight="1" x14ac:dyDescent="0.25">
      <c r="A1060" s="10">
        <v>1059</v>
      </c>
      <c r="B1060" s="10">
        <v>334</v>
      </c>
      <c r="C1060" s="10">
        <v>63</v>
      </c>
      <c r="D1060" s="10">
        <v>1</v>
      </c>
      <c r="E1060" s="19">
        <v>20.190000000000001</v>
      </c>
      <c r="F1060" s="10">
        <v>0</v>
      </c>
      <c r="G1060" s="19">
        <f t="shared" si="48"/>
        <v>20.190000000000001</v>
      </c>
      <c r="H1060" s="10">
        <f>INDEX(Products!$C$2:$C$101,MATCH(C1060,Products!$A$2:$A$101,0))</f>
        <v>7</v>
      </c>
      <c r="I1060" s="10" t="str">
        <f>INDEX(Categories!$B$2:$B$11,MATCH(H1060,Categories!$A$2:$A$11,0))</f>
        <v>Toys &amp; Games</v>
      </c>
      <c r="J1060" s="19">
        <f>INDEX(Products!$E$2:$E$101,MATCH(C1060,Products!$A$2:$A$101,0))</f>
        <v>10.130000000000001</v>
      </c>
      <c r="K1060" s="19">
        <f t="shared" si="49"/>
        <v>10.130000000000001</v>
      </c>
      <c r="L1060" s="19">
        <f t="shared" si="50"/>
        <v>10.06</v>
      </c>
    </row>
    <row r="1061" spans="1:12" ht="15" customHeight="1" x14ac:dyDescent="0.25">
      <c r="A1061" s="10">
        <v>1060</v>
      </c>
      <c r="B1061" s="10">
        <v>335</v>
      </c>
      <c r="C1061" s="10">
        <v>58</v>
      </c>
      <c r="D1061" s="10">
        <v>1</v>
      </c>
      <c r="E1061" s="19">
        <v>388.55</v>
      </c>
      <c r="F1061" s="10">
        <v>0.1</v>
      </c>
      <c r="G1061" s="19">
        <f t="shared" si="48"/>
        <v>349.69499999999999</v>
      </c>
      <c r="H1061" s="10">
        <f>INDEX(Products!$C$2:$C$101,MATCH(C1061,Products!$A$2:$A$101,0))</f>
        <v>6</v>
      </c>
      <c r="I1061" s="10" t="str">
        <f>INDEX(Categories!$B$2:$B$11,MATCH(H1061,Categories!$A$2:$A$11,0))</f>
        <v>Sporting Goods</v>
      </c>
      <c r="J1061" s="19">
        <f>INDEX(Products!$E$2:$E$101,MATCH(C1061,Products!$A$2:$A$101,0))</f>
        <v>203.95</v>
      </c>
      <c r="K1061" s="19">
        <f t="shared" si="49"/>
        <v>203.95</v>
      </c>
      <c r="L1061" s="19">
        <f t="shared" si="50"/>
        <v>145.745</v>
      </c>
    </row>
    <row r="1062" spans="1:12" ht="15" customHeight="1" x14ac:dyDescent="0.25">
      <c r="A1062" s="10">
        <v>1061</v>
      </c>
      <c r="B1062" s="10">
        <v>335</v>
      </c>
      <c r="C1062" s="10">
        <v>53</v>
      </c>
      <c r="D1062" s="10">
        <v>3</v>
      </c>
      <c r="E1062" s="19">
        <v>534</v>
      </c>
      <c r="F1062" s="10">
        <v>0.15</v>
      </c>
      <c r="G1062" s="19">
        <f t="shared" si="48"/>
        <v>1361.7</v>
      </c>
      <c r="H1062" s="10">
        <f>INDEX(Products!$C$2:$C$101,MATCH(C1062,Products!$A$2:$A$101,0))</f>
        <v>6</v>
      </c>
      <c r="I1062" s="10" t="str">
        <f>INDEX(Categories!$B$2:$B$11,MATCH(H1062,Categories!$A$2:$A$11,0))</f>
        <v>Sporting Goods</v>
      </c>
      <c r="J1062" s="19">
        <f>INDEX(Products!$E$2:$E$101,MATCH(C1062,Products!$A$2:$A$101,0))</f>
        <v>240.59</v>
      </c>
      <c r="K1062" s="19">
        <f t="shared" si="49"/>
        <v>721.77</v>
      </c>
      <c r="L1062" s="19">
        <f t="shared" si="50"/>
        <v>639.93000000000006</v>
      </c>
    </row>
    <row r="1063" spans="1:12" ht="15" customHeight="1" x14ac:dyDescent="0.25">
      <c r="A1063" s="10">
        <v>1062</v>
      </c>
      <c r="B1063" s="10">
        <v>335</v>
      </c>
      <c r="C1063" s="10">
        <v>31</v>
      </c>
      <c r="D1063" s="10">
        <v>8</v>
      </c>
      <c r="E1063" s="19">
        <v>93.27</v>
      </c>
      <c r="F1063" s="10">
        <v>0.1</v>
      </c>
      <c r="G1063" s="19">
        <f t="shared" si="48"/>
        <v>671.54399999999998</v>
      </c>
      <c r="H1063" s="10">
        <f>INDEX(Products!$C$2:$C$101,MATCH(C1063,Products!$A$2:$A$101,0))</f>
        <v>4</v>
      </c>
      <c r="I1063" s="10" t="str">
        <f>INDEX(Categories!$B$2:$B$11,MATCH(H1063,Categories!$A$2:$A$11,0))</f>
        <v>Apparel</v>
      </c>
      <c r="J1063" s="19">
        <f>INDEX(Products!$E$2:$E$101,MATCH(C1063,Products!$A$2:$A$101,0))</f>
        <v>65.099999999999994</v>
      </c>
      <c r="K1063" s="19">
        <f t="shared" si="49"/>
        <v>520.79999999999995</v>
      </c>
      <c r="L1063" s="19">
        <f t="shared" si="50"/>
        <v>150.74400000000003</v>
      </c>
    </row>
    <row r="1064" spans="1:12" ht="15" customHeight="1" x14ac:dyDescent="0.25">
      <c r="A1064" s="10">
        <v>1063</v>
      </c>
      <c r="B1064" s="10">
        <v>335</v>
      </c>
      <c r="C1064" s="10">
        <v>23</v>
      </c>
      <c r="D1064" s="10">
        <v>2</v>
      </c>
      <c r="E1064" s="19">
        <v>346.21</v>
      </c>
      <c r="F1064" s="10">
        <v>0.15</v>
      </c>
      <c r="G1064" s="19">
        <f t="shared" si="48"/>
        <v>588.5569999999999</v>
      </c>
      <c r="H1064" s="10">
        <f>INDEX(Products!$C$2:$C$101,MATCH(C1064,Products!$A$2:$A$101,0))</f>
        <v>3</v>
      </c>
      <c r="I1064" s="10" t="str">
        <f>INDEX(Categories!$B$2:$B$11,MATCH(H1064,Categories!$A$2:$A$11,0))</f>
        <v>Furniture</v>
      </c>
      <c r="J1064" s="19">
        <f>INDEX(Products!$E$2:$E$101,MATCH(C1064,Products!$A$2:$A$101,0))</f>
        <v>220.76</v>
      </c>
      <c r="K1064" s="19">
        <f t="shared" si="49"/>
        <v>441.52</v>
      </c>
      <c r="L1064" s="19">
        <f t="shared" si="50"/>
        <v>147.03699999999992</v>
      </c>
    </row>
    <row r="1065" spans="1:12" ht="15" customHeight="1" x14ac:dyDescent="0.25">
      <c r="A1065" s="10">
        <v>1064</v>
      </c>
      <c r="B1065" s="10">
        <v>335</v>
      </c>
      <c r="C1065" s="10">
        <v>79</v>
      </c>
      <c r="D1065" s="10">
        <v>5</v>
      </c>
      <c r="E1065" s="19">
        <v>369.82</v>
      </c>
      <c r="F1065" s="10">
        <v>0</v>
      </c>
      <c r="G1065" s="19">
        <f t="shared" si="48"/>
        <v>1849.1</v>
      </c>
      <c r="H1065" s="10">
        <f>INDEX(Products!$C$2:$C$101,MATCH(C1065,Products!$A$2:$A$101,0))</f>
        <v>8</v>
      </c>
      <c r="I1065" s="10" t="str">
        <f>INDEX(Categories!$B$2:$B$11,MATCH(H1065,Categories!$A$2:$A$11,0))</f>
        <v>Health &amp; Beauty</v>
      </c>
      <c r="J1065" s="19">
        <f>INDEX(Products!$E$2:$E$101,MATCH(C1065,Products!$A$2:$A$101,0))</f>
        <v>215.26</v>
      </c>
      <c r="K1065" s="19">
        <f t="shared" si="49"/>
        <v>1076.3</v>
      </c>
      <c r="L1065" s="19">
        <f t="shared" si="50"/>
        <v>772.8</v>
      </c>
    </row>
    <row r="1066" spans="1:12" ht="15" customHeight="1" x14ac:dyDescent="0.25">
      <c r="A1066" s="10">
        <v>1065</v>
      </c>
      <c r="B1066" s="10">
        <v>336</v>
      </c>
      <c r="C1066" s="10">
        <v>47</v>
      </c>
      <c r="D1066" s="10">
        <v>8</v>
      </c>
      <c r="E1066" s="19">
        <v>96.51</v>
      </c>
      <c r="F1066" s="10">
        <v>0.2</v>
      </c>
      <c r="G1066" s="19">
        <f t="shared" si="48"/>
        <v>617.6640000000001</v>
      </c>
      <c r="H1066" s="10">
        <f>INDEX(Products!$C$2:$C$101,MATCH(C1066,Products!$A$2:$A$101,0))</f>
        <v>5</v>
      </c>
      <c r="I1066" s="10" t="str">
        <f>INDEX(Categories!$B$2:$B$11,MATCH(H1066,Categories!$A$2:$A$11,0))</f>
        <v>Home &amp; Kitchen</v>
      </c>
      <c r="J1066" s="19">
        <f>INDEX(Products!$E$2:$E$101,MATCH(C1066,Products!$A$2:$A$101,0))</f>
        <v>60.66</v>
      </c>
      <c r="K1066" s="19">
        <f t="shared" si="49"/>
        <v>485.28</v>
      </c>
      <c r="L1066" s="19">
        <f t="shared" si="50"/>
        <v>132.38400000000013</v>
      </c>
    </row>
    <row r="1067" spans="1:12" ht="15" customHeight="1" x14ac:dyDescent="0.25">
      <c r="A1067" s="10">
        <v>1066</v>
      </c>
      <c r="B1067" s="10">
        <v>336</v>
      </c>
      <c r="C1067" s="10">
        <v>98</v>
      </c>
      <c r="D1067" s="10">
        <v>4</v>
      </c>
      <c r="E1067" s="19">
        <v>67.48</v>
      </c>
      <c r="F1067" s="10">
        <v>0</v>
      </c>
      <c r="G1067" s="19">
        <f t="shared" si="48"/>
        <v>269.92</v>
      </c>
      <c r="H1067" s="10">
        <f>INDEX(Products!$C$2:$C$101,MATCH(C1067,Products!$A$2:$A$101,0))</f>
        <v>10</v>
      </c>
      <c r="I1067" s="10" t="str">
        <f>INDEX(Categories!$B$2:$B$11,MATCH(H1067,Categories!$A$2:$A$11,0))</f>
        <v>Groceries</v>
      </c>
      <c r="J1067" s="19">
        <f>INDEX(Products!$E$2:$E$101,MATCH(C1067,Products!$A$2:$A$101,0))</f>
        <v>35.64</v>
      </c>
      <c r="K1067" s="19">
        <f t="shared" si="49"/>
        <v>142.56</v>
      </c>
      <c r="L1067" s="19">
        <f t="shared" si="50"/>
        <v>127.36000000000001</v>
      </c>
    </row>
    <row r="1068" spans="1:12" ht="15" customHeight="1" x14ac:dyDescent="0.25">
      <c r="A1068" s="10">
        <v>1067</v>
      </c>
      <c r="B1068" s="10">
        <v>336</v>
      </c>
      <c r="C1068" s="10">
        <v>70</v>
      </c>
      <c r="D1068" s="10">
        <v>1</v>
      </c>
      <c r="E1068" s="19">
        <v>149.31</v>
      </c>
      <c r="F1068" s="10">
        <v>0</v>
      </c>
      <c r="G1068" s="19">
        <f t="shared" si="48"/>
        <v>149.31</v>
      </c>
      <c r="H1068" s="10">
        <f>INDEX(Products!$C$2:$C$101,MATCH(C1068,Products!$A$2:$A$101,0))</f>
        <v>7</v>
      </c>
      <c r="I1068" s="10" t="str">
        <f>INDEX(Categories!$B$2:$B$11,MATCH(H1068,Categories!$A$2:$A$11,0))</f>
        <v>Toys &amp; Games</v>
      </c>
      <c r="J1068" s="19">
        <f>INDEX(Products!$E$2:$E$101,MATCH(C1068,Products!$A$2:$A$101,0))</f>
        <v>76.739999999999995</v>
      </c>
      <c r="K1068" s="19">
        <f t="shared" si="49"/>
        <v>76.739999999999995</v>
      </c>
      <c r="L1068" s="19">
        <f t="shared" si="50"/>
        <v>72.570000000000007</v>
      </c>
    </row>
    <row r="1069" spans="1:12" ht="15" customHeight="1" x14ac:dyDescent="0.25">
      <c r="A1069" s="10">
        <v>1068</v>
      </c>
      <c r="B1069" s="10">
        <v>336</v>
      </c>
      <c r="C1069" s="10">
        <v>65</v>
      </c>
      <c r="D1069" s="10">
        <v>2</v>
      </c>
      <c r="E1069" s="19">
        <v>167.19</v>
      </c>
      <c r="F1069" s="10">
        <v>0.2</v>
      </c>
      <c r="G1069" s="19">
        <f t="shared" si="48"/>
        <v>267.50400000000002</v>
      </c>
      <c r="H1069" s="10">
        <f>INDEX(Products!$C$2:$C$101,MATCH(C1069,Products!$A$2:$A$101,0))</f>
        <v>7</v>
      </c>
      <c r="I1069" s="10" t="str">
        <f>INDEX(Categories!$B$2:$B$11,MATCH(H1069,Categories!$A$2:$A$11,0))</f>
        <v>Toys &amp; Games</v>
      </c>
      <c r="J1069" s="19">
        <f>INDEX(Products!$E$2:$E$101,MATCH(C1069,Products!$A$2:$A$101,0))</f>
        <v>116.98</v>
      </c>
      <c r="K1069" s="19">
        <f t="shared" si="49"/>
        <v>233.96</v>
      </c>
      <c r="L1069" s="19">
        <f t="shared" si="50"/>
        <v>33.544000000000011</v>
      </c>
    </row>
    <row r="1070" spans="1:12" ht="15" customHeight="1" x14ac:dyDescent="0.25">
      <c r="A1070" s="10">
        <v>1069</v>
      </c>
      <c r="B1070" s="10">
        <v>336</v>
      </c>
      <c r="C1070" s="10">
        <v>29</v>
      </c>
      <c r="D1070" s="10">
        <v>3</v>
      </c>
      <c r="E1070" s="19">
        <v>152.52000000000001</v>
      </c>
      <c r="F1070" s="10">
        <v>0.15</v>
      </c>
      <c r="G1070" s="19">
        <f t="shared" si="48"/>
        <v>388.92600000000004</v>
      </c>
      <c r="H1070" s="10">
        <f>INDEX(Products!$C$2:$C$101,MATCH(C1070,Products!$A$2:$A$101,0))</f>
        <v>3</v>
      </c>
      <c r="I1070" s="10" t="str">
        <f>INDEX(Categories!$B$2:$B$11,MATCH(H1070,Categories!$A$2:$A$11,0))</f>
        <v>Furniture</v>
      </c>
      <c r="J1070" s="19">
        <f>INDEX(Products!$E$2:$E$101,MATCH(C1070,Products!$A$2:$A$101,0))</f>
        <v>78.63</v>
      </c>
      <c r="K1070" s="19">
        <f t="shared" si="49"/>
        <v>235.89</v>
      </c>
      <c r="L1070" s="19">
        <f t="shared" si="50"/>
        <v>153.03600000000006</v>
      </c>
    </row>
    <row r="1071" spans="1:12" ht="15" customHeight="1" x14ac:dyDescent="0.25">
      <c r="A1071" s="10">
        <v>1070</v>
      </c>
      <c r="B1071" s="10">
        <v>337</v>
      </c>
      <c r="C1071" s="10">
        <v>56</v>
      </c>
      <c r="D1071" s="10">
        <v>6</v>
      </c>
      <c r="E1071" s="19">
        <v>440.37</v>
      </c>
      <c r="F1071" s="10">
        <v>0.1</v>
      </c>
      <c r="G1071" s="19">
        <f t="shared" si="48"/>
        <v>2377.9980000000005</v>
      </c>
      <c r="H1071" s="10">
        <f>INDEX(Products!$C$2:$C$101,MATCH(C1071,Products!$A$2:$A$101,0))</f>
        <v>6</v>
      </c>
      <c r="I1071" s="10" t="str">
        <f>INDEX(Categories!$B$2:$B$11,MATCH(H1071,Categories!$A$2:$A$11,0))</f>
        <v>Sporting Goods</v>
      </c>
      <c r="J1071" s="19">
        <f>INDEX(Products!$E$2:$E$101,MATCH(C1071,Products!$A$2:$A$101,0))</f>
        <v>242.36</v>
      </c>
      <c r="K1071" s="19">
        <f t="shared" si="49"/>
        <v>1454.16</v>
      </c>
      <c r="L1071" s="19">
        <f t="shared" si="50"/>
        <v>923.83800000000042</v>
      </c>
    </row>
    <row r="1072" spans="1:12" ht="15" customHeight="1" x14ac:dyDescent="0.25">
      <c r="A1072" s="10">
        <v>1071</v>
      </c>
      <c r="B1072" s="10">
        <v>337</v>
      </c>
      <c r="C1072" s="10">
        <v>33</v>
      </c>
      <c r="D1072" s="10">
        <v>8</v>
      </c>
      <c r="E1072" s="19">
        <v>432.05</v>
      </c>
      <c r="F1072" s="10">
        <v>0</v>
      </c>
      <c r="G1072" s="19">
        <f t="shared" si="48"/>
        <v>3456.4</v>
      </c>
      <c r="H1072" s="10">
        <f>INDEX(Products!$C$2:$C$101,MATCH(C1072,Products!$A$2:$A$101,0))</f>
        <v>4</v>
      </c>
      <c r="I1072" s="10" t="str">
        <f>INDEX(Categories!$B$2:$B$11,MATCH(H1072,Categories!$A$2:$A$11,0))</f>
        <v>Apparel</v>
      </c>
      <c r="J1072" s="19">
        <f>INDEX(Products!$E$2:$E$101,MATCH(C1072,Products!$A$2:$A$101,0))</f>
        <v>181.97</v>
      </c>
      <c r="K1072" s="19">
        <f t="shared" si="49"/>
        <v>1455.76</v>
      </c>
      <c r="L1072" s="19">
        <f t="shared" si="50"/>
        <v>2000.64</v>
      </c>
    </row>
    <row r="1073" spans="1:12" ht="15" customHeight="1" x14ac:dyDescent="0.25">
      <c r="A1073" s="10">
        <v>1072</v>
      </c>
      <c r="B1073" s="10">
        <v>338</v>
      </c>
      <c r="C1073" s="10">
        <v>10</v>
      </c>
      <c r="D1073" s="10">
        <v>4</v>
      </c>
      <c r="E1073" s="19">
        <v>395.24</v>
      </c>
      <c r="F1073" s="10">
        <v>0.15</v>
      </c>
      <c r="G1073" s="19">
        <f t="shared" si="48"/>
        <v>1343.816</v>
      </c>
      <c r="H1073" s="10">
        <f>INDEX(Products!$C$2:$C$101,MATCH(C1073,Products!$A$2:$A$101,0))</f>
        <v>1</v>
      </c>
      <c r="I1073" s="10" t="str">
        <f>INDEX(Categories!$B$2:$B$11,MATCH(H1073,Categories!$A$2:$A$11,0))</f>
        <v>Electronics</v>
      </c>
      <c r="J1073" s="19">
        <f>INDEX(Products!$E$2:$E$101,MATCH(C1073,Products!$A$2:$A$101,0))</f>
        <v>195.96</v>
      </c>
      <c r="K1073" s="19">
        <f t="shared" si="49"/>
        <v>783.84</v>
      </c>
      <c r="L1073" s="19">
        <f t="shared" si="50"/>
        <v>559.976</v>
      </c>
    </row>
    <row r="1074" spans="1:12" ht="15" customHeight="1" x14ac:dyDescent="0.25">
      <c r="A1074" s="10">
        <v>1073</v>
      </c>
      <c r="B1074" s="10">
        <v>339</v>
      </c>
      <c r="C1074" s="10">
        <v>13</v>
      </c>
      <c r="D1074" s="10">
        <v>7</v>
      </c>
      <c r="E1074" s="19">
        <v>360.29</v>
      </c>
      <c r="F1074" s="10">
        <v>0.2</v>
      </c>
      <c r="G1074" s="19">
        <f t="shared" si="48"/>
        <v>2017.6240000000003</v>
      </c>
      <c r="H1074" s="10">
        <f>INDEX(Products!$C$2:$C$101,MATCH(C1074,Products!$A$2:$A$101,0))</f>
        <v>2</v>
      </c>
      <c r="I1074" s="10" t="str">
        <f>INDEX(Categories!$B$2:$B$11,MATCH(H1074,Categories!$A$2:$A$11,0))</f>
        <v>Office Supplies</v>
      </c>
      <c r="J1074" s="19">
        <f>INDEX(Products!$E$2:$E$101,MATCH(C1074,Products!$A$2:$A$101,0))</f>
        <v>152.66</v>
      </c>
      <c r="K1074" s="19">
        <f t="shared" si="49"/>
        <v>1068.6199999999999</v>
      </c>
      <c r="L1074" s="19">
        <f t="shared" si="50"/>
        <v>949.00400000000036</v>
      </c>
    </row>
    <row r="1075" spans="1:12" ht="15" customHeight="1" x14ac:dyDescent="0.25">
      <c r="A1075" s="10">
        <v>1074</v>
      </c>
      <c r="B1075" s="10">
        <v>339</v>
      </c>
      <c r="C1075" s="10">
        <v>31</v>
      </c>
      <c r="D1075" s="10">
        <v>4</v>
      </c>
      <c r="E1075" s="19">
        <v>93.27</v>
      </c>
      <c r="F1075" s="10">
        <v>0.05</v>
      </c>
      <c r="G1075" s="19">
        <f t="shared" si="48"/>
        <v>354.42599999999999</v>
      </c>
      <c r="H1075" s="10">
        <f>INDEX(Products!$C$2:$C$101,MATCH(C1075,Products!$A$2:$A$101,0))</f>
        <v>4</v>
      </c>
      <c r="I1075" s="10" t="str">
        <f>INDEX(Categories!$B$2:$B$11,MATCH(H1075,Categories!$A$2:$A$11,0))</f>
        <v>Apparel</v>
      </c>
      <c r="J1075" s="19">
        <f>INDEX(Products!$E$2:$E$101,MATCH(C1075,Products!$A$2:$A$101,0))</f>
        <v>65.099999999999994</v>
      </c>
      <c r="K1075" s="19">
        <f t="shared" si="49"/>
        <v>260.39999999999998</v>
      </c>
      <c r="L1075" s="19">
        <f t="shared" si="50"/>
        <v>94.02600000000001</v>
      </c>
    </row>
    <row r="1076" spans="1:12" ht="15" customHeight="1" x14ac:dyDescent="0.25">
      <c r="A1076" s="10">
        <v>1075</v>
      </c>
      <c r="B1076" s="10">
        <v>340</v>
      </c>
      <c r="C1076" s="10">
        <v>79</v>
      </c>
      <c r="D1076" s="10">
        <v>3</v>
      </c>
      <c r="E1076" s="19">
        <v>369.82</v>
      </c>
      <c r="F1076" s="10">
        <v>0.05</v>
      </c>
      <c r="G1076" s="19">
        <f t="shared" si="48"/>
        <v>1053.9870000000001</v>
      </c>
      <c r="H1076" s="10">
        <f>INDEX(Products!$C$2:$C$101,MATCH(C1076,Products!$A$2:$A$101,0))</f>
        <v>8</v>
      </c>
      <c r="I1076" s="10" t="str">
        <f>INDEX(Categories!$B$2:$B$11,MATCH(H1076,Categories!$A$2:$A$11,0))</f>
        <v>Health &amp; Beauty</v>
      </c>
      <c r="J1076" s="19">
        <f>INDEX(Products!$E$2:$E$101,MATCH(C1076,Products!$A$2:$A$101,0))</f>
        <v>215.26</v>
      </c>
      <c r="K1076" s="19">
        <f t="shared" si="49"/>
        <v>645.78</v>
      </c>
      <c r="L1076" s="19">
        <f t="shared" si="50"/>
        <v>408.20700000000011</v>
      </c>
    </row>
    <row r="1077" spans="1:12" ht="15" customHeight="1" x14ac:dyDescent="0.25">
      <c r="A1077" s="10">
        <v>1076</v>
      </c>
      <c r="B1077" s="10">
        <v>340</v>
      </c>
      <c r="C1077" s="10">
        <v>59</v>
      </c>
      <c r="D1077" s="10">
        <v>6</v>
      </c>
      <c r="E1077" s="19">
        <v>68</v>
      </c>
      <c r="F1077" s="10">
        <v>0</v>
      </c>
      <c r="G1077" s="19">
        <f t="shared" si="48"/>
        <v>408</v>
      </c>
      <c r="H1077" s="10">
        <f>INDEX(Products!$C$2:$C$101,MATCH(C1077,Products!$A$2:$A$101,0))</f>
        <v>6</v>
      </c>
      <c r="I1077" s="10" t="str">
        <f>INDEX(Categories!$B$2:$B$11,MATCH(H1077,Categories!$A$2:$A$11,0))</f>
        <v>Sporting Goods</v>
      </c>
      <c r="J1077" s="19">
        <f>INDEX(Products!$E$2:$E$101,MATCH(C1077,Products!$A$2:$A$101,0))</f>
        <v>31.63</v>
      </c>
      <c r="K1077" s="19">
        <f t="shared" si="49"/>
        <v>189.78</v>
      </c>
      <c r="L1077" s="19">
        <f t="shared" si="50"/>
        <v>218.22</v>
      </c>
    </row>
    <row r="1078" spans="1:12" ht="15" customHeight="1" x14ac:dyDescent="0.25">
      <c r="A1078" s="10">
        <v>1077</v>
      </c>
      <c r="B1078" s="10">
        <v>341</v>
      </c>
      <c r="C1078" s="10">
        <v>5</v>
      </c>
      <c r="D1078" s="10">
        <v>10</v>
      </c>
      <c r="E1078" s="19">
        <v>310.02</v>
      </c>
      <c r="F1078" s="10">
        <v>0</v>
      </c>
      <c r="G1078" s="19">
        <f t="shared" si="48"/>
        <v>3100.2</v>
      </c>
      <c r="H1078" s="10">
        <f>INDEX(Products!$C$2:$C$101,MATCH(C1078,Products!$A$2:$A$101,0))</f>
        <v>1</v>
      </c>
      <c r="I1078" s="10" t="str">
        <f>INDEX(Categories!$B$2:$B$11,MATCH(H1078,Categories!$A$2:$A$11,0))</f>
        <v>Electronics</v>
      </c>
      <c r="J1078" s="19">
        <f>INDEX(Products!$E$2:$E$101,MATCH(C1078,Products!$A$2:$A$101,0))</f>
        <v>134.93</v>
      </c>
      <c r="K1078" s="19">
        <f t="shared" si="49"/>
        <v>1349.3000000000002</v>
      </c>
      <c r="L1078" s="19">
        <f t="shared" si="50"/>
        <v>1750.8999999999996</v>
      </c>
    </row>
    <row r="1079" spans="1:12" ht="15" customHeight="1" x14ac:dyDescent="0.25">
      <c r="A1079" s="10">
        <v>1078</v>
      </c>
      <c r="B1079" s="10">
        <v>341</v>
      </c>
      <c r="C1079" s="10">
        <v>89</v>
      </c>
      <c r="D1079" s="10">
        <v>5</v>
      </c>
      <c r="E1079" s="19">
        <v>312.76</v>
      </c>
      <c r="F1079" s="10">
        <v>0</v>
      </c>
      <c r="G1079" s="19">
        <f t="shared" si="48"/>
        <v>1563.8</v>
      </c>
      <c r="H1079" s="10">
        <f>INDEX(Products!$C$2:$C$101,MATCH(C1079,Products!$A$2:$A$101,0))</f>
        <v>9</v>
      </c>
      <c r="I1079" s="10" t="str">
        <f>INDEX(Categories!$B$2:$B$11,MATCH(H1079,Categories!$A$2:$A$11,0))</f>
        <v>Automotive Parts</v>
      </c>
      <c r="J1079" s="19">
        <f>INDEX(Products!$E$2:$E$101,MATCH(C1079,Products!$A$2:$A$101,0))</f>
        <v>173.51</v>
      </c>
      <c r="K1079" s="19">
        <f t="shared" si="49"/>
        <v>867.55</v>
      </c>
      <c r="L1079" s="19">
        <f t="shared" si="50"/>
        <v>696.25</v>
      </c>
    </row>
    <row r="1080" spans="1:12" ht="15" customHeight="1" x14ac:dyDescent="0.25">
      <c r="A1080" s="10">
        <v>1079</v>
      </c>
      <c r="B1080" s="10">
        <v>342</v>
      </c>
      <c r="C1080" s="10">
        <v>78</v>
      </c>
      <c r="D1080" s="10">
        <v>10</v>
      </c>
      <c r="E1080" s="19">
        <v>178.61</v>
      </c>
      <c r="F1080" s="10">
        <v>0</v>
      </c>
      <c r="G1080" s="19">
        <f t="shared" si="48"/>
        <v>1786.1000000000001</v>
      </c>
      <c r="H1080" s="10">
        <f>INDEX(Products!$C$2:$C$101,MATCH(C1080,Products!$A$2:$A$101,0))</f>
        <v>8</v>
      </c>
      <c r="I1080" s="10" t="str">
        <f>INDEX(Categories!$B$2:$B$11,MATCH(H1080,Categories!$A$2:$A$11,0))</f>
        <v>Health &amp; Beauty</v>
      </c>
      <c r="J1080" s="19">
        <f>INDEX(Products!$E$2:$E$101,MATCH(C1080,Products!$A$2:$A$101,0))</f>
        <v>86.62</v>
      </c>
      <c r="K1080" s="19">
        <f t="shared" si="49"/>
        <v>866.2</v>
      </c>
      <c r="L1080" s="19">
        <f t="shared" si="50"/>
        <v>919.90000000000009</v>
      </c>
    </row>
    <row r="1081" spans="1:12" ht="15" customHeight="1" x14ac:dyDescent="0.25">
      <c r="A1081" s="10">
        <v>1080</v>
      </c>
      <c r="B1081" s="10">
        <v>342</v>
      </c>
      <c r="C1081" s="10">
        <v>21</v>
      </c>
      <c r="D1081" s="10">
        <v>10</v>
      </c>
      <c r="E1081" s="19">
        <v>358.6</v>
      </c>
      <c r="F1081" s="10">
        <v>0.1</v>
      </c>
      <c r="G1081" s="19">
        <f t="shared" si="48"/>
        <v>3227.4</v>
      </c>
      <c r="H1081" s="10">
        <f>INDEX(Products!$C$2:$C$101,MATCH(C1081,Products!$A$2:$A$101,0))</f>
        <v>3</v>
      </c>
      <c r="I1081" s="10" t="str">
        <f>INDEX(Categories!$B$2:$B$11,MATCH(H1081,Categories!$A$2:$A$11,0))</f>
        <v>Furniture</v>
      </c>
      <c r="J1081" s="19">
        <f>INDEX(Products!$E$2:$E$101,MATCH(C1081,Products!$A$2:$A$101,0))</f>
        <v>155.13</v>
      </c>
      <c r="K1081" s="19">
        <f t="shared" si="49"/>
        <v>1551.3</v>
      </c>
      <c r="L1081" s="19">
        <f t="shared" si="50"/>
        <v>1676.1000000000001</v>
      </c>
    </row>
    <row r="1082" spans="1:12" ht="15" customHeight="1" x14ac:dyDescent="0.25">
      <c r="A1082" s="10">
        <v>1081</v>
      </c>
      <c r="B1082" s="10">
        <v>342</v>
      </c>
      <c r="C1082" s="10">
        <v>82</v>
      </c>
      <c r="D1082" s="10">
        <v>4</v>
      </c>
      <c r="E1082" s="19">
        <v>390.74</v>
      </c>
      <c r="F1082" s="10">
        <v>0</v>
      </c>
      <c r="G1082" s="19">
        <f t="shared" si="48"/>
        <v>1562.96</v>
      </c>
      <c r="H1082" s="10">
        <f>INDEX(Products!$C$2:$C$101,MATCH(C1082,Products!$A$2:$A$101,0))</f>
        <v>9</v>
      </c>
      <c r="I1082" s="10" t="str">
        <f>INDEX(Categories!$B$2:$B$11,MATCH(H1082,Categories!$A$2:$A$11,0))</f>
        <v>Automotive Parts</v>
      </c>
      <c r="J1082" s="19">
        <f>INDEX(Products!$E$2:$E$101,MATCH(C1082,Products!$A$2:$A$101,0))</f>
        <v>218.53</v>
      </c>
      <c r="K1082" s="19">
        <f t="shared" si="49"/>
        <v>874.12</v>
      </c>
      <c r="L1082" s="19">
        <f t="shared" si="50"/>
        <v>688.84</v>
      </c>
    </row>
    <row r="1083" spans="1:12" ht="15" customHeight="1" x14ac:dyDescent="0.25">
      <c r="A1083" s="10">
        <v>1082</v>
      </c>
      <c r="B1083" s="10">
        <v>343</v>
      </c>
      <c r="C1083" s="10">
        <v>95</v>
      </c>
      <c r="D1083" s="10">
        <v>10</v>
      </c>
      <c r="E1083" s="19">
        <v>394.56</v>
      </c>
      <c r="F1083" s="10">
        <v>0</v>
      </c>
      <c r="G1083" s="19">
        <f t="shared" si="48"/>
        <v>3945.6</v>
      </c>
      <c r="H1083" s="10">
        <f>INDEX(Products!$C$2:$C$101,MATCH(C1083,Products!$A$2:$A$101,0))</f>
        <v>10</v>
      </c>
      <c r="I1083" s="10" t="str">
        <f>INDEX(Categories!$B$2:$B$11,MATCH(H1083,Categories!$A$2:$A$11,0))</f>
        <v>Groceries</v>
      </c>
      <c r="J1083" s="19">
        <f>INDEX(Products!$E$2:$E$101,MATCH(C1083,Products!$A$2:$A$101,0))</f>
        <v>192.57</v>
      </c>
      <c r="K1083" s="19">
        <f t="shared" si="49"/>
        <v>1925.6999999999998</v>
      </c>
      <c r="L1083" s="19">
        <f t="shared" si="50"/>
        <v>2019.9</v>
      </c>
    </row>
    <row r="1084" spans="1:12" ht="15" customHeight="1" x14ac:dyDescent="0.25">
      <c r="A1084" s="10">
        <v>1083</v>
      </c>
      <c r="B1084" s="10">
        <v>343</v>
      </c>
      <c r="C1084" s="10">
        <v>32</v>
      </c>
      <c r="D1084" s="10">
        <v>10</v>
      </c>
      <c r="E1084" s="19">
        <v>489.82</v>
      </c>
      <c r="F1084" s="10">
        <v>0</v>
      </c>
      <c r="G1084" s="19">
        <f t="shared" si="48"/>
        <v>4898.2</v>
      </c>
      <c r="H1084" s="10">
        <f>INDEX(Products!$C$2:$C$101,MATCH(C1084,Products!$A$2:$A$101,0))</f>
        <v>4</v>
      </c>
      <c r="I1084" s="10" t="str">
        <f>INDEX(Categories!$B$2:$B$11,MATCH(H1084,Categories!$A$2:$A$11,0))</f>
        <v>Apparel</v>
      </c>
      <c r="J1084" s="19">
        <f>INDEX(Products!$E$2:$E$101,MATCH(C1084,Products!$A$2:$A$101,0))</f>
        <v>237.87</v>
      </c>
      <c r="K1084" s="19">
        <f t="shared" si="49"/>
        <v>2378.6999999999998</v>
      </c>
      <c r="L1084" s="19">
        <f t="shared" si="50"/>
        <v>2519.5</v>
      </c>
    </row>
    <row r="1085" spans="1:12" ht="15" customHeight="1" x14ac:dyDescent="0.25">
      <c r="A1085" s="10">
        <v>1084</v>
      </c>
      <c r="B1085" s="10">
        <v>343</v>
      </c>
      <c r="C1085" s="10">
        <v>42</v>
      </c>
      <c r="D1085" s="10">
        <v>10</v>
      </c>
      <c r="E1085" s="19">
        <v>370</v>
      </c>
      <c r="F1085" s="10">
        <v>0</v>
      </c>
      <c r="G1085" s="19">
        <f t="shared" si="48"/>
        <v>3700</v>
      </c>
      <c r="H1085" s="10">
        <f>INDEX(Products!$C$2:$C$101,MATCH(C1085,Products!$A$2:$A$101,0))</f>
        <v>5</v>
      </c>
      <c r="I1085" s="10" t="str">
        <f>INDEX(Categories!$B$2:$B$11,MATCH(H1085,Categories!$A$2:$A$11,0))</f>
        <v>Home &amp; Kitchen</v>
      </c>
      <c r="J1085" s="19">
        <f>INDEX(Products!$E$2:$E$101,MATCH(C1085,Products!$A$2:$A$101,0))</f>
        <v>227.4</v>
      </c>
      <c r="K1085" s="19">
        <f t="shared" si="49"/>
        <v>2274</v>
      </c>
      <c r="L1085" s="19">
        <f t="shared" si="50"/>
        <v>1426</v>
      </c>
    </row>
    <row r="1086" spans="1:12" ht="15" customHeight="1" x14ac:dyDescent="0.25">
      <c r="A1086" s="10">
        <v>1085</v>
      </c>
      <c r="B1086" s="10">
        <v>343</v>
      </c>
      <c r="C1086" s="10">
        <v>56</v>
      </c>
      <c r="D1086" s="10">
        <v>7</v>
      </c>
      <c r="E1086" s="19">
        <v>440.37</v>
      </c>
      <c r="F1086" s="10">
        <v>0</v>
      </c>
      <c r="G1086" s="19">
        <f t="shared" si="48"/>
        <v>3082.59</v>
      </c>
      <c r="H1086" s="10">
        <f>INDEX(Products!$C$2:$C$101,MATCH(C1086,Products!$A$2:$A$101,0))</f>
        <v>6</v>
      </c>
      <c r="I1086" s="10" t="str">
        <f>INDEX(Categories!$B$2:$B$11,MATCH(H1086,Categories!$A$2:$A$11,0))</f>
        <v>Sporting Goods</v>
      </c>
      <c r="J1086" s="19">
        <f>INDEX(Products!$E$2:$E$101,MATCH(C1086,Products!$A$2:$A$101,0))</f>
        <v>242.36</v>
      </c>
      <c r="K1086" s="19">
        <f t="shared" si="49"/>
        <v>1696.52</v>
      </c>
      <c r="L1086" s="19">
        <f t="shared" si="50"/>
        <v>1386.0700000000002</v>
      </c>
    </row>
    <row r="1087" spans="1:12" ht="15" customHeight="1" x14ac:dyDescent="0.25">
      <c r="A1087" s="10">
        <v>1086</v>
      </c>
      <c r="B1087" s="10">
        <v>344</v>
      </c>
      <c r="C1087" s="10">
        <v>11</v>
      </c>
      <c r="D1087" s="10">
        <v>1</v>
      </c>
      <c r="E1087" s="19">
        <v>417.1</v>
      </c>
      <c r="F1087" s="10">
        <v>0.15</v>
      </c>
      <c r="G1087" s="19">
        <f t="shared" si="48"/>
        <v>354.53500000000003</v>
      </c>
      <c r="H1087" s="10">
        <f>INDEX(Products!$C$2:$C$101,MATCH(C1087,Products!$A$2:$A$101,0))</f>
        <v>2</v>
      </c>
      <c r="I1087" s="10" t="str">
        <f>INDEX(Categories!$B$2:$B$11,MATCH(H1087,Categories!$A$2:$A$11,0))</f>
        <v>Office Supplies</v>
      </c>
      <c r="J1087" s="19">
        <f>INDEX(Products!$E$2:$E$101,MATCH(C1087,Products!$A$2:$A$101,0))</f>
        <v>210.29</v>
      </c>
      <c r="K1087" s="19">
        <f t="shared" si="49"/>
        <v>210.29</v>
      </c>
      <c r="L1087" s="19">
        <f t="shared" si="50"/>
        <v>144.24500000000003</v>
      </c>
    </row>
    <row r="1088" spans="1:12" ht="15" customHeight="1" x14ac:dyDescent="0.25">
      <c r="A1088" s="10">
        <v>1087</v>
      </c>
      <c r="B1088" s="10">
        <v>344</v>
      </c>
      <c r="C1088" s="10">
        <v>72</v>
      </c>
      <c r="D1088" s="10">
        <v>7</v>
      </c>
      <c r="E1088" s="19">
        <v>526.70000000000005</v>
      </c>
      <c r="F1088" s="10">
        <v>0</v>
      </c>
      <c r="G1088" s="19">
        <f t="shared" si="48"/>
        <v>3686.9000000000005</v>
      </c>
      <c r="H1088" s="10">
        <f>INDEX(Products!$C$2:$C$101,MATCH(C1088,Products!$A$2:$A$101,0))</f>
        <v>8</v>
      </c>
      <c r="I1088" s="10" t="str">
        <f>INDEX(Categories!$B$2:$B$11,MATCH(H1088,Categories!$A$2:$A$11,0))</f>
        <v>Health &amp; Beauty</v>
      </c>
      <c r="J1088" s="19">
        <f>INDEX(Products!$E$2:$E$101,MATCH(C1088,Products!$A$2:$A$101,0))</f>
        <v>233.41</v>
      </c>
      <c r="K1088" s="19">
        <f t="shared" si="49"/>
        <v>1633.87</v>
      </c>
      <c r="L1088" s="19">
        <f t="shared" si="50"/>
        <v>2053.0300000000007</v>
      </c>
    </row>
    <row r="1089" spans="1:12" ht="15" customHeight="1" x14ac:dyDescent="0.25">
      <c r="A1089" s="10">
        <v>1088</v>
      </c>
      <c r="B1089" s="10">
        <v>345</v>
      </c>
      <c r="C1089" s="10">
        <v>91</v>
      </c>
      <c r="D1089" s="10">
        <v>10</v>
      </c>
      <c r="E1089" s="19">
        <v>180.37</v>
      </c>
      <c r="F1089" s="10">
        <v>0.15</v>
      </c>
      <c r="G1089" s="19">
        <f t="shared" si="48"/>
        <v>1533.145</v>
      </c>
      <c r="H1089" s="10">
        <f>INDEX(Products!$C$2:$C$101,MATCH(C1089,Products!$A$2:$A$101,0))</f>
        <v>10</v>
      </c>
      <c r="I1089" s="10" t="str">
        <f>INDEX(Categories!$B$2:$B$11,MATCH(H1089,Categories!$A$2:$A$11,0))</f>
        <v>Groceries</v>
      </c>
      <c r="J1089" s="19">
        <f>INDEX(Products!$E$2:$E$101,MATCH(C1089,Products!$A$2:$A$101,0))</f>
        <v>75.92</v>
      </c>
      <c r="K1089" s="19">
        <f t="shared" si="49"/>
        <v>759.2</v>
      </c>
      <c r="L1089" s="19">
        <f t="shared" si="50"/>
        <v>773.94499999999994</v>
      </c>
    </row>
    <row r="1090" spans="1:12" ht="15" customHeight="1" x14ac:dyDescent="0.25">
      <c r="A1090" s="10">
        <v>1089</v>
      </c>
      <c r="B1090" s="10">
        <v>345</v>
      </c>
      <c r="C1090" s="10">
        <v>59</v>
      </c>
      <c r="D1090" s="10">
        <v>10</v>
      </c>
      <c r="E1090" s="19">
        <v>68</v>
      </c>
      <c r="F1090" s="10">
        <v>0</v>
      </c>
      <c r="G1090" s="19">
        <f t="shared" ref="G1090:G1153" si="51">D1090*E1090*(1-F1090)</f>
        <v>680</v>
      </c>
      <c r="H1090" s="10">
        <f>INDEX(Products!$C$2:$C$101,MATCH(C1090,Products!$A$2:$A$101,0))</f>
        <v>6</v>
      </c>
      <c r="I1090" s="10" t="str">
        <f>INDEX(Categories!$B$2:$B$11,MATCH(H1090,Categories!$A$2:$A$11,0))</f>
        <v>Sporting Goods</v>
      </c>
      <c r="J1090" s="19">
        <f>INDEX(Products!$E$2:$E$101,MATCH(C1090,Products!$A$2:$A$101,0))</f>
        <v>31.63</v>
      </c>
      <c r="K1090" s="19">
        <f t="shared" ref="K1090:K1153" si="52">D1090*J1090</f>
        <v>316.3</v>
      </c>
      <c r="L1090" s="19">
        <f t="shared" ref="L1090:L1153" si="53">G1090-K1090</f>
        <v>363.7</v>
      </c>
    </row>
    <row r="1091" spans="1:12" ht="15" customHeight="1" x14ac:dyDescent="0.25">
      <c r="A1091" s="10">
        <v>1090</v>
      </c>
      <c r="B1091" s="10">
        <v>346</v>
      </c>
      <c r="C1091" s="10">
        <v>81</v>
      </c>
      <c r="D1091" s="10">
        <v>2</v>
      </c>
      <c r="E1091" s="19">
        <v>529</v>
      </c>
      <c r="F1091" s="10">
        <v>0.05</v>
      </c>
      <c r="G1091" s="19">
        <f t="shared" si="51"/>
        <v>1005.0999999999999</v>
      </c>
      <c r="H1091" s="10">
        <f>INDEX(Products!$C$2:$C$101,MATCH(C1091,Products!$A$2:$A$101,0))</f>
        <v>9</v>
      </c>
      <c r="I1091" s="10" t="str">
        <f>INDEX(Categories!$B$2:$B$11,MATCH(H1091,Categories!$A$2:$A$11,0))</f>
        <v>Automotive Parts</v>
      </c>
      <c r="J1091" s="19">
        <f>INDEX(Products!$E$2:$E$101,MATCH(C1091,Products!$A$2:$A$101,0))</f>
        <v>249.36</v>
      </c>
      <c r="K1091" s="19">
        <f t="shared" si="52"/>
        <v>498.72</v>
      </c>
      <c r="L1091" s="19">
        <f t="shared" si="53"/>
        <v>506.37999999999988</v>
      </c>
    </row>
    <row r="1092" spans="1:12" ht="15" customHeight="1" x14ac:dyDescent="0.25">
      <c r="A1092" s="10">
        <v>1091</v>
      </c>
      <c r="B1092" s="10">
        <v>347</v>
      </c>
      <c r="C1092" s="10">
        <v>70</v>
      </c>
      <c r="D1092" s="10">
        <v>10</v>
      </c>
      <c r="E1092" s="19">
        <v>149.31</v>
      </c>
      <c r="F1092" s="10">
        <v>0</v>
      </c>
      <c r="G1092" s="19">
        <f t="shared" si="51"/>
        <v>1493.1</v>
      </c>
      <c r="H1092" s="10">
        <f>INDEX(Products!$C$2:$C$101,MATCH(C1092,Products!$A$2:$A$101,0))</f>
        <v>7</v>
      </c>
      <c r="I1092" s="10" t="str">
        <f>INDEX(Categories!$B$2:$B$11,MATCH(H1092,Categories!$A$2:$A$11,0))</f>
        <v>Toys &amp; Games</v>
      </c>
      <c r="J1092" s="19">
        <f>INDEX(Products!$E$2:$E$101,MATCH(C1092,Products!$A$2:$A$101,0))</f>
        <v>76.739999999999995</v>
      </c>
      <c r="K1092" s="19">
        <f t="shared" si="52"/>
        <v>767.4</v>
      </c>
      <c r="L1092" s="19">
        <f t="shared" si="53"/>
        <v>725.69999999999993</v>
      </c>
    </row>
    <row r="1093" spans="1:12" ht="15" customHeight="1" x14ac:dyDescent="0.25">
      <c r="A1093" s="10">
        <v>1092</v>
      </c>
      <c r="B1093" s="10">
        <v>347</v>
      </c>
      <c r="C1093" s="10">
        <v>74</v>
      </c>
      <c r="D1093" s="10">
        <v>1</v>
      </c>
      <c r="E1093" s="19">
        <v>199.68</v>
      </c>
      <c r="F1093" s="10">
        <v>0.1</v>
      </c>
      <c r="G1093" s="19">
        <f t="shared" si="51"/>
        <v>179.71200000000002</v>
      </c>
      <c r="H1093" s="10">
        <f>INDEX(Products!$C$2:$C$101,MATCH(C1093,Products!$A$2:$A$101,0))</f>
        <v>8</v>
      </c>
      <c r="I1093" s="10" t="str">
        <f>INDEX(Categories!$B$2:$B$11,MATCH(H1093,Categories!$A$2:$A$11,0))</f>
        <v>Health &amp; Beauty</v>
      </c>
      <c r="J1093" s="19">
        <f>INDEX(Products!$E$2:$E$101,MATCH(C1093,Products!$A$2:$A$101,0))</f>
        <v>98.36</v>
      </c>
      <c r="K1093" s="19">
        <f t="shared" si="52"/>
        <v>98.36</v>
      </c>
      <c r="L1093" s="19">
        <f t="shared" si="53"/>
        <v>81.352000000000018</v>
      </c>
    </row>
    <row r="1094" spans="1:12" ht="15" customHeight="1" x14ac:dyDescent="0.25">
      <c r="A1094" s="10">
        <v>1093</v>
      </c>
      <c r="B1094" s="10">
        <v>347</v>
      </c>
      <c r="C1094" s="10">
        <v>27</v>
      </c>
      <c r="D1094" s="10">
        <v>6</v>
      </c>
      <c r="E1094" s="19">
        <v>263.93</v>
      </c>
      <c r="F1094" s="10">
        <v>0</v>
      </c>
      <c r="G1094" s="19">
        <f t="shared" si="51"/>
        <v>1583.58</v>
      </c>
      <c r="H1094" s="10">
        <f>INDEX(Products!$C$2:$C$101,MATCH(C1094,Products!$A$2:$A$101,0))</f>
        <v>3</v>
      </c>
      <c r="I1094" s="10" t="str">
        <f>INDEX(Categories!$B$2:$B$11,MATCH(H1094,Categories!$A$2:$A$11,0))</f>
        <v>Furniture</v>
      </c>
      <c r="J1094" s="19">
        <f>INDEX(Products!$E$2:$E$101,MATCH(C1094,Products!$A$2:$A$101,0))</f>
        <v>123.68</v>
      </c>
      <c r="K1094" s="19">
        <f t="shared" si="52"/>
        <v>742.08</v>
      </c>
      <c r="L1094" s="19">
        <f t="shared" si="53"/>
        <v>841.49999999999989</v>
      </c>
    </row>
    <row r="1095" spans="1:12" ht="15" customHeight="1" x14ac:dyDescent="0.25">
      <c r="A1095" s="10">
        <v>1094</v>
      </c>
      <c r="B1095" s="10">
        <v>347</v>
      </c>
      <c r="C1095" s="10">
        <v>88</v>
      </c>
      <c r="D1095" s="10">
        <v>2</v>
      </c>
      <c r="E1095" s="19">
        <v>188.36</v>
      </c>
      <c r="F1095" s="10">
        <v>0.05</v>
      </c>
      <c r="G1095" s="19">
        <f t="shared" si="51"/>
        <v>357.88400000000001</v>
      </c>
      <c r="H1095" s="10">
        <f>INDEX(Products!$C$2:$C$101,MATCH(C1095,Products!$A$2:$A$101,0))</f>
        <v>9</v>
      </c>
      <c r="I1095" s="10" t="str">
        <f>INDEX(Categories!$B$2:$B$11,MATCH(H1095,Categories!$A$2:$A$11,0))</f>
        <v>Automotive Parts</v>
      </c>
      <c r="J1095" s="19">
        <f>INDEX(Products!$E$2:$E$101,MATCH(C1095,Products!$A$2:$A$101,0))</f>
        <v>112.11</v>
      </c>
      <c r="K1095" s="19">
        <f t="shared" si="52"/>
        <v>224.22</v>
      </c>
      <c r="L1095" s="19">
        <f t="shared" si="53"/>
        <v>133.66400000000002</v>
      </c>
    </row>
    <row r="1096" spans="1:12" ht="15" customHeight="1" x14ac:dyDescent="0.25">
      <c r="A1096" s="10">
        <v>1095</v>
      </c>
      <c r="B1096" s="10">
        <v>347</v>
      </c>
      <c r="C1096" s="10">
        <v>11</v>
      </c>
      <c r="D1096" s="10">
        <v>6</v>
      </c>
      <c r="E1096" s="19">
        <v>417.1</v>
      </c>
      <c r="F1096" s="10">
        <v>0.05</v>
      </c>
      <c r="G1096" s="19">
        <f t="shared" si="51"/>
        <v>2377.4700000000003</v>
      </c>
      <c r="H1096" s="10">
        <f>INDEX(Products!$C$2:$C$101,MATCH(C1096,Products!$A$2:$A$101,0))</f>
        <v>2</v>
      </c>
      <c r="I1096" s="10" t="str">
        <f>INDEX(Categories!$B$2:$B$11,MATCH(H1096,Categories!$A$2:$A$11,0))</f>
        <v>Office Supplies</v>
      </c>
      <c r="J1096" s="19">
        <f>INDEX(Products!$E$2:$E$101,MATCH(C1096,Products!$A$2:$A$101,0))</f>
        <v>210.29</v>
      </c>
      <c r="K1096" s="19">
        <f t="shared" si="52"/>
        <v>1261.74</v>
      </c>
      <c r="L1096" s="19">
        <f t="shared" si="53"/>
        <v>1115.7300000000002</v>
      </c>
    </row>
    <row r="1097" spans="1:12" ht="15" customHeight="1" x14ac:dyDescent="0.25">
      <c r="A1097" s="10">
        <v>1096</v>
      </c>
      <c r="B1097" s="10">
        <v>348</v>
      </c>
      <c r="C1097" s="10">
        <v>91</v>
      </c>
      <c r="D1097" s="10">
        <v>3</v>
      </c>
      <c r="E1097" s="19">
        <v>180.37</v>
      </c>
      <c r="F1097" s="10">
        <v>0</v>
      </c>
      <c r="G1097" s="19">
        <f t="shared" si="51"/>
        <v>541.11</v>
      </c>
      <c r="H1097" s="10">
        <f>INDEX(Products!$C$2:$C$101,MATCH(C1097,Products!$A$2:$A$101,0))</f>
        <v>10</v>
      </c>
      <c r="I1097" s="10" t="str">
        <f>INDEX(Categories!$B$2:$B$11,MATCH(H1097,Categories!$A$2:$A$11,0))</f>
        <v>Groceries</v>
      </c>
      <c r="J1097" s="19">
        <f>INDEX(Products!$E$2:$E$101,MATCH(C1097,Products!$A$2:$A$101,0))</f>
        <v>75.92</v>
      </c>
      <c r="K1097" s="19">
        <f t="shared" si="52"/>
        <v>227.76</v>
      </c>
      <c r="L1097" s="19">
        <f t="shared" si="53"/>
        <v>313.35000000000002</v>
      </c>
    </row>
    <row r="1098" spans="1:12" ht="15" customHeight="1" x14ac:dyDescent="0.25">
      <c r="A1098" s="10">
        <v>1097</v>
      </c>
      <c r="B1098" s="10">
        <v>348</v>
      </c>
      <c r="C1098" s="10">
        <v>9</v>
      </c>
      <c r="D1098" s="10">
        <v>4</v>
      </c>
      <c r="E1098" s="19">
        <v>255.18</v>
      </c>
      <c r="F1098" s="10">
        <v>0.1</v>
      </c>
      <c r="G1098" s="19">
        <f t="shared" si="51"/>
        <v>918.64800000000002</v>
      </c>
      <c r="H1098" s="10">
        <f>INDEX(Products!$C$2:$C$101,MATCH(C1098,Products!$A$2:$A$101,0))</f>
        <v>1</v>
      </c>
      <c r="I1098" s="10" t="str">
        <f>INDEX(Categories!$B$2:$B$11,MATCH(H1098,Categories!$A$2:$A$11,0))</f>
        <v>Electronics</v>
      </c>
      <c r="J1098" s="19">
        <f>INDEX(Products!$E$2:$E$101,MATCH(C1098,Products!$A$2:$A$101,0))</f>
        <v>188.01</v>
      </c>
      <c r="K1098" s="19">
        <f t="shared" si="52"/>
        <v>752.04</v>
      </c>
      <c r="L1098" s="19">
        <f t="shared" si="53"/>
        <v>166.60800000000006</v>
      </c>
    </row>
    <row r="1099" spans="1:12" ht="15" customHeight="1" x14ac:dyDescent="0.25">
      <c r="A1099" s="10">
        <v>1098</v>
      </c>
      <c r="B1099" s="10">
        <v>348</v>
      </c>
      <c r="C1099" s="10">
        <v>72</v>
      </c>
      <c r="D1099" s="10">
        <v>2</v>
      </c>
      <c r="E1099" s="19">
        <v>526.70000000000005</v>
      </c>
      <c r="F1099" s="10">
        <v>0.15</v>
      </c>
      <c r="G1099" s="19">
        <f t="shared" si="51"/>
        <v>895.3900000000001</v>
      </c>
      <c r="H1099" s="10">
        <f>INDEX(Products!$C$2:$C$101,MATCH(C1099,Products!$A$2:$A$101,0))</f>
        <v>8</v>
      </c>
      <c r="I1099" s="10" t="str">
        <f>INDEX(Categories!$B$2:$B$11,MATCH(H1099,Categories!$A$2:$A$11,0))</f>
        <v>Health &amp; Beauty</v>
      </c>
      <c r="J1099" s="19">
        <f>INDEX(Products!$E$2:$E$101,MATCH(C1099,Products!$A$2:$A$101,0))</f>
        <v>233.41</v>
      </c>
      <c r="K1099" s="19">
        <f t="shared" si="52"/>
        <v>466.82</v>
      </c>
      <c r="L1099" s="19">
        <f t="shared" si="53"/>
        <v>428.57000000000011</v>
      </c>
    </row>
    <row r="1100" spans="1:12" ht="15" customHeight="1" x14ac:dyDescent="0.25">
      <c r="A1100" s="10">
        <v>1099</v>
      </c>
      <c r="B1100" s="10">
        <v>348</v>
      </c>
      <c r="C1100" s="10">
        <v>100</v>
      </c>
      <c r="D1100" s="10">
        <v>8</v>
      </c>
      <c r="E1100" s="19">
        <v>313.44</v>
      </c>
      <c r="F1100" s="10">
        <v>0.15</v>
      </c>
      <c r="G1100" s="19">
        <f t="shared" si="51"/>
        <v>2131.3919999999998</v>
      </c>
      <c r="H1100" s="10">
        <f>INDEX(Products!$C$2:$C$101,MATCH(C1100,Products!$A$2:$A$101,0))</f>
        <v>10</v>
      </c>
      <c r="I1100" s="10" t="str">
        <f>INDEX(Categories!$B$2:$B$11,MATCH(H1100,Categories!$A$2:$A$11,0))</f>
        <v>Groceries</v>
      </c>
      <c r="J1100" s="19">
        <f>INDEX(Products!$E$2:$E$101,MATCH(C1100,Products!$A$2:$A$101,0))</f>
        <v>187.4</v>
      </c>
      <c r="K1100" s="19">
        <f t="shared" si="52"/>
        <v>1499.2</v>
      </c>
      <c r="L1100" s="19">
        <f t="shared" si="53"/>
        <v>632.19199999999978</v>
      </c>
    </row>
    <row r="1101" spans="1:12" ht="15" customHeight="1" x14ac:dyDescent="0.25">
      <c r="A1101" s="10">
        <v>1100</v>
      </c>
      <c r="B1101" s="10">
        <v>348</v>
      </c>
      <c r="C1101" s="10">
        <v>27</v>
      </c>
      <c r="D1101" s="10">
        <v>10</v>
      </c>
      <c r="E1101" s="19">
        <v>263.93</v>
      </c>
      <c r="F1101" s="10">
        <v>0.2</v>
      </c>
      <c r="G1101" s="19">
        <f t="shared" si="51"/>
        <v>2111.44</v>
      </c>
      <c r="H1101" s="10">
        <f>INDEX(Products!$C$2:$C$101,MATCH(C1101,Products!$A$2:$A$101,0))</f>
        <v>3</v>
      </c>
      <c r="I1101" s="10" t="str">
        <f>INDEX(Categories!$B$2:$B$11,MATCH(H1101,Categories!$A$2:$A$11,0))</f>
        <v>Furniture</v>
      </c>
      <c r="J1101" s="19">
        <f>INDEX(Products!$E$2:$E$101,MATCH(C1101,Products!$A$2:$A$101,0))</f>
        <v>123.68</v>
      </c>
      <c r="K1101" s="19">
        <f t="shared" si="52"/>
        <v>1236.8000000000002</v>
      </c>
      <c r="L1101" s="19">
        <f t="shared" si="53"/>
        <v>874.63999999999987</v>
      </c>
    </row>
    <row r="1102" spans="1:12" ht="15" customHeight="1" x14ac:dyDescent="0.25">
      <c r="A1102" s="10">
        <v>1101</v>
      </c>
      <c r="B1102" s="10">
        <v>349</v>
      </c>
      <c r="C1102" s="10">
        <v>9</v>
      </c>
      <c r="D1102" s="10">
        <v>6</v>
      </c>
      <c r="E1102" s="19">
        <v>255.18</v>
      </c>
      <c r="F1102" s="10">
        <v>0</v>
      </c>
      <c r="G1102" s="19">
        <f t="shared" si="51"/>
        <v>1531.08</v>
      </c>
      <c r="H1102" s="10">
        <f>INDEX(Products!$C$2:$C$101,MATCH(C1102,Products!$A$2:$A$101,0))</f>
        <v>1</v>
      </c>
      <c r="I1102" s="10" t="str">
        <f>INDEX(Categories!$B$2:$B$11,MATCH(H1102,Categories!$A$2:$A$11,0))</f>
        <v>Electronics</v>
      </c>
      <c r="J1102" s="19">
        <f>INDEX(Products!$E$2:$E$101,MATCH(C1102,Products!$A$2:$A$101,0))</f>
        <v>188.01</v>
      </c>
      <c r="K1102" s="19">
        <f t="shared" si="52"/>
        <v>1128.06</v>
      </c>
      <c r="L1102" s="19">
        <f t="shared" si="53"/>
        <v>403.02</v>
      </c>
    </row>
    <row r="1103" spans="1:12" ht="15" customHeight="1" x14ac:dyDescent="0.25">
      <c r="A1103" s="10">
        <v>1102</v>
      </c>
      <c r="B1103" s="10">
        <v>350</v>
      </c>
      <c r="C1103" s="10">
        <v>38</v>
      </c>
      <c r="D1103" s="10">
        <v>2</v>
      </c>
      <c r="E1103" s="19">
        <v>146.91999999999999</v>
      </c>
      <c r="F1103" s="10">
        <v>0</v>
      </c>
      <c r="G1103" s="19">
        <f t="shared" si="51"/>
        <v>293.83999999999997</v>
      </c>
      <c r="H1103" s="10">
        <f>INDEX(Products!$C$2:$C$101,MATCH(C1103,Products!$A$2:$A$101,0))</f>
        <v>4</v>
      </c>
      <c r="I1103" s="10" t="str">
        <f>INDEX(Categories!$B$2:$B$11,MATCH(H1103,Categories!$A$2:$A$11,0))</f>
        <v>Apparel</v>
      </c>
      <c r="J1103" s="19">
        <f>INDEX(Products!$E$2:$E$101,MATCH(C1103,Products!$A$2:$A$101,0))</f>
        <v>65.36</v>
      </c>
      <c r="K1103" s="19">
        <f t="shared" si="52"/>
        <v>130.72</v>
      </c>
      <c r="L1103" s="19">
        <f t="shared" si="53"/>
        <v>163.11999999999998</v>
      </c>
    </row>
    <row r="1104" spans="1:12" ht="15" customHeight="1" x14ac:dyDescent="0.25">
      <c r="A1104" s="10">
        <v>1103</v>
      </c>
      <c r="B1104" s="10">
        <v>350</v>
      </c>
      <c r="C1104" s="10">
        <v>58</v>
      </c>
      <c r="D1104" s="10">
        <v>8</v>
      </c>
      <c r="E1104" s="19">
        <v>388.55</v>
      </c>
      <c r="F1104" s="10">
        <v>0</v>
      </c>
      <c r="G1104" s="19">
        <f t="shared" si="51"/>
        <v>3108.4</v>
      </c>
      <c r="H1104" s="10">
        <f>INDEX(Products!$C$2:$C$101,MATCH(C1104,Products!$A$2:$A$101,0))</f>
        <v>6</v>
      </c>
      <c r="I1104" s="10" t="str">
        <f>INDEX(Categories!$B$2:$B$11,MATCH(H1104,Categories!$A$2:$A$11,0))</f>
        <v>Sporting Goods</v>
      </c>
      <c r="J1104" s="19">
        <f>INDEX(Products!$E$2:$E$101,MATCH(C1104,Products!$A$2:$A$101,0))</f>
        <v>203.95</v>
      </c>
      <c r="K1104" s="19">
        <f t="shared" si="52"/>
        <v>1631.6</v>
      </c>
      <c r="L1104" s="19">
        <f t="shared" si="53"/>
        <v>1476.8000000000002</v>
      </c>
    </row>
    <row r="1105" spans="1:12" ht="15" customHeight="1" x14ac:dyDescent="0.25">
      <c r="A1105" s="10">
        <v>1104</v>
      </c>
      <c r="B1105" s="10">
        <v>350</v>
      </c>
      <c r="C1105" s="10">
        <v>80</v>
      </c>
      <c r="D1105" s="10">
        <v>2</v>
      </c>
      <c r="E1105" s="19">
        <v>292.64999999999998</v>
      </c>
      <c r="F1105" s="10">
        <v>0.05</v>
      </c>
      <c r="G1105" s="19">
        <f t="shared" si="51"/>
        <v>556.03499999999997</v>
      </c>
      <c r="H1105" s="10">
        <f>INDEX(Products!$C$2:$C$101,MATCH(C1105,Products!$A$2:$A$101,0))</f>
        <v>8</v>
      </c>
      <c r="I1105" s="10" t="str">
        <f>INDEX(Categories!$B$2:$B$11,MATCH(H1105,Categories!$A$2:$A$11,0))</f>
        <v>Health &amp; Beauty</v>
      </c>
      <c r="J1105" s="19">
        <f>INDEX(Products!$E$2:$E$101,MATCH(C1105,Products!$A$2:$A$101,0))</f>
        <v>218.48</v>
      </c>
      <c r="K1105" s="19">
        <f t="shared" si="52"/>
        <v>436.96</v>
      </c>
      <c r="L1105" s="19">
        <f t="shared" si="53"/>
        <v>119.07499999999999</v>
      </c>
    </row>
    <row r="1106" spans="1:12" ht="15" customHeight="1" x14ac:dyDescent="0.25">
      <c r="A1106" s="10">
        <v>1105</v>
      </c>
      <c r="B1106" s="10">
        <v>350</v>
      </c>
      <c r="C1106" s="10">
        <v>48</v>
      </c>
      <c r="D1106" s="10">
        <v>3</v>
      </c>
      <c r="E1106" s="19">
        <v>205.11</v>
      </c>
      <c r="F1106" s="10">
        <v>0</v>
      </c>
      <c r="G1106" s="19">
        <f t="shared" si="51"/>
        <v>615.33000000000004</v>
      </c>
      <c r="H1106" s="10">
        <f>INDEX(Products!$C$2:$C$101,MATCH(C1106,Products!$A$2:$A$101,0))</f>
        <v>5</v>
      </c>
      <c r="I1106" s="10" t="str">
        <f>INDEX(Categories!$B$2:$B$11,MATCH(H1106,Categories!$A$2:$A$11,0))</f>
        <v>Home &amp; Kitchen</v>
      </c>
      <c r="J1106" s="19">
        <f>INDEX(Products!$E$2:$E$101,MATCH(C1106,Products!$A$2:$A$101,0))</f>
        <v>108.01</v>
      </c>
      <c r="K1106" s="19">
        <f t="shared" si="52"/>
        <v>324.03000000000003</v>
      </c>
      <c r="L1106" s="19">
        <f t="shared" si="53"/>
        <v>291.3</v>
      </c>
    </row>
    <row r="1107" spans="1:12" ht="15" customHeight="1" x14ac:dyDescent="0.25">
      <c r="A1107" s="10">
        <v>1106</v>
      </c>
      <c r="B1107" s="10">
        <v>350</v>
      </c>
      <c r="C1107" s="10">
        <v>87</v>
      </c>
      <c r="D1107" s="10">
        <v>2</v>
      </c>
      <c r="E1107" s="19">
        <v>407.7</v>
      </c>
      <c r="F1107" s="10">
        <v>0</v>
      </c>
      <c r="G1107" s="19">
        <f t="shared" si="51"/>
        <v>815.4</v>
      </c>
      <c r="H1107" s="10">
        <f>INDEX(Products!$C$2:$C$101,MATCH(C1107,Products!$A$2:$A$101,0))</f>
        <v>9</v>
      </c>
      <c r="I1107" s="10" t="str">
        <f>INDEX(Categories!$B$2:$B$11,MATCH(H1107,Categories!$A$2:$A$11,0))</f>
        <v>Automotive Parts</v>
      </c>
      <c r="J1107" s="19">
        <f>INDEX(Products!$E$2:$E$101,MATCH(C1107,Products!$A$2:$A$101,0))</f>
        <v>225.03</v>
      </c>
      <c r="K1107" s="19">
        <f t="shared" si="52"/>
        <v>450.06</v>
      </c>
      <c r="L1107" s="19">
        <f t="shared" si="53"/>
        <v>365.34</v>
      </c>
    </row>
    <row r="1108" spans="1:12" ht="15" customHeight="1" x14ac:dyDescent="0.25">
      <c r="A1108" s="10">
        <v>1107</v>
      </c>
      <c r="B1108" s="10">
        <v>351</v>
      </c>
      <c r="C1108" s="10">
        <v>38</v>
      </c>
      <c r="D1108" s="10">
        <v>7</v>
      </c>
      <c r="E1108" s="19">
        <v>146.91999999999999</v>
      </c>
      <c r="F1108" s="10">
        <v>0.15</v>
      </c>
      <c r="G1108" s="19">
        <f t="shared" si="51"/>
        <v>874.17399999999986</v>
      </c>
      <c r="H1108" s="10">
        <f>INDEX(Products!$C$2:$C$101,MATCH(C1108,Products!$A$2:$A$101,0))</f>
        <v>4</v>
      </c>
      <c r="I1108" s="10" t="str">
        <f>INDEX(Categories!$B$2:$B$11,MATCH(H1108,Categories!$A$2:$A$11,0))</f>
        <v>Apparel</v>
      </c>
      <c r="J1108" s="19">
        <f>INDEX(Products!$E$2:$E$101,MATCH(C1108,Products!$A$2:$A$101,0))</f>
        <v>65.36</v>
      </c>
      <c r="K1108" s="19">
        <f t="shared" si="52"/>
        <v>457.52</v>
      </c>
      <c r="L1108" s="19">
        <f t="shared" si="53"/>
        <v>416.65399999999988</v>
      </c>
    </row>
    <row r="1109" spans="1:12" ht="15" customHeight="1" x14ac:dyDescent="0.25">
      <c r="A1109" s="10">
        <v>1108</v>
      </c>
      <c r="B1109" s="10">
        <v>352</v>
      </c>
      <c r="C1109" s="10">
        <v>9</v>
      </c>
      <c r="D1109" s="10">
        <v>4</v>
      </c>
      <c r="E1109" s="19">
        <v>255.18</v>
      </c>
      <c r="F1109" s="10">
        <v>0.2</v>
      </c>
      <c r="G1109" s="19">
        <f t="shared" si="51"/>
        <v>816.57600000000002</v>
      </c>
      <c r="H1109" s="10">
        <f>INDEX(Products!$C$2:$C$101,MATCH(C1109,Products!$A$2:$A$101,0))</f>
        <v>1</v>
      </c>
      <c r="I1109" s="10" t="str">
        <f>INDEX(Categories!$B$2:$B$11,MATCH(H1109,Categories!$A$2:$A$11,0))</f>
        <v>Electronics</v>
      </c>
      <c r="J1109" s="19">
        <f>INDEX(Products!$E$2:$E$101,MATCH(C1109,Products!$A$2:$A$101,0))</f>
        <v>188.01</v>
      </c>
      <c r="K1109" s="19">
        <f t="shared" si="52"/>
        <v>752.04</v>
      </c>
      <c r="L1109" s="19">
        <f t="shared" si="53"/>
        <v>64.536000000000058</v>
      </c>
    </row>
    <row r="1110" spans="1:12" ht="15" customHeight="1" x14ac:dyDescent="0.25">
      <c r="A1110" s="10">
        <v>1109</v>
      </c>
      <c r="B1110" s="10">
        <v>352</v>
      </c>
      <c r="C1110" s="10">
        <v>3</v>
      </c>
      <c r="D1110" s="10">
        <v>9</v>
      </c>
      <c r="E1110" s="19">
        <v>101.78</v>
      </c>
      <c r="F1110" s="10">
        <v>0.15</v>
      </c>
      <c r="G1110" s="19">
        <f t="shared" si="51"/>
        <v>778.61699999999996</v>
      </c>
      <c r="H1110" s="10">
        <f>INDEX(Products!$C$2:$C$101,MATCH(C1110,Products!$A$2:$A$101,0))</f>
        <v>1</v>
      </c>
      <c r="I1110" s="10" t="str">
        <f>INDEX(Categories!$B$2:$B$11,MATCH(H1110,Categories!$A$2:$A$11,0))</f>
        <v>Electronics</v>
      </c>
      <c r="J1110" s="19">
        <f>INDEX(Products!$E$2:$E$101,MATCH(C1110,Products!$A$2:$A$101,0))</f>
        <v>57.2</v>
      </c>
      <c r="K1110" s="19">
        <f t="shared" si="52"/>
        <v>514.80000000000007</v>
      </c>
      <c r="L1110" s="19">
        <f t="shared" si="53"/>
        <v>263.81699999999989</v>
      </c>
    </row>
    <row r="1111" spans="1:12" ht="15" customHeight="1" x14ac:dyDescent="0.25">
      <c r="A1111" s="10">
        <v>1110</v>
      </c>
      <c r="B1111" s="10">
        <v>353</v>
      </c>
      <c r="C1111" s="10">
        <v>17</v>
      </c>
      <c r="D1111" s="10">
        <v>8</v>
      </c>
      <c r="E1111" s="19">
        <v>216.84</v>
      </c>
      <c r="F1111" s="10">
        <v>0</v>
      </c>
      <c r="G1111" s="19">
        <f t="shared" si="51"/>
        <v>1734.72</v>
      </c>
      <c r="H1111" s="10">
        <f>INDEX(Products!$C$2:$C$101,MATCH(C1111,Products!$A$2:$A$101,0))</f>
        <v>2</v>
      </c>
      <c r="I1111" s="10" t="str">
        <f>INDEX(Categories!$B$2:$B$11,MATCH(H1111,Categories!$A$2:$A$11,0))</f>
        <v>Office Supplies</v>
      </c>
      <c r="J1111" s="19">
        <f>INDEX(Products!$E$2:$E$101,MATCH(C1111,Products!$A$2:$A$101,0))</f>
        <v>151.30000000000001</v>
      </c>
      <c r="K1111" s="19">
        <f t="shared" si="52"/>
        <v>1210.4000000000001</v>
      </c>
      <c r="L1111" s="19">
        <f t="shared" si="53"/>
        <v>524.31999999999994</v>
      </c>
    </row>
    <row r="1112" spans="1:12" ht="15" customHeight="1" x14ac:dyDescent="0.25">
      <c r="A1112" s="10">
        <v>1111</v>
      </c>
      <c r="B1112" s="10">
        <v>353</v>
      </c>
      <c r="C1112" s="10">
        <v>40</v>
      </c>
      <c r="D1112" s="10">
        <v>5</v>
      </c>
      <c r="E1112" s="19">
        <v>330.91</v>
      </c>
      <c r="F1112" s="10">
        <v>0.2</v>
      </c>
      <c r="G1112" s="19">
        <f t="shared" si="51"/>
        <v>1323.6400000000003</v>
      </c>
      <c r="H1112" s="10">
        <f>INDEX(Products!$C$2:$C$101,MATCH(C1112,Products!$A$2:$A$101,0))</f>
        <v>4</v>
      </c>
      <c r="I1112" s="10" t="str">
        <f>INDEX(Categories!$B$2:$B$11,MATCH(H1112,Categories!$A$2:$A$11,0))</f>
        <v>Apparel</v>
      </c>
      <c r="J1112" s="19">
        <f>INDEX(Products!$E$2:$E$101,MATCH(C1112,Products!$A$2:$A$101,0))</f>
        <v>237.43</v>
      </c>
      <c r="K1112" s="19">
        <f t="shared" si="52"/>
        <v>1187.1500000000001</v>
      </c>
      <c r="L1112" s="19">
        <f t="shared" si="53"/>
        <v>136.49000000000024</v>
      </c>
    </row>
    <row r="1113" spans="1:12" ht="15" customHeight="1" x14ac:dyDescent="0.25">
      <c r="A1113" s="10">
        <v>1112</v>
      </c>
      <c r="B1113" s="10">
        <v>353</v>
      </c>
      <c r="C1113" s="10">
        <v>22</v>
      </c>
      <c r="D1113" s="10">
        <v>1</v>
      </c>
      <c r="E1113" s="19">
        <v>247.09</v>
      </c>
      <c r="F1113" s="10">
        <v>0</v>
      </c>
      <c r="G1113" s="19">
        <f t="shared" si="51"/>
        <v>247.09</v>
      </c>
      <c r="H1113" s="10">
        <f>INDEX(Products!$C$2:$C$101,MATCH(C1113,Products!$A$2:$A$101,0))</f>
        <v>3</v>
      </c>
      <c r="I1113" s="10" t="str">
        <f>INDEX(Categories!$B$2:$B$11,MATCH(H1113,Categories!$A$2:$A$11,0))</f>
        <v>Furniture</v>
      </c>
      <c r="J1113" s="19">
        <f>INDEX(Products!$E$2:$E$101,MATCH(C1113,Products!$A$2:$A$101,0))</f>
        <v>149.34</v>
      </c>
      <c r="K1113" s="19">
        <f t="shared" si="52"/>
        <v>149.34</v>
      </c>
      <c r="L1113" s="19">
        <f t="shared" si="53"/>
        <v>97.75</v>
      </c>
    </row>
    <row r="1114" spans="1:12" ht="15" customHeight="1" x14ac:dyDescent="0.25">
      <c r="A1114" s="10">
        <v>1113</v>
      </c>
      <c r="B1114" s="10">
        <v>353</v>
      </c>
      <c r="C1114" s="10">
        <v>34</v>
      </c>
      <c r="D1114" s="10">
        <v>6</v>
      </c>
      <c r="E1114" s="19">
        <v>339.25</v>
      </c>
      <c r="F1114" s="10">
        <v>0</v>
      </c>
      <c r="G1114" s="19">
        <f t="shared" si="51"/>
        <v>2035.5</v>
      </c>
      <c r="H1114" s="10">
        <f>INDEX(Products!$C$2:$C$101,MATCH(C1114,Products!$A$2:$A$101,0))</f>
        <v>4</v>
      </c>
      <c r="I1114" s="10" t="str">
        <f>INDEX(Categories!$B$2:$B$11,MATCH(H1114,Categories!$A$2:$A$11,0))</f>
        <v>Apparel</v>
      </c>
      <c r="J1114" s="19">
        <f>INDEX(Products!$E$2:$E$101,MATCH(C1114,Products!$A$2:$A$101,0))</f>
        <v>208.66</v>
      </c>
      <c r="K1114" s="19">
        <f t="shared" si="52"/>
        <v>1251.96</v>
      </c>
      <c r="L1114" s="19">
        <f t="shared" si="53"/>
        <v>783.54</v>
      </c>
    </row>
    <row r="1115" spans="1:12" ht="15" customHeight="1" x14ac:dyDescent="0.25">
      <c r="A1115" s="10">
        <v>1114</v>
      </c>
      <c r="B1115" s="10">
        <v>353</v>
      </c>
      <c r="C1115" s="10">
        <v>30</v>
      </c>
      <c r="D1115" s="10">
        <v>8</v>
      </c>
      <c r="E1115" s="19">
        <v>474.78</v>
      </c>
      <c r="F1115" s="10">
        <v>0</v>
      </c>
      <c r="G1115" s="19">
        <f t="shared" si="51"/>
        <v>3798.24</v>
      </c>
      <c r="H1115" s="10">
        <f>INDEX(Products!$C$2:$C$101,MATCH(C1115,Products!$A$2:$A$101,0))</f>
        <v>3</v>
      </c>
      <c r="I1115" s="10" t="str">
        <f>INDEX(Categories!$B$2:$B$11,MATCH(H1115,Categories!$A$2:$A$11,0))</f>
        <v>Furniture</v>
      </c>
      <c r="J1115" s="19">
        <f>INDEX(Products!$E$2:$E$101,MATCH(C1115,Products!$A$2:$A$101,0))</f>
        <v>249.17</v>
      </c>
      <c r="K1115" s="19">
        <f t="shared" si="52"/>
        <v>1993.36</v>
      </c>
      <c r="L1115" s="19">
        <f t="shared" si="53"/>
        <v>1804.8799999999999</v>
      </c>
    </row>
    <row r="1116" spans="1:12" ht="15" customHeight="1" x14ac:dyDescent="0.25">
      <c r="A1116" s="10">
        <v>1115</v>
      </c>
      <c r="B1116" s="10">
        <v>354</v>
      </c>
      <c r="C1116" s="10">
        <v>74</v>
      </c>
      <c r="D1116" s="10">
        <v>5</v>
      </c>
      <c r="E1116" s="19">
        <v>199.68</v>
      </c>
      <c r="F1116" s="10">
        <v>0</v>
      </c>
      <c r="G1116" s="19">
        <f t="shared" si="51"/>
        <v>998.40000000000009</v>
      </c>
      <c r="H1116" s="10">
        <f>INDEX(Products!$C$2:$C$101,MATCH(C1116,Products!$A$2:$A$101,0))</f>
        <v>8</v>
      </c>
      <c r="I1116" s="10" t="str">
        <f>INDEX(Categories!$B$2:$B$11,MATCH(H1116,Categories!$A$2:$A$11,0))</f>
        <v>Health &amp; Beauty</v>
      </c>
      <c r="J1116" s="19">
        <f>INDEX(Products!$E$2:$E$101,MATCH(C1116,Products!$A$2:$A$101,0))</f>
        <v>98.36</v>
      </c>
      <c r="K1116" s="19">
        <f t="shared" si="52"/>
        <v>491.8</v>
      </c>
      <c r="L1116" s="19">
        <f t="shared" si="53"/>
        <v>506.60000000000008</v>
      </c>
    </row>
    <row r="1117" spans="1:12" ht="15" customHeight="1" x14ac:dyDescent="0.25">
      <c r="A1117" s="10">
        <v>1116</v>
      </c>
      <c r="B1117" s="10">
        <v>354</v>
      </c>
      <c r="C1117" s="10">
        <v>17</v>
      </c>
      <c r="D1117" s="10">
        <v>3</v>
      </c>
      <c r="E1117" s="19">
        <v>216.84</v>
      </c>
      <c r="F1117" s="10">
        <v>0</v>
      </c>
      <c r="G1117" s="19">
        <f t="shared" si="51"/>
        <v>650.52</v>
      </c>
      <c r="H1117" s="10">
        <f>INDEX(Products!$C$2:$C$101,MATCH(C1117,Products!$A$2:$A$101,0))</f>
        <v>2</v>
      </c>
      <c r="I1117" s="10" t="str">
        <f>INDEX(Categories!$B$2:$B$11,MATCH(H1117,Categories!$A$2:$A$11,0))</f>
        <v>Office Supplies</v>
      </c>
      <c r="J1117" s="19">
        <f>INDEX(Products!$E$2:$E$101,MATCH(C1117,Products!$A$2:$A$101,0))</f>
        <v>151.30000000000001</v>
      </c>
      <c r="K1117" s="19">
        <f t="shared" si="52"/>
        <v>453.90000000000003</v>
      </c>
      <c r="L1117" s="19">
        <f t="shared" si="53"/>
        <v>196.61999999999995</v>
      </c>
    </row>
    <row r="1118" spans="1:12" ht="15" customHeight="1" x14ac:dyDescent="0.25">
      <c r="A1118" s="10">
        <v>1117</v>
      </c>
      <c r="B1118" s="10">
        <v>354</v>
      </c>
      <c r="C1118" s="10">
        <v>57</v>
      </c>
      <c r="D1118" s="10">
        <v>9</v>
      </c>
      <c r="E1118" s="19">
        <v>357.27</v>
      </c>
      <c r="F1118" s="10">
        <v>0.15</v>
      </c>
      <c r="G1118" s="19">
        <f t="shared" si="51"/>
        <v>2733.1154999999999</v>
      </c>
      <c r="H1118" s="10">
        <f>INDEX(Products!$C$2:$C$101,MATCH(C1118,Products!$A$2:$A$101,0))</f>
        <v>6</v>
      </c>
      <c r="I1118" s="10" t="str">
        <f>INDEX(Categories!$B$2:$B$11,MATCH(H1118,Categories!$A$2:$A$11,0))</f>
        <v>Sporting Goods</v>
      </c>
      <c r="J1118" s="19">
        <f>INDEX(Products!$E$2:$E$101,MATCH(C1118,Products!$A$2:$A$101,0))</f>
        <v>214.86</v>
      </c>
      <c r="K1118" s="19">
        <f t="shared" si="52"/>
        <v>1933.7400000000002</v>
      </c>
      <c r="L1118" s="19">
        <f t="shared" si="53"/>
        <v>799.37549999999965</v>
      </c>
    </row>
    <row r="1119" spans="1:12" ht="15" customHeight="1" x14ac:dyDescent="0.25">
      <c r="A1119" s="10">
        <v>1118</v>
      </c>
      <c r="B1119" s="10">
        <v>355</v>
      </c>
      <c r="C1119" s="10">
        <v>39</v>
      </c>
      <c r="D1119" s="10">
        <v>3</v>
      </c>
      <c r="E1119" s="19">
        <v>42.44</v>
      </c>
      <c r="F1119" s="10">
        <v>0.05</v>
      </c>
      <c r="G1119" s="19">
        <f t="shared" si="51"/>
        <v>120.95399999999999</v>
      </c>
      <c r="H1119" s="10">
        <f>INDEX(Products!$C$2:$C$101,MATCH(C1119,Products!$A$2:$A$101,0))</f>
        <v>4</v>
      </c>
      <c r="I1119" s="10" t="str">
        <f>INDEX(Categories!$B$2:$B$11,MATCH(H1119,Categories!$A$2:$A$11,0))</f>
        <v>Apparel</v>
      </c>
      <c r="J1119" s="19">
        <f>INDEX(Products!$E$2:$E$101,MATCH(C1119,Products!$A$2:$A$101,0))</f>
        <v>21.3</v>
      </c>
      <c r="K1119" s="19">
        <f t="shared" si="52"/>
        <v>63.900000000000006</v>
      </c>
      <c r="L1119" s="19">
        <f t="shared" si="53"/>
        <v>57.053999999999988</v>
      </c>
    </row>
    <row r="1120" spans="1:12" ht="15" customHeight="1" x14ac:dyDescent="0.25">
      <c r="A1120" s="10">
        <v>1119</v>
      </c>
      <c r="B1120" s="10">
        <v>355</v>
      </c>
      <c r="C1120" s="10">
        <v>16</v>
      </c>
      <c r="D1120" s="10">
        <v>6</v>
      </c>
      <c r="E1120" s="19">
        <v>345.42</v>
      </c>
      <c r="F1120" s="10">
        <v>0</v>
      </c>
      <c r="G1120" s="19">
        <f t="shared" si="51"/>
        <v>2072.52</v>
      </c>
      <c r="H1120" s="10">
        <f>INDEX(Products!$C$2:$C$101,MATCH(C1120,Products!$A$2:$A$101,0))</f>
        <v>2</v>
      </c>
      <c r="I1120" s="10" t="str">
        <f>INDEX(Categories!$B$2:$B$11,MATCH(H1120,Categories!$A$2:$A$11,0))</f>
        <v>Office Supplies</v>
      </c>
      <c r="J1120" s="19">
        <f>INDEX(Products!$E$2:$E$101,MATCH(C1120,Products!$A$2:$A$101,0))</f>
        <v>173.58</v>
      </c>
      <c r="K1120" s="19">
        <f t="shared" si="52"/>
        <v>1041.48</v>
      </c>
      <c r="L1120" s="19">
        <f t="shared" si="53"/>
        <v>1031.04</v>
      </c>
    </row>
    <row r="1121" spans="1:12" ht="15" customHeight="1" x14ac:dyDescent="0.25">
      <c r="A1121" s="10">
        <v>1120</v>
      </c>
      <c r="B1121" s="10">
        <v>355</v>
      </c>
      <c r="C1121" s="10">
        <v>4</v>
      </c>
      <c r="D1121" s="10">
        <v>1</v>
      </c>
      <c r="E1121" s="19">
        <v>419.61</v>
      </c>
      <c r="F1121" s="10">
        <v>0.15</v>
      </c>
      <c r="G1121" s="19">
        <f t="shared" si="51"/>
        <v>356.66849999999999</v>
      </c>
      <c r="H1121" s="10">
        <f>INDEX(Products!$C$2:$C$101,MATCH(C1121,Products!$A$2:$A$101,0))</f>
        <v>1</v>
      </c>
      <c r="I1121" s="10" t="str">
        <f>INDEX(Categories!$B$2:$B$11,MATCH(H1121,Categories!$A$2:$A$11,0))</f>
        <v>Electronics</v>
      </c>
      <c r="J1121" s="19">
        <f>INDEX(Products!$E$2:$E$101,MATCH(C1121,Products!$A$2:$A$101,0))</f>
        <v>200.14</v>
      </c>
      <c r="K1121" s="19">
        <f t="shared" si="52"/>
        <v>200.14</v>
      </c>
      <c r="L1121" s="19">
        <f t="shared" si="53"/>
        <v>156.52850000000001</v>
      </c>
    </row>
    <row r="1122" spans="1:12" ht="15" customHeight="1" x14ac:dyDescent="0.25">
      <c r="A1122" s="10">
        <v>1121</v>
      </c>
      <c r="B1122" s="10">
        <v>355</v>
      </c>
      <c r="C1122" s="10">
        <v>52</v>
      </c>
      <c r="D1122" s="10">
        <v>9</v>
      </c>
      <c r="E1122" s="19">
        <v>469.43</v>
      </c>
      <c r="F1122" s="10">
        <v>0.1</v>
      </c>
      <c r="G1122" s="19">
        <f t="shared" si="51"/>
        <v>3802.3829999999998</v>
      </c>
      <c r="H1122" s="10">
        <f>INDEX(Products!$C$2:$C$101,MATCH(C1122,Products!$A$2:$A$101,0))</f>
        <v>6</v>
      </c>
      <c r="I1122" s="10" t="str">
        <f>INDEX(Categories!$B$2:$B$11,MATCH(H1122,Categories!$A$2:$A$11,0))</f>
        <v>Sporting Goods</v>
      </c>
      <c r="J1122" s="19">
        <f>INDEX(Products!$E$2:$E$101,MATCH(C1122,Products!$A$2:$A$101,0))</f>
        <v>222.69</v>
      </c>
      <c r="K1122" s="19">
        <f t="shared" si="52"/>
        <v>2004.21</v>
      </c>
      <c r="L1122" s="19">
        <f t="shared" si="53"/>
        <v>1798.1729999999998</v>
      </c>
    </row>
    <row r="1123" spans="1:12" ht="15" customHeight="1" x14ac:dyDescent="0.25">
      <c r="A1123" s="10">
        <v>1122</v>
      </c>
      <c r="B1123" s="10">
        <v>355</v>
      </c>
      <c r="C1123" s="10">
        <v>64</v>
      </c>
      <c r="D1123" s="10">
        <v>6</v>
      </c>
      <c r="E1123" s="19">
        <v>265.25</v>
      </c>
      <c r="F1123" s="10">
        <v>0.15</v>
      </c>
      <c r="G1123" s="19">
        <f t="shared" si="51"/>
        <v>1352.7749999999999</v>
      </c>
      <c r="H1123" s="10">
        <f>INDEX(Products!$C$2:$C$101,MATCH(C1123,Products!$A$2:$A$101,0))</f>
        <v>7</v>
      </c>
      <c r="I1123" s="10" t="str">
        <f>INDEX(Categories!$B$2:$B$11,MATCH(H1123,Categories!$A$2:$A$11,0))</f>
        <v>Toys &amp; Games</v>
      </c>
      <c r="J1123" s="19">
        <f>INDEX(Products!$E$2:$E$101,MATCH(C1123,Products!$A$2:$A$101,0))</f>
        <v>139.06</v>
      </c>
      <c r="K1123" s="19">
        <f t="shared" si="52"/>
        <v>834.36</v>
      </c>
      <c r="L1123" s="19">
        <f t="shared" si="53"/>
        <v>518.41499999999985</v>
      </c>
    </row>
    <row r="1124" spans="1:12" ht="15" customHeight="1" x14ac:dyDescent="0.25">
      <c r="A1124" s="10">
        <v>1123</v>
      </c>
      <c r="B1124" s="10">
        <v>356</v>
      </c>
      <c r="C1124" s="10">
        <v>87</v>
      </c>
      <c r="D1124" s="10">
        <v>2</v>
      </c>
      <c r="E1124" s="19">
        <v>407.7</v>
      </c>
      <c r="F1124" s="10">
        <v>0</v>
      </c>
      <c r="G1124" s="19">
        <f t="shared" si="51"/>
        <v>815.4</v>
      </c>
      <c r="H1124" s="10">
        <f>INDEX(Products!$C$2:$C$101,MATCH(C1124,Products!$A$2:$A$101,0))</f>
        <v>9</v>
      </c>
      <c r="I1124" s="10" t="str">
        <f>INDEX(Categories!$B$2:$B$11,MATCH(H1124,Categories!$A$2:$A$11,0))</f>
        <v>Automotive Parts</v>
      </c>
      <c r="J1124" s="19">
        <f>INDEX(Products!$E$2:$E$101,MATCH(C1124,Products!$A$2:$A$101,0))</f>
        <v>225.03</v>
      </c>
      <c r="K1124" s="19">
        <f t="shared" si="52"/>
        <v>450.06</v>
      </c>
      <c r="L1124" s="19">
        <f t="shared" si="53"/>
        <v>365.34</v>
      </c>
    </row>
    <row r="1125" spans="1:12" ht="15" customHeight="1" x14ac:dyDescent="0.25">
      <c r="A1125" s="10">
        <v>1124</v>
      </c>
      <c r="B1125" s="10">
        <v>356</v>
      </c>
      <c r="C1125" s="10">
        <v>71</v>
      </c>
      <c r="D1125" s="10">
        <v>1</v>
      </c>
      <c r="E1125" s="19">
        <v>228.48</v>
      </c>
      <c r="F1125" s="10">
        <v>0.05</v>
      </c>
      <c r="G1125" s="19">
        <f t="shared" si="51"/>
        <v>217.05599999999998</v>
      </c>
      <c r="H1125" s="10">
        <f>INDEX(Products!$C$2:$C$101,MATCH(C1125,Products!$A$2:$A$101,0))</f>
        <v>8</v>
      </c>
      <c r="I1125" s="10" t="str">
        <f>INDEX(Categories!$B$2:$B$11,MATCH(H1125,Categories!$A$2:$A$11,0))</f>
        <v>Health &amp; Beauty</v>
      </c>
      <c r="J1125" s="19">
        <f>INDEX(Products!$E$2:$E$101,MATCH(C1125,Products!$A$2:$A$101,0))</f>
        <v>136.03</v>
      </c>
      <c r="K1125" s="19">
        <f t="shared" si="52"/>
        <v>136.03</v>
      </c>
      <c r="L1125" s="19">
        <f t="shared" si="53"/>
        <v>81.025999999999982</v>
      </c>
    </row>
    <row r="1126" spans="1:12" ht="15" customHeight="1" x14ac:dyDescent="0.25">
      <c r="A1126" s="10">
        <v>1125</v>
      </c>
      <c r="B1126" s="10">
        <v>357</v>
      </c>
      <c r="C1126" s="10">
        <v>83</v>
      </c>
      <c r="D1126" s="10">
        <v>5</v>
      </c>
      <c r="E1126" s="19">
        <v>113.19</v>
      </c>
      <c r="F1126" s="10">
        <v>0</v>
      </c>
      <c r="G1126" s="19">
        <f t="shared" si="51"/>
        <v>565.95000000000005</v>
      </c>
      <c r="H1126" s="10">
        <f>INDEX(Products!$C$2:$C$101,MATCH(C1126,Products!$A$2:$A$101,0))</f>
        <v>9</v>
      </c>
      <c r="I1126" s="10" t="str">
        <f>INDEX(Categories!$B$2:$B$11,MATCH(H1126,Categories!$A$2:$A$11,0))</f>
        <v>Automotive Parts</v>
      </c>
      <c r="J1126" s="19">
        <f>INDEX(Products!$E$2:$E$101,MATCH(C1126,Products!$A$2:$A$101,0))</f>
        <v>83.12</v>
      </c>
      <c r="K1126" s="19">
        <f t="shared" si="52"/>
        <v>415.6</v>
      </c>
      <c r="L1126" s="19">
        <f t="shared" si="53"/>
        <v>150.35000000000002</v>
      </c>
    </row>
    <row r="1127" spans="1:12" ht="15" customHeight="1" x14ac:dyDescent="0.25">
      <c r="A1127" s="10">
        <v>1126</v>
      </c>
      <c r="B1127" s="10">
        <v>357</v>
      </c>
      <c r="C1127" s="10">
        <v>25</v>
      </c>
      <c r="D1127" s="10">
        <v>1</v>
      </c>
      <c r="E1127" s="19">
        <v>334.98</v>
      </c>
      <c r="F1127" s="10">
        <v>0</v>
      </c>
      <c r="G1127" s="19">
        <f t="shared" si="51"/>
        <v>334.98</v>
      </c>
      <c r="H1127" s="10">
        <f>INDEX(Products!$C$2:$C$101,MATCH(C1127,Products!$A$2:$A$101,0))</f>
        <v>3</v>
      </c>
      <c r="I1127" s="10" t="str">
        <f>INDEX(Categories!$B$2:$B$11,MATCH(H1127,Categories!$A$2:$A$11,0))</f>
        <v>Furniture</v>
      </c>
      <c r="J1127" s="19">
        <f>INDEX(Products!$E$2:$E$101,MATCH(C1127,Products!$A$2:$A$101,0))</f>
        <v>200.06</v>
      </c>
      <c r="K1127" s="19">
        <f t="shared" si="52"/>
        <v>200.06</v>
      </c>
      <c r="L1127" s="19">
        <f t="shared" si="53"/>
        <v>134.92000000000002</v>
      </c>
    </row>
    <row r="1128" spans="1:12" ht="15" customHeight="1" x14ac:dyDescent="0.25">
      <c r="A1128" s="10">
        <v>1127</v>
      </c>
      <c r="B1128" s="10">
        <v>357</v>
      </c>
      <c r="C1128" s="10">
        <v>75</v>
      </c>
      <c r="D1128" s="10">
        <v>9</v>
      </c>
      <c r="E1128" s="19">
        <v>347.21</v>
      </c>
      <c r="F1128" s="10">
        <v>0.2</v>
      </c>
      <c r="G1128" s="19">
        <f t="shared" si="51"/>
        <v>2499.9120000000003</v>
      </c>
      <c r="H1128" s="10">
        <f>INDEX(Products!$C$2:$C$101,MATCH(C1128,Products!$A$2:$A$101,0))</f>
        <v>8</v>
      </c>
      <c r="I1128" s="10" t="str">
        <f>INDEX(Categories!$B$2:$B$11,MATCH(H1128,Categories!$A$2:$A$11,0))</f>
        <v>Health &amp; Beauty</v>
      </c>
      <c r="J1128" s="19">
        <f>INDEX(Products!$E$2:$E$101,MATCH(C1128,Products!$A$2:$A$101,0))</f>
        <v>241.31</v>
      </c>
      <c r="K1128" s="19">
        <f t="shared" si="52"/>
        <v>2171.79</v>
      </c>
      <c r="L1128" s="19">
        <f t="shared" si="53"/>
        <v>328.1220000000003</v>
      </c>
    </row>
    <row r="1129" spans="1:12" ht="15" customHeight="1" x14ac:dyDescent="0.25">
      <c r="A1129" s="10">
        <v>1128</v>
      </c>
      <c r="B1129" s="10">
        <v>357</v>
      </c>
      <c r="C1129" s="10">
        <v>68</v>
      </c>
      <c r="D1129" s="10">
        <v>8</v>
      </c>
      <c r="E1129" s="19">
        <v>271.66000000000003</v>
      </c>
      <c r="F1129" s="10">
        <v>0.15</v>
      </c>
      <c r="G1129" s="19">
        <f t="shared" si="51"/>
        <v>1847.288</v>
      </c>
      <c r="H1129" s="10">
        <f>INDEX(Products!$C$2:$C$101,MATCH(C1129,Products!$A$2:$A$101,0))</f>
        <v>7</v>
      </c>
      <c r="I1129" s="10" t="str">
        <f>INDEX(Categories!$B$2:$B$11,MATCH(H1129,Categories!$A$2:$A$11,0))</f>
        <v>Toys &amp; Games</v>
      </c>
      <c r="J1129" s="19">
        <f>INDEX(Products!$E$2:$E$101,MATCH(C1129,Products!$A$2:$A$101,0))</f>
        <v>187.33</v>
      </c>
      <c r="K1129" s="19">
        <f t="shared" si="52"/>
        <v>1498.64</v>
      </c>
      <c r="L1129" s="19">
        <f t="shared" si="53"/>
        <v>348.64799999999991</v>
      </c>
    </row>
    <row r="1130" spans="1:12" ht="15" customHeight="1" x14ac:dyDescent="0.25">
      <c r="A1130" s="10">
        <v>1129</v>
      </c>
      <c r="B1130" s="10">
        <v>357</v>
      </c>
      <c r="C1130" s="10">
        <v>29</v>
      </c>
      <c r="D1130" s="10">
        <v>2</v>
      </c>
      <c r="E1130" s="19">
        <v>152.52000000000001</v>
      </c>
      <c r="F1130" s="10">
        <v>0.1</v>
      </c>
      <c r="G1130" s="19">
        <f t="shared" si="51"/>
        <v>274.536</v>
      </c>
      <c r="H1130" s="10">
        <f>INDEX(Products!$C$2:$C$101,MATCH(C1130,Products!$A$2:$A$101,0))</f>
        <v>3</v>
      </c>
      <c r="I1130" s="10" t="str">
        <f>INDEX(Categories!$B$2:$B$11,MATCH(H1130,Categories!$A$2:$A$11,0))</f>
        <v>Furniture</v>
      </c>
      <c r="J1130" s="19">
        <f>INDEX(Products!$E$2:$E$101,MATCH(C1130,Products!$A$2:$A$101,0))</f>
        <v>78.63</v>
      </c>
      <c r="K1130" s="19">
        <f t="shared" si="52"/>
        <v>157.26</v>
      </c>
      <c r="L1130" s="19">
        <f t="shared" si="53"/>
        <v>117.27600000000001</v>
      </c>
    </row>
    <row r="1131" spans="1:12" ht="15" customHeight="1" x14ac:dyDescent="0.25">
      <c r="A1131" s="10">
        <v>1130</v>
      </c>
      <c r="B1131" s="10">
        <v>358</v>
      </c>
      <c r="C1131" s="10">
        <v>48</v>
      </c>
      <c r="D1131" s="10">
        <v>6</v>
      </c>
      <c r="E1131" s="19">
        <v>205.11</v>
      </c>
      <c r="F1131" s="10">
        <v>0</v>
      </c>
      <c r="G1131" s="19">
        <f t="shared" si="51"/>
        <v>1230.6600000000001</v>
      </c>
      <c r="H1131" s="10">
        <f>INDEX(Products!$C$2:$C$101,MATCH(C1131,Products!$A$2:$A$101,0))</f>
        <v>5</v>
      </c>
      <c r="I1131" s="10" t="str">
        <f>INDEX(Categories!$B$2:$B$11,MATCH(H1131,Categories!$A$2:$A$11,0))</f>
        <v>Home &amp; Kitchen</v>
      </c>
      <c r="J1131" s="19">
        <f>INDEX(Products!$E$2:$E$101,MATCH(C1131,Products!$A$2:$A$101,0))</f>
        <v>108.01</v>
      </c>
      <c r="K1131" s="19">
        <f t="shared" si="52"/>
        <v>648.06000000000006</v>
      </c>
      <c r="L1131" s="19">
        <f t="shared" si="53"/>
        <v>582.6</v>
      </c>
    </row>
    <row r="1132" spans="1:12" ht="15" customHeight="1" x14ac:dyDescent="0.25">
      <c r="A1132" s="10">
        <v>1131</v>
      </c>
      <c r="B1132" s="10">
        <v>358</v>
      </c>
      <c r="C1132" s="10">
        <v>50</v>
      </c>
      <c r="D1132" s="10">
        <v>5</v>
      </c>
      <c r="E1132" s="19">
        <v>411.05</v>
      </c>
      <c r="F1132" s="10">
        <v>0.05</v>
      </c>
      <c r="G1132" s="19">
        <f t="shared" si="51"/>
        <v>1952.4875</v>
      </c>
      <c r="H1132" s="10">
        <f>INDEX(Products!$C$2:$C$101,MATCH(C1132,Products!$A$2:$A$101,0))</f>
        <v>5</v>
      </c>
      <c r="I1132" s="10" t="str">
        <f>INDEX(Categories!$B$2:$B$11,MATCH(H1132,Categories!$A$2:$A$11,0))</f>
        <v>Home &amp; Kitchen</v>
      </c>
      <c r="J1132" s="19">
        <f>INDEX(Products!$E$2:$E$101,MATCH(C1132,Products!$A$2:$A$101,0))</f>
        <v>230.53</v>
      </c>
      <c r="K1132" s="19">
        <f t="shared" si="52"/>
        <v>1152.6500000000001</v>
      </c>
      <c r="L1132" s="19">
        <f t="shared" si="53"/>
        <v>799.83749999999986</v>
      </c>
    </row>
    <row r="1133" spans="1:12" ht="15" customHeight="1" x14ac:dyDescent="0.25">
      <c r="A1133" s="10">
        <v>1132</v>
      </c>
      <c r="B1133" s="10">
        <v>358</v>
      </c>
      <c r="C1133" s="10">
        <v>2</v>
      </c>
      <c r="D1133" s="10">
        <v>9</v>
      </c>
      <c r="E1133" s="19">
        <v>286.57</v>
      </c>
      <c r="F1133" s="10">
        <v>0</v>
      </c>
      <c r="G1133" s="19">
        <f t="shared" si="51"/>
        <v>2579.13</v>
      </c>
      <c r="H1133" s="10">
        <f>INDEX(Products!$C$2:$C$101,MATCH(C1133,Products!$A$2:$A$101,0))</f>
        <v>1</v>
      </c>
      <c r="I1133" s="10" t="str">
        <f>INDEX(Categories!$B$2:$B$11,MATCH(H1133,Categories!$A$2:$A$11,0))</f>
        <v>Electronics</v>
      </c>
      <c r="J1133" s="19">
        <f>INDEX(Products!$E$2:$E$101,MATCH(C1133,Products!$A$2:$A$101,0))</f>
        <v>135.94</v>
      </c>
      <c r="K1133" s="19">
        <f t="shared" si="52"/>
        <v>1223.46</v>
      </c>
      <c r="L1133" s="19">
        <f t="shared" si="53"/>
        <v>1355.67</v>
      </c>
    </row>
    <row r="1134" spans="1:12" ht="15" customHeight="1" x14ac:dyDescent="0.25">
      <c r="A1134" s="10">
        <v>1133</v>
      </c>
      <c r="B1134" s="10">
        <v>358</v>
      </c>
      <c r="C1134" s="10">
        <v>37</v>
      </c>
      <c r="D1134" s="10">
        <v>4</v>
      </c>
      <c r="E1134" s="19">
        <v>262.99</v>
      </c>
      <c r="F1134" s="10">
        <v>0.15</v>
      </c>
      <c r="G1134" s="19">
        <f t="shared" si="51"/>
        <v>894.16600000000005</v>
      </c>
      <c r="H1134" s="10">
        <f>INDEX(Products!$C$2:$C$101,MATCH(C1134,Products!$A$2:$A$101,0))</f>
        <v>4</v>
      </c>
      <c r="I1134" s="10" t="str">
        <f>INDEX(Categories!$B$2:$B$11,MATCH(H1134,Categories!$A$2:$A$11,0))</f>
        <v>Apparel</v>
      </c>
      <c r="J1134" s="19">
        <f>INDEX(Products!$E$2:$E$101,MATCH(C1134,Products!$A$2:$A$101,0))</f>
        <v>144.79</v>
      </c>
      <c r="K1134" s="19">
        <f t="shared" si="52"/>
        <v>579.16</v>
      </c>
      <c r="L1134" s="19">
        <f t="shared" si="53"/>
        <v>315.00600000000009</v>
      </c>
    </row>
    <row r="1135" spans="1:12" ht="15" customHeight="1" x14ac:dyDescent="0.25">
      <c r="A1135" s="10">
        <v>1134</v>
      </c>
      <c r="B1135" s="10">
        <v>359</v>
      </c>
      <c r="C1135" s="10">
        <v>94</v>
      </c>
      <c r="D1135" s="10">
        <v>10</v>
      </c>
      <c r="E1135" s="19">
        <v>309.85000000000002</v>
      </c>
      <c r="F1135" s="10">
        <v>0</v>
      </c>
      <c r="G1135" s="19">
        <f t="shared" si="51"/>
        <v>3098.5</v>
      </c>
      <c r="H1135" s="10">
        <f>INDEX(Products!$C$2:$C$101,MATCH(C1135,Products!$A$2:$A$101,0))</f>
        <v>10</v>
      </c>
      <c r="I1135" s="10" t="str">
        <f>INDEX(Categories!$B$2:$B$11,MATCH(H1135,Categories!$A$2:$A$11,0))</f>
        <v>Groceries</v>
      </c>
      <c r="J1135" s="19">
        <f>INDEX(Products!$E$2:$E$101,MATCH(C1135,Products!$A$2:$A$101,0))</f>
        <v>201.08</v>
      </c>
      <c r="K1135" s="19">
        <f t="shared" si="52"/>
        <v>2010.8000000000002</v>
      </c>
      <c r="L1135" s="19">
        <f t="shared" si="53"/>
        <v>1087.6999999999998</v>
      </c>
    </row>
    <row r="1136" spans="1:12" ht="15" customHeight="1" x14ac:dyDescent="0.25">
      <c r="A1136" s="10">
        <v>1135</v>
      </c>
      <c r="B1136" s="10">
        <v>359</v>
      </c>
      <c r="C1136" s="10">
        <v>54</v>
      </c>
      <c r="D1136" s="10">
        <v>3</v>
      </c>
      <c r="E1136" s="19">
        <v>398.16</v>
      </c>
      <c r="F1136" s="10">
        <v>0</v>
      </c>
      <c r="G1136" s="19">
        <f t="shared" si="51"/>
        <v>1194.48</v>
      </c>
      <c r="H1136" s="10">
        <f>INDEX(Products!$C$2:$C$101,MATCH(C1136,Products!$A$2:$A$101,0))</f>
        <v>6</v>
      </c>
      <c r="I1136" s="10" t="str">
        <f>INDEX(Categories!$B$2:$B$11,MATCH(H1136,Categories!$A$2:$A$11,0))</f>
        <v>Sporting Goods</v>
      </c>
      <c r="J1136" s="19">
        <f>INDEX(Products!$E$2:$E$101,MATCH(C1136,Products!$A$2:$A$101,0))</f>
        <v>205.89</v>
      </c>
      <c r="K1136" s="19">
        <f t="shared" si="52"/>
        <v>617.66999999999996</v>
      </c>
      <c r="L1136" s="19">
        <f t="shared" si="53"/>
        <v>576.81000000000006</v>
      </c>
    </row>
    <row r="1137" spans="1:12" ht="15" customHeight="1" x14ac:dyDescent="0.25">
      <c r="A1137" s="10">
        <v>1136</v>
      </c>
      <c r="B1137" s="10">
        <v>359</v>
      </c>
      <c r="C1137" s="10">
        <v>18</v>
      </c>
      <c r="D1137" s="10">
        <v>5</v>
      </c>
      <c r="E1137" s="19">
        <v>185.81</v>
      </c>
      <c r="F1137" s="10">
        <v>0.05</v>
      </c>
      <c r="G1137" s="19">
        <f t="shared" si="51"/>
        <v>882.59749999999997</v>
      </c>
      <c r="H1137" s="10">
        <f>INDEX(Products!$C$2:$C$101,MATCH(C1137,Products!$A$2:$A$101,0))</f>
        <v>2</v>
      </c>
      <c r="I1137" s="10" t="str">
        <f>INDEX(Categories!$B$2:$B$11,MATCH(H1137,Categories!$A$2:$A$11,0))</f>
        <v>Office Supplies</v>
      </c>
      <c r="J1137" s="19">
        <f>INDEX(Products!$E$2:$E$101,MATCH(C1137,Products!$A$2:$A$101,0))</f>
        <v>108.81</v>
      </c>
      <c r="K1137" s="19">
        <f t="shared" si="52"/>
        <v>544.04999999999995</v>
      </c>
      <c r="L1137" s="19">
        <f t="shared" si="53"/>
        <v>338.54750000000001</v>
      </c>
    </row>
    <row r="1138" spans="1:12" ht="15" customHeight="1" x14ac:dyDescent="0.25">
      <c r="A1138" s="10">
        <v>1137</v>
      </c>
      <c r="B1138" s="10">
        <v>359</v>
      </c>
      <c r="C1138" s="10">
        <v>76</v>
      </c>
      <c r="D1138" s="10">
        <v>9</v>
      </c>
      <c r="E1138" s="19">
        <v>390.64</v>
      </c>
      <c r="F1138" s="10">
        <v>0</v>
      </c>
      <c r="G1138" s="19">
        <f t="shared" si="51"/>
        <v>3515.7599999999998</v>
      </c>
      <c r="H1138" s="10">
        <f>INDEX(Products!$C$2:$C$101,MATCH(C1138,Products!$A$2:$A$101,0))</f>
        <v>8</v>
      </c>
      <c r="I1138" s="10" t="str">
        <f>INDEX(Categories!$B$2:$B$11,MATCH(H1138,Categories!$A$2:$A$11,0))</f>
        <v>Health &amp; Beauty</v>
      </c>
      <c r="J1138" s="19">
        <f>INDEX(Products!$E$2:$E$101,MATCH(C1138,Products!$A$2:$A$101,0))</f>
        <v>218.93</v>
      </c>
      <c r="K1138" s="19">
        <f t="shared" si="52"/>
        <v>1970.3700000000001</v>
      </c>
      <c r="L1138" s="19">
        <f t="shared" si="53"/>
        <v>1545.3899999999996</v>
      </c>
    </row>
    <row r="1139" spans="1:12" ht="15" customHeight="1" x14ac:dyDescent="0.25">
      <c r="A1139" s="10">
        <v>1138</v>
      </c>
      <c r="B1139" s="10">
        <v>360</v>
      </c>
      <c r="C1139" s="10">
        <v>97</v>
      </c>
      <c r="D1139" s="10">
        <v>5</v>
      </c>
      <c r="E1139" s="19">
        <v>81.58</v>
      </c>
      <c r="F1139" s="10">
        <v>0.1</v>
      </c>
      <c r="G1139" s="19">
        <f t="shared" si="51"/>
        <v>367.11</v>
      </c>
      <c r="H1139" s="10">
        <f>INDEX(Products!$C$2:$C$101,MATCH(C1139,Products!$A$2:$A$101,0))</f>
        <v>10</v>
      </c>
      <c r="I1139" s="10" t="str">
        <f>INDEX(Categories!$B$2:$B$11,MATCH(H1139,Categories!$A$2:$A$11,0))</f>
        <v>Groceries</v>
      </c>
      <c r="J1139" s="19">
        <f>INDEX(Products!$E$2:$E$101,MATCH(C1139,Products!$A$2:$A$101,0))</f>
        <v>35.46</v>
      </c>
      <c r="K1139" s="19">
        <f t="shared" si="52"/>
        <v>177.3</v>
      </c>
      <c r="L1139" s="19">
        <f t="shared" si="53"/>
        <v>189.81</v>
      </c>
    </row>
    <row r="1140" spans="1:12" ht="15" customHeight="1" x14ac:dyDescent="0.25">
      <c r="A1140" s="10">
        <v>1139</v>
      </c>
      <c r="B1140" s="10">
        <v>360</v>
      </c>
      <c r="C1140" s="10">
        <v>18</v>
      </c>
      <c r="D1140" s="10">
        <v>8</v>
      </c>
      <c r="E1140" s="19">
        <v>185.81</v>
      </c>
      <c r="F1140" s="10">
        <v>0</v>
      </c>
      <c r="G1140" s="19">
        <f t="shared" si="51"/>
        <v>1486.48</v>
      </c>
      <c r="H1140" s="10">
        <f>INDEX(Products!$C$2:$C$101,MATCH(C1140,Products!$A$2:$A$101,0))</f>
        <v>2</v>
      </c>
      <c r="I1140" s="10" t="str">
        <f>INDEX(Categories!$B$2:$B$11,MATCH(H1140,Categories!$A$2:$A$11,0))</f>
        <v>Office Supplies</v>
      </c>
      <c r="J1140" s="19">
        <f>INDEX(Products!$E$2:$E$101,MATCH(C1140,Products!$A$2:$A$101,0))</f>
        <v>108.81</v>
      </c>
      <c r="K1140" s="19">
        <f t="shared" si="52"/>
        <v>870.48</v>
      </c>
      <c r="L1140" s="19">
        <f t="shared" si="53"/>
        <v>616</v>
      </c>
    </row>
    <row r="1141" spans="1:12" ht="15" customHeight="1" x14ac:dyDescent="0.25">
      <c r="A1141" s="10">
        <v>1140</v>
      </c>
      <c r="B1141" s="10">
        <v>360</v>
      </c>
      <c r="C1141" s="10">
        <v>26</v>
      </c>
      <c r="D1141" s="10">
        <v>5</v>
      </c>
      <c r="E1141" s="19">
        <v>262.08</v>
      </c>
      <c r="F1141" s="10">
        <v>0.2</v>
      </c>
      <c r="G1141" s="19">
        <f t="shared" si="51"/>
        <v>1048.32</v>
      </c>
      <c r="H1141" s="10">
        <f>INDEX(Products!$C$2:$C$101,MATCH(C1141,Products!$A$2:$A$101,0))</f>
        <v>3</v>
      </c>
      <c r="I1141" s="10" t="str">
        <f>INDEX(Categories!$B$2:$B$11,MATCH(H1141,Categories!$A$2:$A$11,0))</f>
        <v>Furniture</v>
      </c>
      <c r="J1141" s="19">
        <f>INDEX(Products!$E$2:$E$101,MATCH(C1141,Products!$A$2:$A$101,0))</f>
        <v>140.28</v>
      </c>
      <c r="K1141" s="19">
        <f t="shared" si="52"/>
        <v>701.4</v>
      </c>
      <c r="L1141" s="19">
        <f t="shared" si="53"/>
        <v>346.91999999999996</v>
      </c>
    </row>
    <row r="1142" spans="1:12" ht="15" customHeight="1" x14ac:dyDescent="0.25">
      <c r="A1142" s="10">
        <v>1141</v>
      </c>
      <c r="B1142" s="10">
        <v>360</v>
      </c>
      <c r="C1142" s="10">
        <v>24</v>
      </c>
      <c r="D1142" s="10">
        <v>10</v>
      </c>
      <c r="E1142" s="19">
        <v>158.72999999999999</v>
      </c>
      <c r="F1142" s="10">
        <v>0</v>
      </c>
      <c r="G1142" s="19">
        <f t="shared" si="51"/>
        <v>1587.3</v>
      </c>
      <c r="H1142" s="10">
        <f>INDEX(Products!$C$2:$C$101,MATCH(C1142,Products!$A$2:$A$101,0))</f>
        <v>3</v>
      </c>
      <c r="I1142" s="10" t="str">
        <f>INDEX(Categories!$B$2:$B$11,MATCH(H1142,Categories!$A$2:$A$11,0))</f>
        <v>Furniture</v>
      </c>
      <c r="J1142" s="19">
        <f>INDEX(Products!$E$2:$E$101,MATCH(C1142,Products!$A$2:$A$101,0))</f>
        <v>86.09</v>
      </c>
      <c r="K1142" s="19">
        <f t="shared" si="52"/>
        <v>860.90000000000009</v>
      </c>
      <c r="L1142" s="19">
        <f t="shared" si="53"/>
        <v>726.39999999999986</v>
      </c>
    </row>
    <row r="1143" spans="1:12" ht="15" customHeight="1" x14ac:dyDescent="0.25">
      <c r="A1143" s="10">
        <v>1142</v>
      </c>
      <c r="B1143" s="10">
        <v>360</v>
      </c>
      <c r="C1143" s="10">
        <v>49</v>
      </c>
      <c r="D1143" s="10">
        <v>8</v>
      </c>
      <c r="E1143" s="19">
        <v>30.6</v>
      </c>
      <c r="F1143" s="10">
        <v>0.1</v>
      </c>
      <c r="G1143" s="19">
        <f t="shared" si="51"/>
        <v>220.32000000000002</v>
      </c>
      <c r="H1143" s="10">
        <f>INDEX(Products!$C$2:$C$101,MATCH(C1143,Products!$A$2:$A$101,0))</f>
        <v>5</v>
      </c>
      <c r="I1143" s="10" t="str">
        <f>INDEX(Categories!$B$2:$B$11,MATCH(H1143,Categories!$A$2:$A$11,0))</f>
        <v>Home &amp; Kitchen</v>
      </c>
      <c r="J1143" s="19">
        <f>INDEX(Products!$E$2:$E$101,MATCH(C1143,Products!$A$2:$A$101,0))</f>
        <v>20.64</v>
      </c>
      <c r="K1143" s="19">
        <f t="shared" si="52"/>
        <v>165.12</v>
      </c>
      <c r="L1143" s="19">
        <f t="shared" si="53"/>
        <v>55.200000000000017</v>
      </c>
    </row>
    <row r="1144" spans="1:12" ht="15" customHeight="1" x14ac:dyDescent="0.25">
      <c r="A1144" s="10">
        <v>1143</v>
      </c>
      <c r="B1144" s="10">
        <v>361</v>
      </c>
      <c r="C1144" s="10">
        <v>16</v>
      </c>
      <c r="D1144" s="10">
        <v>7</v>
      </c>
      <c r="E1144" s="19">
        <v>345.42</v>
      </c>
      <c r="F1144" s="10">
        <v>0</v>
      </c>
      <c r="G1144" s="19">
        <f t="shared" si="51"/>
        <v>2417.94</v>
      </c>
      <c r="H1144" s="10">
        <f>INDEX(Products!$C$2:$C$101,MATCH(C1144,Products!$A$2:$A$101,0))</f>
        <v>2</v>
      </c>
      <c r="I1144" s="10" t="str">
        <f>INDEX(Categories!$B$2:$B$11,MATCH(H1144,Categories!$A$2:$A$11,0))</f>
        <v>Office Supplies</v>
      </c>
      <c r="J1144" s="19">
        <f>INDEX(Products!$E$2:$E$101,MATCH(C1144,Products!$A$2:$A$101,0))</f>
        <v>173.58</v>
      </c>
      <c r="K1144" s="19">
        <f t="shared" si="52"/>
        <v>1215.0600000000002</v>
      </c>
      <c r="L1144" s="19">
        <f t="shared" si="53"/>
        <v>1202.8799999999999</v>
      </c>
    </row>
    <row r="1145" spans="1:12" ht="15" customHeight="1" x14ac:dyDescent="0.25">
      <c r="A1145" s="10">
        <v>1144</v>
      </c>
      <c r="B1145" s="10">
        <v>361</v>
      </c>
      <c r="C1145" s="10">
        <v>84</v>
      </c>
      <c r="D1145" s="10">
        <v>8</v>
      </c>
      <c r="E1145" s="19">
        <v>258</v>
      </c>
      <c r="F1145" s="10">
        <v>0.15</v>
      </c>
      <c r="G1145" s="19">
        <f t="shared" si="51"/>
        <v>1754.3999999999999</v>
      </c>
      <c r="H1145" s="10">
        <f>INDEX(Products!$C$2:$C$101,MATCH(C1145,Products!$A$2:$A$101,0))</f>
        <v>9</v>
      </c>
      <c r="I1145" s="10" t="str">
        <f>INDEX(Categories!$B$2:$B$11,MATCH(H1145,Categories!$A$2:$A$11,0))</f>
        <v>Automotive Parts</v>
      </c>
      <c r="J1145" s="19">
        <f>INDEX(Products!$E$2:$E$101,MATCH(C1145,Products!$A$2:$A$101,0))</f>
        <v>134.19999999999999</v>
      </c>
      <c r="K1145" s="19">
        <f t="shared" si="52"/>
        <v>1073.5999999999999</v>
      </c>
      <c r="L1145" s="19">
        <f t="shared" si="53"/>
        <v>680.8</v>
      </c>
    </row>
    <row r="1146" spans="1:12" ht="15" customHeight="1" x14ac:dyDescent="0.25">
      <c r="A1146" s="10">
        <v>1145</v>
      </c>
      <c r="B1146" s="10">
        <v>361</v>
      </c>
      <c r="C1146" s="10">
        <v>86</v>
      </c>
      <c r="D1146" s="10">
        <v>4</v>
      </c>
      <c r="E1146" s="19">
        <v>69.31</v>
      </c>
      <c r="F1146" s="10">
        <v>0</v>
      </c>
      <c r="G1146" s="19">
        <f t="shared" si="51"/>
        <v>277.24</v>
      </c>
      <c r="H1146" s="10">
        <f>INDEX(Products!$C$2:$C$101,MATCH(C1146,Products!$A$2:$A$101,0))</f>
        <v>9</v>
      </c>
      <c r="I1146" s="10" t="str">
        <f>INDEX(Categories!$B$2:$B$11,MATCH(H1146,Categories!$A$2:$A$11,0))</f>
        <v>Automotive Parts</v>
      </c>
      <c r="J1146" s="19">
        <f>INDEX(Products!$E$2:$E$101,MATCH(C1146,Products!$A$2:$A$101,0))</f>
        <v>38.35</v>
      </c>
      <c r="K1146" s="19">
        <f t="shared" si="52"/>
        <v>153.4</v>
      </c>
      <c r="L1146" s="19">
        <f t="shared" si="53"/>
        <v>123.84</v>
      </c>
    </row>
    <row r="1147" spans="1:12" ht="15" customHeight="1" x14ac:dyDescent="0.25">
      <c r="A1147" s="10">
        <v>1146</v>
      </c>
      <c r="B1147" s="10">
        <v>361</v>
      </c>
      <c r="C1147" s="10">
        <v>37</v>
      </c>
      <c r="D1147" s="10">
        <v>2</v>
      </c>
      <c r="E1147" s="19">
        <v>262.99</v>
      </c>
      <c r="F1147" s="10">
        <v>0.2</v>
      </c>
      <c r="G1147" s="19">
        <f t="shared" si="51"/>
        <v>420.78400000000005</v>
      </c>
      <c r="H1147" s="10">
        <f>INDEX(Products!$C$2:$C$101,MATCH(C1147,Products!$A$2:$A$101,0))</f>
        <v>4</v>
      </c>
      <c r="I1147" s="10" t="str">
        <f>INDEX(Categories!$B$2:$B$11,MATCH(H1147,Categories!$A$2:$A$11,0))</f>
        <v>Apparel</v>
      </c>
      <c r="J1147" s="19">
        <f>INDEX(Products!$E$2:$E$101,MATCH(C1147,Products!$A$2:$A$101,0))</f>
        <v>144.79</v>
      </c>
      <c r="K1147" s="19">
        <f t="shared" si="52"/>
        <v>289.58</v>
      </c>
      <c r="L1147" s="19">
        <f t="shared" si="53"/>
        <v>131.20400000000006</v>
      </c>
    </row>
    <row r="1148" spans="1:12" ht="15" customHeight="1" x14ac:dyDescent="0.25">
      <c r="A1148" s="10">
        <v>1147</v>
      </c>
      <c r="B1148" s="10">
        <v>362</v>
      </c>
      <c r="C1148" s="10">
        <v>89</v>
      </c>
      <c r="D1148" s="10">
        <v>10</v>
      </c>
      <c r="E1148" s="19">
        <v>312.76</v>
      </c>
      <c r="F1148" s="10">
        <v>0</v>
      </c>
      <c r="G1148" s="19">
        <f t="shared" si="51"/>
        <v>3127.6</v>
      </c>
      <c r="H1148" s="10">
        <f>INDEX(Products!$C$2:$C$101,MATCH(C1148,Products!$A$2:$A$101,0))</f>
        <v>9</v>
      </c>
      <c r="I1148" s="10" t="str">
        <f>INDEX(Categories!$B$2:$B$11,MATCH(H1148,Categories!$A$2:$A$11,0))</f>
        <v>Automotive Parts</v>
      </c>
      <c r="J1148" s="19">
        <f>INDEX(Products!$E$2:$E$101,MATCH(C1148,Products!$A$2:$A$101,0))</f>
        <v>173.51</v>
      </c>
      <c r="K1148" s="19">
        <f t="shared" si="52"/>
        <v>1735.1</v>
      </c>
      <c r="L1148" s="19">
        <f t="shared" si="53"/>
        <v>1392.5</v>
      </c>
    </row>
    <row r="1149" spans="1:12" ht="15" customHeight="1" x14ac:dyDescent="0.25">
      <c r="A1149" s="10">
        <v>1148</v>
      </c>
      <c r="B1149" s="10">
        <v>362</v>
      </c>
      <c r="C1149" s="10">
        <v>16</v>
      </c>
      <c r="D1149" s="10">
        <v>5</v>
      </c>
      <c r="E1149" s="19">
        <v>345.42</v>
      </c>
      <c r="F1149" s="10">
        <v>0</v>
      </c>
      <c r="G1149" s="19">
        <f t="shared" si="51"/>
        <v>1727.1000000000001</v>
      </c>
      <c r="H1149" s="10">
        <f>INDEX(Products!$C$2:$C$101,MATCH(C1149,Products!$A$2:$A$101,0))</f>
        <v>2</v>
      </c>
      <c r="I1149" s="10" t="str">
        <f>INDEX(Categories!$B$2:$B$11,MATCH(H1149,Categories!$A$2:$A$11,0))</f>
        <v>Office Supplies</v>
      </c>
      <c r="J1149" s="19">
        <f>INDEX(Products!$E$2:$E$101,MATCH(C1149,Products!$A$2:$A$101,0))</f>
        <v>173.58</v>
      </c>
      <c r="K1149" s="19">
        <f t="shared" si="52"/>
        <v>867.90000000000009</v>
      </c>
      <c r="L1149" s="19">
        <f t="shared" si="53"/>
        <v>859.2</v>
      </c>
    </row>
    <row r="1150" spans="1:12" ht="15" customHeight="1" x14ac:dyDescent="0.25">
      <c r="A1150" s="10">
        <v>1149</v>
      </c>
      <c r="B1150" s="10">
        <v>362</v>
      </c>
      <c r="C1150" s="10">
        <v>48</v>
      </c>
      <c r="D1150" s="10">
        <v>10</v>
      </c>
      <c r="E1150" s="19">
        <v>205.11</v>
      </c>
      <c r="F1150" s="10">
        <v>0</v>
      </c>
      <c r="G1150" s="19">
        <f t="shared" si="51"/>
        <v>2051.1000000000004</v>
      </c>
      <c r="H1150" s="10">
        <f>INDEX(Products!$C$2:$C$101,MATCH(C1150,Products!$A$2:$A$101,0))</f>
        <v>5</v>
      </c>
      <c r="I1150" s="10" t="str">
        <f>INDEX(Categories!$B$2:$B$11,MATCH(H1150,Categories!$A$2:$A$11,0))</f>
        <v>Home &amp; Kitchen</v>
      </c>
      <c r="J1150" s="19">
        <f>INDEX(Products!$E$2:$E$101,MATCH(C1150,Products!$A$2:$A$101,0))</f>
        <v>108.01</v>
      </c>
      <c r="K1150" s="19">
        <f t="shared" si="52"/>
        <v>1080.1000000000001</v>
      </c>
      <c r="L1150" s="19">
        <f t="shared" si="53"/>
        <v>971.00000000000023</v>
      </c>
    </row>
    <row r="1151" spans="1:12" ht="15" customHeight="1" x14ac:dyDescent="0.25">
      <c r="A1151" s="10">
        <v>1150</v>
      </c>
      <c r="B1151" s="10">
        <v>362</v>
      </c>
      <c r="C1151" s="10">
        <v>66</v>
      </c>
      <c r="D1151" s="10">
        <v>3</v>
      </c>
      <c r="E1151" s="19">
        <v>155.88</v>
      </c>
      <c r="F1151" s="10">
        <v>0</v>
      </c>
      <c r="G1151" s="19">
        <f t="shared" si="51"/>
        <v>467.64</v>
      </c>
      <c r="H1151" s="10">
        <f>INDEX(Products!$C$2:$C$101,MATCH(C1151,Products!$A$2:$A$101,0))</f>
        <v>7</v>
      </c>
      <c r="I1151" s="10" t="str">
        <f>INDEX(Categories!$B$2:$B$11,MATCH(H1151,Categories!$A$2:$A$11,0))</f>
        <v>Toys &amp; Games</v>
      </c>
      <c r="J1151" s="19">
        <f>INDEX(Products!$E$2:$E$101,MATCH(C1151,Products!$A$2:$A$101,0))</f>
        <v>75.09</v>
      </c>
      <c r="K1151" s="19">
        <f t="shared" si="52"/>
        <v>225.27</v>
      </c>
      <c r="L1151" s="19">
        <f t="shared" si="53"/>
        <v>242.36999999999998</v>
      </c>
    </row>
    <row r="1152" spans="1:12" ht="15" customHeight="1" x14ac:dyDescent="0.25">
      <c r="A1152" s="10">
        <v>1151</v>
      </c>
      <c r="B1152" s="10">
        <v>363</v>
      </c>
      <c r="C1152" s="10">
        <v>54</v>
      </c>
      <c r="D1152" s="10">
        <v>1</v>
      </c>
      <c r="E1152" s="19">
        <v>398.16</v>
      </c>
      <c r="F1152" s="10">
        <v>0</v>
      </c>
      <c r="G1152" s="19">
        <f t="shared" si="51"/>
        <v>398.16</v>
      </c>
      <c r="H1152" s="10">
        <f>INDEX(Products!$C$2:$C$101,MATCH(C1152,Products!$A$2:$A$101,0))</f>
        <v>6</v>
      </c>
      <c r="I1152" s="10" t="str">
        <f>INDEX(Categories!$B$2:$B$11,MATCH(H1152,Categories!$A$2:$A$11,0))</f>
        <v>Sporting Goods</v>
      </c>
      <c r="J1152" s="19">
        <f>INDEX(Products!$E$2:$E$101,MATCH(C1152,Products!$A$2:$A$101,0))</f>
        <v>205.89</v>
      </c>
      <c r="K1152" s="19">
        <f t="shared" si="52"/>
        <v>205.89</v>
      </c>
      <c r="L1152" s="19">
        <f t="shared" si="53"/>
        <v>192.27000000000004</v>
      </c>
    </row>
    <row r="1153" spans="1:12" ht="15" customHeight="1" x14ac:dyDescent="0.25">
      <c r="A1153" s="10">
        <v>1152</v>
      </c>
      <c r="B1153" s="10">
        <v>363</v>
      </c>
      <c r="C1153" s="10">
        <v>82</v>
      </c>
      <c r="D1153" s="10">
        <v>5</v>
      </c>
      <c r="E1153" s="19">
        <v>390.74</v>
      </c>
      <c r="F1153" s="10">
        <v>0.1</v>
      </c>
      <c r="G1153" s="19">
        <f t="shared" si="51"/>
        <v>1758.3300000000002</v>
      </c>
      <c r="H1153" s="10">
        <f>INDEX(Products!$C$2:$C$101,MATCH(C1153,Products!$A$2:$A$101,0))</f>
        <v>9</v>
      </c>
      <c r="I1153" s="10" t="str">
        <f>INDEX(Categories!$B$2:$B$11,MATCH(H1153,Categories!$A$2:$A$11,0))</f>
        <v>Automotive Parts</v>
      </c>
      <c r="J1153" s="19">
        <f>INDEX(Products!$E$2:$E$101,MATCH(C1153,Products!$A$2:$A$101,0))</f>
        <v>218.53</v>
      </c>
      <c r="K1153" s="19">
        <f t="shared" si="52"/>
        <v>1092.6500000000001</v>
      </c>
      <c r="L1153" s="19">
        <f t="shared" si="53"/>
        <v>665.68000000000006</v>
      </c>
    </row>
    <row r="1154" spans="1:12" ht="15" customHeight="1" x14ac:dyDescent="0.25">
      <c r="A1154" s="10">
        <v>1153</v>
      </c>
      <c r="B1154" s="10">
        <v>363</v>
      </c>
      <c r="C1154" s="10">
        <v>46</v>
      </c>
      <c r="D1154" s="10">
        <v>2</v>
      </c>
      <c r="E1154" s="19">
        <v>125.01</v>
      </c>
      <c r="F1154" s="10">
        <v>0.1</v>
      </c>
      <c r="G1154" s="19">
        <f t="shared" ref="G1154:G1217" si="54">D1154*E1154*(1-F1154)</f>
        <v>225.018</v>
      </c>
      <c r="H1154" s="10">
        <f>INDEX(Products!$C$2:$C$101,MATCH(C1154,Products!$A$2:$A$101,0))</f>
        <v>5</v>
      </c>
      <c r="I1154" s="10" t="str">
        <f>INDEX(Categories!$B$2:$B$11,MATCH(H1154,Categories!$A$2:$A$11,0))</f>
        <v>Home &amp; Kitchen</v>
      </c>
      <c r="J1154" s="19">
        <f>INDEX(Products!$E$2:$E$101,MATCH(C1154,Products!$A$2:$A$101,0))</f>
        <v>60.17</v>
      </c>
      <c r="K1154" s="19">
        <f t="shared" ref="K1154:K1217" si="55">D1154*J1154</f>
        <v>120.34</v>
      </c>
      <c r="L1154" s="19">
        <f t="shared" ref="L1154:L1217" si="56">G1154-K1154</f>
        <v>104.678</v>
      </c>
    </row>
    <row r="1155" spans="1:12" ht="15" customHeight="1" x14ac:dyDescent="0.25">
      <c r="A1155" s="10">
        <v>1154</v>
      </c>
      <c r="B1155" s="10">
        <v>364</v>
      </c>
      <c r="C1155" s="10">
        <v>35</v>
      </c>
      <c r="D1155" s="10">
        <v>6</v>
      </c>
      <c r="E1155" s="19">
        <v>216.12</v>
      </c>
      <c r="F1155" s="10">
        <v>0</v>
      </c>
      <c r="G1155" s="19">
        <f t="shared" si="54"/>
        <v>1296.72</v>
      </c>
      <c r="H1155" s="10">
        <f>INDEX(Products!$C$2:$C$101,MATCH(C1155,Products!$A$2:$A$101,0))</f>
        <v>4</v>
      </c>
      <c r="I1155" s="10" t="str">
        <f>INDEX(Categories!$B$2:$B$11,MATCH(H1155,Categories!$A$2:$A$11,0))</f>
        <v>Apparel</v>
      </c>
      <c r="J1155" s="19">
        <f>INDEX(Products!$E$2:$E$101,MATCH(C1155,Products!$A$2:$A$101,0))</f>
        <v>134.93</v>
      </c>
      <c r="K1155" s="19">
        <f t="shared" si="55"/>
        <v>809.58</v>
      </c>
      <c r="L1155" s="19">
        <f t="shared" si="56"/>
        <v>487.14</v>
      </c>
    </row>
    <row r="1156" spans="1:12" ht="15" customHeight="1" x14ac:dyDescent="0.25">
      <c r="A1156" s="10">
        <v>1155</v>
      </c>
      <c r="B1156" s="10">
        <v>364</v>
      </c>
      <c r="C1156" s="10">
        <v>88</v>
      </c>
      <c r="D1156" s="10">
        <v>9</v>
      </c>
      <c r="E1156" s="19">
        <v>188.36</v>
      </c>
      <c r="F1156" s="10">
        <v>0.1</v>
      </c>
      <c r="G1156" s="19">
        <f t="shared" si="54"/>
        <v>1525.7160000000003</v>
      </c>
      <c r="H1156" s="10">
        <f>INDEX(Products!$C$2:$C$101,MATCH(C1156,Products!$A$2:$A$101,0))</f>
        <v>9</v>
      </c>
      <c r="I1156" s="10" t="str">
        <f>INDEX(Categories!$B$2:$B$11,MATCH(H1156,Categories!$A$2:$A$11,0))</f>
        <v>Automotive Parts</v>
      </c>
      <c r="J1156" s="19">
        <f>INDEX(Products!$E$2:$E$101,MATCH(C1156,Products!$A$2:$A$101,0))</f>
        <v>112.11</v>
      </c>
      <c r="K1156" s="19">
        <f t="shared" si="55"/>
        <v>1008.99</v>
      </c>
      <c r="L1156" s="19">
        <f t="shared" si="56"/>
        <v>516.72600000000034</v>
      </c>
    </row>
    <row r="1157" spans="1:12" ht="15" customHeight="1" x14ac:dyDescent="0.25">
      <c r="A1157" s="10">
        <v>1156</v>
      </c>
      <c r="B1157" s="10">
        <v>364</v>
      </c>
      <c r="C1157" s="10">
        <v>90</v>
      </c>
      <c r="D1157" s="10">
        <v>6</v>
      </c>
      <c r="E1157" s="19">
        <v>50.45</v>
      </c>
      <c r="F1157" s="10">
        <v>0.2</v>
      </c>
      <c r="G1157" s="19">
        <f t="shared" si="54"/>
        <v>242.16000000000005</v>
      </c>
      <c r="H1157" s="10">
        <f>INDEX(Products!$C$2:$C$101,MATCH(C1157,Products!$A$2:$A$101,0))</f>
        <v>9</v>
      </c>
      <c r="I1157" s="10" t="str">
        <f>INDEX(Categories!$B$2:$B$11,MATCH(H1157,Categories!$A$2:$A$11,0))</f>
        <v>Automotive Parts</v>
      </c>
      <c r="J1157" s="19">
        <f>INDEX(Products!$E$2:$E$101,MATCH(C1157,Products!$A$2:$A$101,0))</f>
        <v>29.34</v>
      </c>
      <c r="K1157" s="19">
        <f t="shared" si="55"/>
        <v>176.04</v>
      </c>
      <c r="L1157" s="19">
        <f t="shared" si="56"/>
        <v>66.120000000000061</v>
      </c>
    </row>
    <row r="1158" spans="1:12" ht="15" customHeight="1" x14ac:dyDescent="0.25">
      <c r="A1158" s="10">
        <v>1157</v>
      </c>
      <c r="B1158" s="10">
        <v>365</v>
      </c>
      <c r="C1158" s="10">
        <v>14</v>
      </c>
      <c r="D1158" s="10">
        <v>3</v>
      </c>
      <c r="E1158" s="19">
        <v>342.37</v>
      </c>
      <c r="F1158" s="10">
        <v>0.1</v>
      </c>
      <c r="G1158" s="19">
        <f t="shared" si="54"/>
        <v>924.39900000000011</v>
      </c>
      <c r="H1158" s="10">
        <f>INDEX(Products!$C$2:$C$101,MATCH(C1158,Products!$A$2:$A$101,0))</f>
        <v>2</v>
      </c>
      <c r="I1158" s="10" t="str">
        <f>INDEX(Categories!$B$2:$B$11,MATCH(H1158,Categories!$A$2:$A$11,0))</f>
        <v>Office Supplies</v>
      </c>
      <c r="J1158" s="19">
        <f>INDEX(Products!$E$2:$E$101,MATCH(C1158,Products!$A$2:$A$101,0))</f>
        <v>241.29</v>
      </c>
      <c r="K1158" s="19">
        <f t="shared" si="55"/>
        <v>723.87</v>
      </c>
      <c r="L1158" s="19">
        <f t="shared" si="56"/>
        <v>200.52900000000011</v>
      </c>
    </row>
    <row r="1159" spans="1:12" ht="15" customHeight="1" x14ac:dyDescent="0.25">
      <c r="A1159" s="10">
        <v>1158</v>
      </c>
      <c r="B1159" s="10">
        <v>365</v>
      </c>
      <c r="C1159" s="10">
        <v>28</v>
      </c>
      <c r="D1159" s="10">
        <v>4</v>
      </c>
      <c r="E1159" s="19">
        <v>149.97</v>
      </c>
      <c r="F1159" s="10">
        <v>0.2</v>
      </c>
      <c r="G1159" s="19">
        <f t="shared" si="54"/>
        <v>479.904</v>
      </c>
      <c r="H1159" s="10">
        <f>INDEX(Products!$C$2:$C$101,MATCH(C1159,Products!$A$2:$A$101,0))</f>
        <v>3</v>
      </c>
      <c r="I1159" s="10" t="str">
        <f>INDEX(Categories!$B$2:$B$11,MATCH(H1159,Categories!$A$2:$A$11,0))</f>
        <v>Furniture</v>
      </c>
      <c r="J1159" s="19">
        <f>INDEX(Products!$E$2:$E$101,MATCH(C1159,Products!$A$2:$A$101,0))</f>
        <v>113.7</v>
      </c>
      <c r="K1159" s="19">
        <f t="shared" si="55"/>
        <v>454.8</v>
      </c>
      <c r="L1159" s="19">
        <f t="shared" si="56"/>
        <v>25.103999999999985</v>
      </c>
    </row>
    <row r="1160" spans="1:12" ht="15" customHeight="1" x14ac:dyDescent="0.25">
      <c r="A1160" s="10">
        <v>1159</v>
      </c>
      <c r="B1160" s="10">
        <v>366</v>
      </c>
      <c r="C1160" s="10">
        <v>40</v>
      </c>
      <c r="D1160" s="10">
        <v>3</v>
      </c>
      <c r="E1160" s="19">
        <v>330.91</v>
      </c>
      <c r="F1160" s="10">
        <v>0.2</v>
      </c>
      <c r="G1160" s="19">
        <f t="shared" si="54"/>
        <v>794.18400000000008</v>
      </c>
      <c r="H1160" s="10">
        <f>INDEX(Products!$C$2:$C$101,MATCH(C1160,Products!$A$2:$A$101,0))</f>
        <v>4</v>
      </c>
      <c r="I1160" s="10" t="str">
        <f>INDEX(Categories!$B$2:$B$11,MATCH(H1160,Categories!$A$2:$A$11,0))</f>
        <v>Apparel</v>
      </c>
      <c r="J1160" s="19">
        <f>INDEX(Products!$E$2:$E$101,MATCH(C1160,Products!$A$2:$A$101,0))</f>
        <v>237.43</v>
      </c>
      <c r="K1160" s="19">
        <f t="shared" si="55"/>
        <v>712.29</v>
      </c>
      <c r="L1160" s="19">
        <f t="shared" si="56"/>
        <v>81.894000000000119</v>
      </c>
    </row>
    <row r="1161" spans="1:12" ht="15" customHeight="1" x14ac:dyDescent="0.25">
      <c r="A1161" s="10">
        <v>1160</v>
      </c>
      <c r="B1161" s="10">
        <v>366</v>
      </c>
      <c r="C1161" s="10">
        <v>89</v>
      </c>
      <c r="D1161" s="10">
        <v>8</v>
      </c>
      <c r="E1161" s="19">
        <v>312.76</v>
      </c>
      <c r="F1161" s="10">
        <v>0.1</v>
      </c>
      <c r="G1161" s="19">
        <f t="shared" si="54"/>
        <v>2251.8719999999998</v>
      </c>
      <c r="H1161" s="10">
        <f>INDEX(Products!$C$2:$C$101,MATCH(C1161,Products!$A$2:$A$101,0))</f>
        <v>9</v>
      </c>
      <c r="I1161" s="10" t="str">
        <f>INDEX(Categories!$B$2:$B$11,MATCH(H1161,Categories!$A$2:$A$11,0))</f>
        <v>Automotive Parts</v>
      </c>
      <c r="J1161" s="19">
        <f>INDEX(Products!$E$2:$E$101,MATCH(C1161,Products!$A$2:$A$101,0))</f>
        <v>173.51</v>
      </c>
      <c r="K1161" s="19">
        <f t="shared" si="55"/>
        <v>1388.08</v>
      </c>
      <c r="L1161" s="19">
        <f t="shared" si="56"/>
        <v>863.79199999999992</v>
      </c>
    </row>
    <row r="1162" spans="1:12" ht="15" customHeight="1" x14ac:dyDescent="0.25">
      <c r="A1162" s="10">
        <v>1161</v>
      </c>
      <c r="B1162" s="10">
        <v>366</v>
      </c>
      <c r="C1162" s="10">
        <v>47</v>
      </c>
      <c r="D1162" s="10">
        <v>9</v>
      </c>
      <c r="E1162" s="19">
        <v>96.51</v>
      </c>
      <c r="F1162" s="10">
        <v>0.2</v>
      </c>
      <c r="G1162" s="19">
        <f t="shared" si="54"/>
        <v>694.87200000000007</v>
      </c>
      <c r="H1162" s="10">
        <f>INDEX(Products!$C$2:$C$101,MATCH(C1162,Products!$A$2:$A$101,0))</f>
        <v>5</v>
      </c>
      <c r="I1162" s="10" t="str">
        <f>INDEX(Categories!$B$2:$B$11,MATCH(H1162,Categories!$A$2:$A$11,0))</f>
        <v>Home &amp; Kitchen</v>
      </c>
      <c r="J1162" s="19">
        <f>INDEX(Products!$E$2:$E$101,MATCH(C1162,Products!$A$2:$A$101,0))</f>
        <v>60.66</v>
      </c>
      <c r="K1162" s="19">
        <f t="shared" si="55"/>
        <v>545.93999999999994</v>
      </c>
      <c r="L1162" s="19">
        <f t="shared" si="56"/>
        <v>148.93200000000013</v>
      </c>
    </row>
    <row r="1163" spans="1:12" ht="15" customHeight="1" x14ac:dyDescent="0.25">
      <c r="A1163" s="10">
        <v>1162</v>
      </c>
      <c r="B1163" s="10">
        <v>367</v>
      </c>
      <c r="C1163" s="10">
        <v>89</v>
      </c>
      <c r="D1163" s="10">
        <v>5</v>
      </c>
      <c r="E1163" s="19">
        <v>312.76</v>
      </c>
      <c r="F1163" s="10">
        <v>0</v>
      </c>
      <c r="G1163" s="19">
        <f t="shared" si="54"/>
        <v>1563.8</v>
      </c>
      <c r="H1163" s="10">
        <f>INDEX(Products!$C$2:$C$101,MATCH(C1163,Products!$A$2:$A$101,0))</f>
        <v>9</v>
      </c>
      <c r="I1163" s="10" t="str">
        <f>INDEX(Categories!$B$2:$B$11,MATCH(H1163,Categories!$A$2:$A$11,0))</f>
        <v>Automotive Parts</v>
      </c>
      <c r="J1163" s="19">
        <f>INDEX(Products!$E$2:$E$101,MATCH(C1163,Products!$A$2:$A$101,0))</f>
        <v>173.51</v>
      </c>
      <c r="K1163" s="19">
        <f t="shared" si="55"/>
        <v>867.55</v>
      </c>
      <c r="L1163" s="19">
        <f t="shared" si="56"/>
        <v>696.25</v>
      </c>
    </row>
    <row r="1164" spans="1:12" ht="15" customHeight="1" x14ac:dyDescent="0.25">
      <c r="A1164" s="10">
        <v>1163</v>
      </c>
      <c r="B1164" s="10">
        <v>367</v>
      </c>
      <c r="C1164" s="10">
        <v>30</v>
      </c>
      <c r="D1164" s="10">
        <v>4</v>
      </c>
      <c r="E1164" s="19">
        <v>474.78</v>
      </c>
      <c r="F1164" s="10">
        <v>0</v>
      </c>
      <c r="G1164" s="19">
        <f t="shared" si="54"/>
        <v>1899.12</v>
      </c>
      <c r="H1164" s="10">
        <f>INDEX(Products!$C$2:$C$101,MATCH(C1164,Products!$A$2:$A$101,0))</f>
        <v>3</v>
      </c>
      <c r="I1164" s="10" t="str">
        <f>INDEX(Categories!$B$2:$B$11,MATCH(H1164,Categories!$A$2:$A$11,0))</f>
        <v>Furniture</v>
      </c>
      <c r="J1164" s="19">
        <f>INDEX(Products!$E$2:$E$101,MATCH(C1164,Products!$A$2:$A$101,0))</f>
        <v>249.17</v>
      </c>
      <c r="K1164" s="19">
        <f t="shared" si="55"/>
        <v>996.68</v>
      </c>
      <c r="L1164" s="19">
        <f t="shared" si="56"/>
        <v>902.43999999999994</v>
      </c>
    </row>
    <row r="1165" spans="1:12" ht="15" customHeight="1" x14ac:dyDescent="0.25">
      <c r="A1165" s="10">
        <v>1164</v>
      </c>
      <c r="B1165" s="10">
        <v>368</v>
      </c>
      <c r="C1165" s="10">
        <v>26</v>
      </c>
      <c r="D1165" s="10">
        <v>2</v>
      </c>
      <c r="E1165" s="19">
        <v>262.08</v>
      </c>
      <c r="F1165" s="10">
        <v>0</v>
      </c>
      <c r="G1165" s="19">
        <f t="shared" si="54"/>
        <v>524.16</v>
      </c>
      <c r="H1165" s="10">
        <f>INDEX(Products!$C$2:$C$101,MATCH(C1165,Products!$A$2:$A$101,0))</f>
        <v>3</v>
      </c>
      <c r="I1165" s="10" t="str">
        <f>INDEX(Categories!$B$2:$B$11,MATCH(H1165,Categories!$A$2:$A$11,0))</f>
        <v>Furniture</v>
      </c>
      <c r="J1165" s="19">
        <f>INDEX(Products!$E$2:$E$101,MATCH(C1165,Products!$A$2:$A$101,0))</f>
        <v>140.28</v>
      </c>
      <c r="K1165" s="19">
        <f t="shared" si="55"/>
        <v>280.56</v>
      </c>
      <c r="L1165" s="19">
        <f t="shared" si="56"/>
        <v>243.59999999999997</v>
      </c>
    </row>
    <row r="1166" spans="1:12" ht="15" customHeight="1" x14ac:dyDescent="0.25">
      <c r="A1166" s="10">
        <v>1165</v>
      </c>
      <c r="B1166" s="10">
        <v>369</v>
      </c>
      <c r="C1166" s="10">
        <v>97</v>
      </c>
      <c r="D1166" s="10">
        <v>2</v>
      </c>
      <c r="E1166" s="19">
        <v>81.58</v>
      </c>
      <c r="F1166" s="10">
        <v>0.2</v>
      </c>
      <c r="G1166" s="19">
        <f t="shared" si="54"/>
        <v>130.52799999999999</v>
      </c>
      <c r="H1166" s="10">
        <f>INDEX(Products!$C$2:$C$101,MATCH(C1166,Products!$A$2:$A$101,0))</f>
        <v>10</v>
      </c>
      <c r="I1166" s="10" t="str">
        <f>INDEX(Categories!$B$2:$B$11,MATCH(H1166,Categories!$A$2:$A$11,0))</f>
        <v>Groceries</v>
      </c>
      <c r="J1166" s="19">
        <f>INDEX(Products!$E$2:$E$101,MATCH(C1166,Products!$A$2:$A$101,0))</f>
        <v>35.46</v>
      </c>
      <c r="K1166" s="19">
        <f t="shared" si="55"/>
        <v>70.92</v>
      </c>
      <c r="L1166" s="19">
        <f t="shared" si="56"/>
        <v>59.60799999999999</v>
      </c>
    </row>
    <row r="1167" spans="1:12" ht="15" customHeight="1" x14ac:dyDescent="0.25">
      <c r="A1167" s="10">
        <v>1166</v>
      </c>
      <c r="B1167" s="10">
        <v>370</v>
      </c>
      <c r="C1167" s="10">
        <v>19</v>
      </c>
      <c r="D1167" s="10">
        <v>5</v>
      </c>
      <c r="E1167" s="19">
        <v>291.89</v>
      </c>
      <c r="F1167" s="10">
        <v>0.1</v>
      </c>
      <c r="G1167" s="19">
        <f t="shared" si="54"/>
        <v>1313.5049999999999</v>
      </c>
      <c r="H1167" s="10">
        <f>INDEX(Products!$C$2:$C$101,MATCH(C1167,Products!$A$2:$A$101,0))</f>
        <v>2</v>
      </c>
      <c r="I1167" s="10" t="str">
        <f>INDEX(Categories!$B$2:$B$11,MATCH(H1167,Categories!$A$2:$A$11,0))</f>
        <v>Office Supplies</v>
      </c>
      <c r="J1167" s="19">
        <f>INDEX(Products!$E$2:$E$101,MATCH(C1167,Products!$A$2:$A$101,0))</f>
        <v>206.12</v>
      </c>
      <c r="K1167" s="19">
        <f t="shared" si="55"/>
        <v>1030.5999999999999</v>
      </c>
      <c r="L1167" s="19">
        <f t="shared" si="56"/>
        <v>282.90499999999997</v>
      </c>
    </row>
    <row r="1168" spans="1:12" ht="15" customHeight="1" x14ac:dyDescent="0.25">
      <c r="A1168" s="10">
        <v>1167</v>
      </c>
      <c r="B1168" s="10">
        <v>371</v>
      </c>
      <c r="C1168" s="10">
        <v>68</v>
      </c>
      <c r="D1168" s="10">
        <v>4</v>
      </c>
      <c r="E1168" s="19">
        <v>271.66000000000003</v>
      </c>
      <c r="F1168" s="10">
        <v>0.15</v>
      </c>
      <c r="G1168" s="19">
        <f t="shared" si="54"/>
        <v>923.64400000000001</v>
      </c>
      <c r="H1168" s="10">
        <f>INDEX(Products!$C$2:$C$101,MATCH(C1168,Products!$A$2:$A$101,0))</f>
        <v>7</v>
      </c>
      <c r="I1168" s="10" t="str">
        <f>INDEX(Categories!$B$2:$B$11,MATCH(H1168,Categories!$A$2:$A$11,0))</f>
        <v>Toys &amp; Games</v>
      </c>
      <c r="J1168" s="19">
        <f>INDEX(Products!$E$2:$E$101,MATCH(C1168,Products!$A$2:$A$101,0))</f>
        <v>187.33</v>
      </c>
      <c r="K1168" s="19">
        <f t="shared" si="55"/>
        <v>749.32</v>
      </c>
      <c r="L1168" s="19">
        <f t="shared" si="56"/>
        <v>174.32399999999996</v>
      </c>
    </row>
    <row r="1169" spans="1:12" ht="15" customHeight="1" x14ac:dyDescent="0.25">
      <c r="A1169" s="10">
        <v>1168</v>
      </c>
      <c r="B1169" s="10">
        <v>372</v>
      </c>
      <c r="C1169" s="10">
        <v>90</v>
      </c>
      <c r="D1169" s="10">
        <v>8</v>
      </c>
      <c r="E1169" s="19">
        <v>50.45</v>
      </c>
      <c r="F1169" s="10">
        <v>0.15</v>
      </c>
      <c r="G1169" s="19">
        <f t="shared" si="54"/>
        <v>343.06</v>
      </c>
      <c r="H1169" s="10">
        <f>INDEX(Products!$C$2:$C$101,MATCH(C1169,Products!$A$2:$A$101,0))</f>
        <v>9</v>
      </c>
      <c r="I1169" s="10" t="str">
        <f>INDEX(Categories!$B$2:$B$11,MATCH(H1169,Categories!$A$2:$A$11,0))</f>
        <v>Automotive Parts</v>
      </c>
      <c r="J1169" s="19">
        <f>INDEX(Products!$E$2:$E$101,MATCH(C1169,Products!$A$2:$A$101,0))</f>
        <v>29.34</v>
      </c>
      <c r="K1169" s="19">
        <f t="shared" si="55"/>
        <v>234.72</v>
      </c>
      <c r="L1169" s="19">
        <f t="shared" si="56"/>
        <v>108.34</v>
      </c>
    </row>
    <row r="1170" spans="1:12" ht="15" customHeight="1" x14ac:dyDescent="0.25">
      <c r="A1170" s="10">
        <v>1169</v>
      </c>
      <c r="B1170" s="10">
        <v>372</v>
      </c>
      <c r="C1170" s="10">
        <v>76</v>
      </c>
      <c r="D1170" s="10">
        <v>2</v>
      </c>
      <c r="E1170" s="19">
        <v>390.64</v>
      </c>
      <c r="F1170" s="10">
        <v>0</v>
      </c>
      <c r="G1170" s="19">
        <f t="shared" si="54"/>
        <v>781.28</v>
      </c>
      <c r="H1170" s="10">
        <f>INDEX(Products!$C$2:$C$101,MATCH(C1170,Products!$A$2:$A$101,0))</f>
        <v>8</v>
      </c>
      <c r="I1170" s="10" t="str">
        <f>INDEX(Categories!$B$2:$B$11,MATCH(H1170,Categories!$A$2:$A$11,0))</f>
        <v>Health &amp; Beauty</v>
      </c>
      <c r="J1170" s="19">
        <f>INDEX(Products!$E$2:$E$101,MATCH(C1170,Products!$A$2:$A$101,0))</f>
        <v>218.93</v>
      </c>
      <c r="K1170" s="19">
        <f t="shared" si="55"/>
        <v>437.86</v>
      </c>
      <c r="L1170" s="19">
        <f t="shared" si="56"/>
        <v>343.41999999999996</v>
      </c>
    </row>
    <row r="1171" spans="1:12" ht="15" customHeight="1" x14ac:dyDescent="0.25">
      <c r="A1171" s="10">
        <v>1170</v>
      </c>
      <c r="B1171" s="10">
        <v>372</v>
      </c>
      <c r="C1171" s="10">
        <v>24</v>
      </c>
      <c r="D1171" s="10">
        <v>6</v>
      </c>
      <c r="E1171" s="19">
        <v>158.72999999999999</v>
      </c>
      <c r="F1171" s="10">
        <v>0.05</v>
      </c>
      <c r="G1171" s="19">
        <f t="shared" si="54"/>
        <v>904.76099999999985</v>
      </c>
      <c r="H1171" s="10">
        <f>INDEX(Products!$C$2:$C$101,MATCH(C1171,Products!$A$2:$A$101,0))</f>
        <v>3</v>
      </c>
      <c r="I1171" s="10" t="str">
        <f>INDEX(Categories!$B$2:$B$11,MATCH(H1171,Categories!$A$2:$A$11,0))</f>
        <v>Furniture</v>
      </c>
      <c r="J1171" s="19">
        <f>INDEX(Products!$E$2:$E$101,MATCH(C1171,Products!$A$2:$A$101,0))</f>
        <v>86.09</v>
      </c>
      <c r="K1171" s="19">
        <f t="shared" si="55"/>
        <v>516.54</v>
      </c>
      <c r="L1171" s="19">
        <f t="shared" si="56"/>
        <v>388.22099999999989</v>
      </c>
    </row>
    <row r="1172" spans="1:12" ht="15" customHeight="1" x14ac:dyDescent="0.25">
      <c r="A1172" s="10">
        <v>1171</v>
      </c>
      <c r="B1172" s="10">
        <v>373</v>
      </c>
      <c r="C1172" s="10">
        <v>15</v>
      </c>
      <c r="D1172" s="10">
        <v>6</v>
      </c>
      <c r="E1172" s="19">
        <v>389.29</v>
      </c>
      <c r="F1172" s="10">
        <v>0.15</v>
      </c>
      <c r="G1172" s="19">
        <f t="shared" si="54"/>
        <v>1985.3790000000001</v>
      </c>
      <c r="H1172" s="10">
        <f>INDEX(Products!$C$2:$C$101,MATCH(C1172,Products!$A$2:$A$101,0))</f>
        <v>2</v>
      </c>
      <c r="I1172" s="10" t="str">
        <f>INDEX(Categories!$B$2:$B$11,MATCH(H1172,Categories!$A$2:$A$11,0))</f>
        <v>Office Supplies</v>
      </c>
      <c r="J1172" s="19">
        <f>INDEX(Products!$E$2:$E$101,MATCH(C1172,Products!$A$2:$A$101,0))</f>
        <v>227.28</v>
      </c>
      <c r="K1172" s="19">
        <f t="shared" si="55"/>
        <v>1363.68</v>
      </c>
      <c r="L1172" s="19">
        <f t="shared" si="56"/>
        <v>621.69900000000007</v>
      </c>
    </row>
    <row r="1173" spans="1:12" ht="15" customHeight="1" x14ac:dyDescent="0.25">
      <c r="A1173" s="10">
        <v>1172</v>
      </c>
      <c r="B1173" s="10">
        <v>373</v>
      </c>
      <c r="C1173" s="10">
        <v>67</v>
      </c>
      <c r="D1173" s="10">
        <v>5</v>
      </c>
      <c r="E1173" s="19">
        <v>120.48</v>
      </c>
      <c r="F1173" s="10">
        <v>0.1</v>
      </c>
      <c r="G1173" s="19">
        <f t="shared" si="54"/>
        <v>542.16</v>
      </c>
      <c r="H1173" s="10">
        <f>INDEX(Products!$C$2:$C$101,MATCH(C1173,Products!$A$2:$A$101,0))</f>
        <v>7</v>
      </c>
      <c r="I1173" s="10" t="str">
        <f>INDEX(Categories!$B$2:$B$11,MATCH(H1173,Categories!$A$2:$A$11,0))</f>
        <v>Toys &amp; Games</v>
      </c>
      <c r="J1173" s="19">
        <f>INDEX(Products!$E$2:$E$101,MATCH(C1173,Products!$A$2:$A$101,0))</f>
        <v>63.2</v>
      </c>
      <c r="K1173" s="19">
        <f t="shared" si="55"/>
        <v>316</v>
      </c>
      <c r="L1173" s="19">
        <f t="shared" si="56"/>
        <v>226.15999999999997</v>
      </c>
    </row>
    <row r="1174" spans="1:12" ht="15" customHeight="1" x14ac:dyDescent="0.25">
      <c r="A1174" s="10">
        <v>1173</v>
      </c>
      <c r="B1174" s="10">
        <v>373</v>
      </c>
      <c r="C1174" s="10">
        <v>18</v>
      </c>
      <c r="D1174" s="10">
        <v>1</v>
      </c>
      <c r="E1174" s="19">
        <v>185.81</v>
      </c>
      <c r="F1174" s="10">
        <v>0</v>
      </c>
      <c r="G1174" s="19">
        <f t="shared" si="54"/>
        <v>185.81</v>
      </c>
      <c r="H1174" s="10">
        <f>INDEX(Products!$C$2:$C$101,MATCH(C1174,Products!$A$2:$A$101,0))</f>
        <v>2</v>
      </c>
      <c r="I1174" s="10" t="str">
        <f>INDEX(Categories!$B$2:$B$11,MATCH(H1174,Categories!$A$2:$A$11,0))</f>
        <v>Office Supplies</v>
      </c>
      <c r="J1174" s="19">
        <f>INDEX(Products!$E$2:$E$101,MATCH(C1174,Products!$A$2:$A$101,0))</f>
        <v>108.81</v>
      </c>
      <c r="K1174" s="19">
        <f t="shared" si="55"/>
        <v>108.81</v>
      </c>
      <c r="L1174" s="19">
        <f t="shared" si="56"/>
        <v>77</v>
      </c>
    </row>
    <row r="1175" spans="1:12" ht="15" customHeight="1" x14ac:dyDescent="0.25">
      <c r="A1175" s="10">
        <v>1174</v>
      </c>
      <c r="B1175" s="10">
        <v>373</v>
      </c>
      <c r="C1175" s="10">
        <v>64</v>
      </c>
      <c r="D1175" s="10">
        <v>6</v>
      </c>
      <c r="E1175" s="19">
        <v>265.25</v>
      </c>
      <c r="F1175" s="10">
        <v>0.05</v>
      </c>
      <c r="G1175" s="19">
        <f t="shared" si="54"/>
        <v>1511.925</v>
      </c>
      <c r="H1175" s="10">
        <f>INDEX(Products!$C$2:$C$101,MATCH(C1175,Products!$A$2:$A$101,0))</f>
        <v>7</v>
      </c>
      <c r="I1175" s="10" t="str">
        <f>INDEX(Categories!$B$2:$B$11,MATCH(H1175,Categories!$A$2:$A$11,0))</f>
        <v>Toys &amp; Games</v>
      </c>
      <c r="J1175" s="19">
        <f>INDEX(Products!$E$2:$E$101,MATCH(C1175,Products!$A$2:$A$101,0))</f>
        <v>139.06</v>
      </c>
      <c r="K1175" s="19">
        <f t="shared" si="55"/>
        <v>834.36</v>
      </c>
      <c r="L1175" s="19">
        <f t="shared" si="56"/>
        <v>677.56499999999994</v>
      </c>
    </row>
    <row r="1176" spans="1:12" ht="15" customHeight="1" x14ac:dyDescent="0.25">
      <c r="A1176" s="10">
        <v>1175</v>
      </c>
      <c r="B1176" s="10">
        <v>374</v>
      </c>
      <c r="C1176" s="10">
        <v>38</v>
      </c>
      <c r="D1176" s="10">
        <v>8</v>
      </c>
      <c r="E1176" s="19">
        <v>146.91999999999999</v>
      </c>
      <c r="F1176" s="10">
        <v>0.15</v>
      </c>
      <c r="G1176" s="19">
        <f t="shared" si="54"/>
        <v>999.05599999999993</v>
      </c>
      <c r="H1176" s="10">
        <f>INDEX(Products!$C$2:$C$101,MATCH(C1176,Products!$A$2:$A$101,0))</f>
        <v>4</v>
      </c>
      <c r="I1176" s="10" t="str">
        <f>INDEX(Categories!$B$2:$B$11,MATCH(H1176,Categories!$A$2:$A$11,0))</f>
        <v>Apparel</v>
      </c>
      <c r="J1176" s="19">
        <f>INDEX(Products!$E$2:$E$101,MATCH(C1176,Products!$A$2:$A$101,0))</f>
        <v>65.36</v>
      </c>
      <c r="K1176" s="19">
        <f t="shared" si="55"/>
        <v>522.88</v>
      </c>
      <c r="L1176" s="19">
        <f t="shared" si="56"/>
        <v>476.17599999999993</v>
      </c>
    </row>
    <row r="1177" spans="1:12" ht="15" customHeight="1" x14ac:dyDescent="0.25">
      <c r="A1177" s="10">
        <v>1176</v>
      </c>
      <c r="B1177" s="10">
        <v>374</v>
      </c>
      <c r="C1177" s="10">
        <v>55</v>
      </c>
      <c r="D1177" s="10">
        <v>6</v>
      </c>
      <c r="E1177" s="19">
        <v>378.27</v>
      </c>
      <c r="F1177" s="10">
        <v>0</v>
      </c>
      <c r="G1177" s="19">
        <f t="shared" si="54"/>
        <v>2269.62</v>
      </c>
      <c r="H1177" s="10">
        <f>INDEX(Products!$C$2:$C$101,MATCH(C1177,Products!$A$2:$A$101,0))</f>
        <v>6</v>
      </c>
      <c r="I1177" s="10" t="str">
        <f>INDEX(Categories!$B$2:$B$11,MATCH(H1177,Categories!$A$2:$A$11,0))</f>
        <v>Sporting Goods</v>
      </c>
      <c r="J1177" s="19">
        <f>INDEX(Products!$E$2:$E$101,MATCH(C1177,Products!$A$2:$A$101,0))</f>
        <v>163.92</v>
      </c>
      <c r="K1177" s="19">
        <f t="shared" si="55"/>
        <v>983.52</v>
      </c>
      <c r="L1177" s="19">
        <f t="shared" si="56"/>
        <v>1286.0999999999999</v>
      </c>
    </row>
    <row r="1178" spans="1:12" ht="15" customHeight="1" x14ac:dyDescent="0.25">
      <c r="A1178" s="10">
        <v>1177</v>
      </c>
      <c r="B1178" s="10">
        <v>374</v>
      </c>
      <c r="C1178" s="10">
        <v>25</v>
      </c>
      <c r="D1178" s="10">
        <v>1</v>
      </c>
      <c r="E1178" s="19">
        <v>334.98</v>
      </c>
      <c r="F1178" s="10">
        <v>0.15</v>
      </c>
      <c r="G1178" s="19">
        <f t="shared" si="54"/>
        <v>284.733</v>
      </c>
      <c r="H1178" s="10">
        <f>INDEX(Products!$C$2:$C$101,MATCH(C1178,Products!$A$2:$A$101,0))</f>
        <v>3</v>
      </c>
      <c r="I1178" s="10" t="str">
        <f>INDEX(Categories!$B$2:$B$11,MATCH(H1178,Categories!$A$2:$A$11,0))</f>
        <v>Furniture</v>
      </c>
      <c r="J1178" s="19">
        <f>INDEX(Products!$E$2:$E$101,MATCH(C1178,Products!$A$2:$A$101,0))</f>
        <v>200.06</v>
      </c>
      <c r="K1178" s="19">
        <f t="shared" si="55"/>
        <v>200.06</v>
      </c>
      <c r="L1178" s="19">
        <f t="shared" si="56"/>
        <v>84.673000000000002</v>
      </c>
    </row>
    <row r="1179" spans="1:12" ht="15" customHeight="1" x14ac:dyDescent="0.25">
      <c r="A1179" s="10">
        <v>1178</v>
      </c>
      <c r="B1179" s="10">
        <v>374</v>
      </c>
      <c r="C1179" s="10">
        <v>9</v>
      </c>
      <c r="D1179" s="10">
        <v>8</v>
      </c>
      <c r="E1179" s="19">
        <v>255.18</v>
      </c>
      <c r="F1179" s="10">
        <v>0.15</v>
      </c>
      <c r="G1179" s="19">
        <f t="shared" si="54"/>
        <v>1735.2239999999999</v>
      </c>
      <c r="H1179" s="10">
        <f>INDEX(Products!$C$2:$C$101,MATCH(C1179,Products!$A$2:$A$101,0))</f>
        <v>1</v>
      </c>
      <c r="I1179" s="10" t="str">
        <f>INDEX(Categories!$B$2:$B$11,MATCH(H1179,Categories!$A$2:$A$11,0))</f>
        <v>Electronics</v>
      </c>
      <c r="J1179" s="19">
        <f>INDEX(Products!$E$2:$E$101,MATCH(C1179,Products!$A$2:$A$101,0))</f>
        <v>188.01</v>
      </c>
      <c r="K1179" s="19">
        <f t="shared" si="55"/>
        <v>1504.08</v>
      </c>
      <c r="L1179" s="19">
        <f t="shared" si="56"/>
        <v>231.14400000000001</v>
      </c>
    </row>
    <row r="1180" spans="1:12" ht="15" customHeight="1" x14ac:dyDescent="0.25">
      <c r="A1180" s="10">
        <v>1179</v>
      </c>
      <c r="B1180" s="10">
        <v>375</v>
      </c>
      <c r="C1180" s="10">
        <v>95</v>
      </c>
      <c r="D1180" s="10">
        <v>3</v>
      </c>
      <c r="E1180" s="19">
        <v>394.56</v>
      </c>
      <c r="F1180" s="10">
        <v>0</v>
      </c>
      <c r="G1180" s="19">
        <f t="shared" si="54"/>
        <v>1183.68</v>
      </c>
      <c r="H1180" s="10">
        <f>INDEX(Products!$C$2:$C$101,MATCH(C1180,Products!$A$2:$A$101,0))</f>
        <v>10</v>
      </c>
      <c r="I1180" s="10" t="str">
        <f>INDEX(Categories!$B$2:$B$11,MATCH(H1180,Categories!$A$2:$A$11,0))</f>
        <v>Groceries</v>
      </c>
      <c r="J1180" s="19">
        <f>INDEX(Products!$E$2:$E$101,MATCH(C1180,Products!$A$2:$A$101,0))</f>
        <v>192.57</v>
      </c>
      <c r="K1180" s="19">
        <f t="shared" si="55"/>
        <v>577.71</v>
      </c>
      <c r="L1180" s="19">
        <f t="shared" si="56"/>
        <v>605.97</v>
      </c>
    </row>
    <row r="1181" spans="1:12" ht="15" customHeight="1" x14ac:dyDescent="0.25">
      <c r="A1181" s="10">
        <v>1180</v>
      </c>
      <c r="B1181" s="10">
        <v>376</v>
      </c>
      <c r="C1181" s="10">
        <v>30</v>
      </c>
      <c r="D1181" s="10">
        <v>7</v>
      </c>
      <c r="E1181" s="19">
        <v>474.78</v>
      </c>
      <c r="F1181" s="10">
        <v>0.15</v>
      </c>
      <c r="G1181" s="19">
        <f t="shared" si="54"/>
        <v>2824.9409999999998</v>
      </c>
      <c r="H1181" s="10">
        <f>INDEX(Products!$C$2:$C$101,MATCH(C1181,Products!$A$2:$A$101,0))</f>
        <v>3</v>
      </c>
      <c r="I1181" s="10" t="str">
        <f>INDEX(Categories!$B$2:$B$11,MATCH(H1181,Categories!$A$2:$A$11,0))</f>
        <v>Furniture</v>
      </c>
      <c r="J1181" s="19">
        <f>INDEX(Products!$E$2:$E$101,MATCH(C1181,Products!$A$2:$A$101,0))</f>
        <v>249.17</v>
      </c>
      <c r="K1181" s="19">
        <f t="shared" si="55"/>
        <v>1744.1899999999998</v>
      </c>
      <c r="L1181" s="19">
        <f t="shared" si="56"/>
        <v>1080.751</v>
      </c>
    </row>
    <row r="1182" spans="1:12" ht="15" customHeight="1" x14ac:dyDescent="0.25">
      <c r="A1182" s="10">
        <v>1181</v>
      </c>
      <c r="B1182" s="10">
        <v>377</v>
      </c>
      <c r="C1182" s="10">
        <v>52</v>
      </c>
      <c r="D1182" s="10">
        <v>8</v>
      </c>
      <c r="E1182" s="19">
        <v>469.43</v>
      </c>
      <c r="F1182" s="10">
        <v>0</v>
      </c>
      <c r="G1182" s="19">
        <f t="shared" si="54"/>
        <v>3755.44</v>
      </c>
      <c r="H1182" s="10">
        <f>INDEX(Products!$C$2:$C$101,MATCH(C1182,Products!$A$2:$A$101,0))</f>
        <v>6</v>
      </c>
      <c r="I1182" s="10" t="str">
        <f>INDEX(Categories!$B$2:$B$11,MATCH(H1182,Categories!$A$2:$A$11,0))</f>
        <v>Sporting Goods</v>
      </c>
      <c r="J1182" s="19">
        <f>INDEX(Products!$E$2:$E$101,MATCH(C1182,Products!$A$2:$A$101,0))</f>
        <v>222.69</v>
      </c>
      <c r="K1182" s="19">
        <f t="shared" si="55"/>
        <v>1781.52</v>
      </c>
      <c r="L1182" s="19">
        <f t="shared" si="56"/>
        <v>1973.92</v>
      </c>
    </row>
    <row r="1183" spans="1:12" ht="15" customHeight="1" x14ac:dyDescent="0.25">
      <c r="A1183" s="10">
        <v>1182</v>
      </c>
      <c r="B1183" s="10">
        <v>377</v>
      </c>
      <c r="C1183" s="10">
        <v>63</v>
      </c>
      <c r="D1183" s="10">
        <v>2</v>
      </c>
      <c r="E1183" s="19">
        <v>20.190000000000001</v>
      </c>
      <c r="F1183" s="10">
        <v>0</v>
      </c>
      <c r="G1183" s="19">
        <f t="shared" si="54"/>
        <v>40.380000000000003</v>
      </c>
      <c r="H1183" s="10">
        <f>INDEX(Products!$C$2:$C$101,MATCH(C1183,Products!$A$2:$A$101,0))</f>
        <v>7</v>
      </c>
      <c r="I1183" s="10" t="str">
        <f>INDEX(Categories!$B$2:$B$11,MATCH(H1183,Categories!$A$2:$A$11,0))</f>
        <v>Toys &amp; Games</v>
      </c>
      <c r="J1183" s="19">
        <f>INDEX(Products!$E$2:$E$101,MATCH(C1183,Products!$A$2:$A$101,0))</f>
        <v>10.130000000000001</v>
      </c>
      <c r="K1183" s="19">
        <f t="shared" si="55"/>
        <v>20.260000000000002</v>
      </c>
      <c r="L1183" s="19">
        <f t="shared" si="56"/>
        <v>20.12</v>
      </c>
    </row>
    <row r="1184" spans="1:12" ht="15" customHeight="1" x14ac:dyDescent="0.25">
      <c r="A1184" s="10">
        <v>1183</v>
      </c>
      <c r="B1184" s="10">
        <v>377</v>
      </c>
      <c r="C1184" s="10">
        <v>66</v>
      </c>
      <c r="D1184" s="10">
        <v>8</v>
      </c>
      <c r="E1184" s="19">
        <v>155.88</v>
      </c>
      <c r="F1184" s="10">
        <v>0.05</v>
      </c>
      <c r="G1184" s="19">
        <f t="shared" si="54"/>
        <v>1184.6879999999999</v>
      </c>
      <c r="H1184" s="10">
        <f>INDEX(Products!$C$2:$C$101,MATCH(C1184,Products!$A$2:$A$101,0))</f>
        <v>7</v>
      </c>
      <c r="I1184" s="10" t="str">
        <f>INDEX(Categories!$B$2:$B$11,MATCH(H1184,Categories!$A$2:$A$11,0))</f>
        <v>Toys &amp; Games</v>
      </c>
      <c r="J1184" s="19">
        <f>INDEX(Products!$E$2:$E$101,MATCH(C1184,Products!$A$2:$A$101,0))</f>
        <v>75.09</v>
      </c>
      <c r="K1184" s="19">
        <f t="shared" si="55"/>
        <v>600.72</v>
      </c>
      <c r="L1184" s="19">
        <f t="shared" si="56"/>
        <v>583.96799999999985</v>
      </c>
    </row>
    <row r="1185" spans="1:12" ht="15" customHeight="1" x14ac:dyDescent="0.25">
      <c r="A1185" s="10">
        <v>1184</v>
      </c>
      <c r="B1185" s="10">
        <v>377</v>
      </c>
      <c r="C1185" s="10">
        <v>36</v>
      </c>
      <c r="D1185" s="10">
        <v>4</v>
      </c>
      <c r="E1185" s="19">
        <v>472.77</v>
      </c>
      <c r="F1185" s="10">
        <v>0.15</v>
      </c>
      <c r="G1185" s="19">
        <f t="shared" si="54"/>
        <v>1607.4179999999999</v>
      </c>
      <c r="H1185" s="10">
        <f>INDEX(Products!$C$2:$C$101,MATCH(C1185,Products!$A$2:$A$101,0))</f>
        <v>4</v>
      </c>
      <c r="I1185" s="10" t="str">
        <f>INDEX(Categories!$B$2:$B$11,MATCH(H1185,Categories!$A$2:$A$11,0))</f>
        <v>Apparel</v>
      </c>
      <c r="J1185" s="19">
        <f>INDEX(Products!$E$2:$E$101,MATCH(C1185,Products!$A$2:$A$101,0))</f>
        <v>236.19</v>
      </c>
      <c r="K1185" s="19">
        <f t="shared" si="55"/>
        <v>944.76</v>
      </c>
      <c r="L1185" s="19">
        <f t="shared" si="56"/>
        <v>662.6579999999999</v>
      </c>
    </row>
    <row r="1186" spans="1:12" ht="15" customHeight="1" x14ac:dyDescent="0.25">
      <c r="A1186" s="10">
        <v>1185</v>
      </c>
      <c r="B1186" s="10">
        <v>377</v>
      </c>
      <c r="C1186" s="10">
        <v>19</v>
      </c>
      <c r="D1186" s="10">
        <v>3</v>
      </c>
      <c r="E1186" s="19">
        <v>291.89</v>
      </c>
      <c r="F1186" s="10">
        <v>0</v>
      </c>
      <c r="G1186" s="19">
        <f t="shared" si="54"/>
        <v>875.67</v>
      </c>
      <c r="H1186" s="10">
        <f>INDEX(Products!$C$2:$C$101,MATCH(C1186,Products!$A$2:$A$101,0))</f>
        <v>2</v>
      </c>
      <c r="I1186" s="10" t="str">
        <f>INDEX(Categories!$B$2:$B$11,MATCH(H1186,Categories!$A$2:$A$11,0))</f>
        <v>Office Supplies</v>
      </c>
      <c r="J1186" s="19">
        <f>INDEX(Products!$E$2:$E$101,MATCH(C1186,Products!$A$2:$A$101,0))</f>
        <v>206.12</v>
      </c>
      <c r="K1186" s="19">
        <f t="shared" si="55"/>
        <v>618.36</v>
      </c>
      <c r="L1186" s="19">
        <f t="shared" si="56"/>
        <v>257.30999999999995</v>
      </c>
    </row>
    <row r="1187" spans="1:12" ht="15" customHeight="1" x14ac:dyDescent="0.25">
      <c r="A1187" s="10">
        <v>1186</v>
      </c>
      <c r="B1187" s="10">
        <v>378</v>
      </c>
      <c r="C1187" s="10">
        <v>87</v>
      </c>
      <c r="D1187" s="10">
        <v>10</v>
      </c>
      <c r="E1187" s="19">
        <v>407.7</v>
      </c>
      <c r="F1187" s="10">
        <v>0</v>
      </c>
      <c r="G1187" s="19">
        <f t="shared" si="54"/>
        <v>4077</v>
      </c>
      <c r="H1187" s="10">
        <f>INDEX(Products!$C$2:$C$101,MATCH(C1187,Products!$A$2:$A$101,0))</f>
        <v>9</v>
      </c>
      <c r="I1187" s="10" t="str">
        <f>INDEX(Categories!$B$2:$B$11,MATCH(H1187,Categories!$A$2:$A$11,0))</f>
        <v>Automotive Parts</v>
      </c>
      <c r="J1187" s="19">
        <f>INDEX(Products!$E$2:$E$101,MATCH(C1187,Products!$A$2:$A$101,0))</f>
        <v>225.03</v>
      </c>
      <c r="K1187" s="19">
        <f t="shared" si="55"/>
        <v>2250.3000000000002</v>
      </c>
      <c r="L1187" s="19">
        <f t="shared" si="56"/>
        <v>1826.6999999999998</v>
      </c>
    </row>
    <row r="1188" spans="1:12" ht="15" customHeight="1" x14ac:dyDescent="0.25">
      <c r="A1188" s="10">
        <v>1187</v>
      </c>
      <c r="B1188" s="10">
        <v>378</v>
      </c>
      <c r="C1188" s="10">
        <v>42</v>
      </c>
      <c r="D1188" s="10">
        <v>2</v>
      </c>
      <c r="E1188" s="19">
        <v>370</v>
      </c>
      <c r="F1188" s="10">
        <v>0.15</v>
      </c>
      <c r="G1188" s="19">
        <f t="shared" si="54"/>
        <v>629</v>
      </c>
      <c r="H1188" s="10">
        <f>INDEX(Products!$C$2:$C$101,MATCH(C1188,Products!$A$2:$A$101,0))</f>
        <v>5</v>
      </c>
      <c r="I1188" s="10" t="str">
        <f>INDEX(Categories!$B$2:$B$11,MATCH(H1188,Categories!$A$2:$A$11,0))</f>
        <v>Home &amp; Kitchen</v>
      </c>
      <c r="J1188" s="19">
        <f>INDEX(Products!$E$2:$E$101,MATCH(C1188,Products!$A$2:$A$101,0))</f>
        <v>227.4</v>
      </c>
      <c r="K1188" s="19">
        <f t="shared" si="55"/>
        <v>454.8</v>
      </c>
      <c r="L1188" s="19">
        <f t="shared" si="56"/>
        <v>174.2</v>
      </c>
    </row>
    <row r="1189" spans="1:12" ht="15" customHeight="1" x14ac:dyDescent="0.25">
      <c r="A1189" s="10">
        <v>1188</v>
      </c>
      <c r="B1189" s="10">
        <v>378</v>
      </c>
      <c r="C1189" s="10">
        <v>20</v>
      </c>
      <c r="D1189" s="10">
        <v>9</v>
      </c>
      <c r="E1189" s="19">
        <v>316.14999999999998</v>
      </c>
      <c r="F1189" s="10">
        <v>0.2</v>
      </c>
      <c r="G1189" s="19">
        <f t="shared" si="54"/>
        <v>2276.2800000000002</v>
      </c>
      <c r="H1189" s="10">
        <f>INDEX(Products!$C$2:$C$101,MATCH(C1189,Products!$A$2:$A$101,0))</f>
        <v>2</v>
      </c>
      <c r="I1189" s="10" t="str">
        <f>INDEX(Categories!$B$2:$B$11,MATCH(H1189,Categories!$A$2:$A$11,0))</f>
        <v>Office Supplies</v>
      </c>
      <c r="J1189" s="19">
        <f>INDEX(Products!$E$2:$E$101,MATCH(C1189,Products!$A$2:$A$101,0))</f>
        <v>177.71</v>
      </c>
      <c r="K1189" s="19">
        <f t="shared" si="55"/>
        <v>1599.39</v>
      </c>
      <c r="L1189" s="19">
        <f t="shared" si="56"/>
        <v>676.8900000000001</v>
      </c>
    </row>
    <row r="1190" spans="1:12" ht="15" customHeight="1" x14ac:dyDescent="0.25">
      <c r="A1190" s="10">
        <v>1189</v>
      </c>
      <c r="B1190" s="10">
        <v>378</v>
      </c>
      <c r="C1190" s="10">
        <v>39</v>
      </c>
      <c r="D1190" s="10">
        <v>8</v>
      </c>
      <c r="E1190" s="19">
        <v>42.44</v>
      </c>
      <c r="F1190" s="10">
        <v>0.2</v>
      </c>
      <c r="G1190" s="19">
        <f t="shared" si="54"/>
        <v>271.61599999999999</v>
      </c>
      <c r="H1190" s="10">
        <f>INDEX(Products!$C$2:$C$101,MATCH(C1190,Products!$A$2:$A$101,0))</f>
        <v>4</v>
      </c>
      <c r="I1190" s="10" t="str">
        <f>INDEX(Categories!$B$2:$B$11,MATCH(H1190,Categories!$A$2:$A$11,0))</f>
        <v>Apparel</v>
      </c>
      <c r="J1190" s="19">
        <f>INDEX(Products!$E$2:$E$101,MATCH(C1190,Products!$A$2:$A$101,0))</f>
        <v>21.3</v>
      </c>
      <c r="K1190" s="19">
        <f t="shared" si="55"/>
        <v>170.4</v>
      </c>
      <c r="L1190" s="19">
        <f t="shared" si="56"/>
        <v>101.21599999999998</v>
      </c>
    </row>
    <row r="1191" spans="1:12" ht="15" customHeight="1" x14ac:dyDescent="0.25">
      <c r="A1191" s="10">
        <v>1190</v>
      </c>
      <c r="B1191" s="10">
        <v>378</v>
      </c>
      <c r="C1191" s="10">
        <v>80</v>
      </c>
      <c r="D1191" s="10">
        <v>8</v>
      </c>
      <c r="E1191" s="19">
        <v>292.64999999999998</v>
      </c>
      <c r="F1191" s="10">
        <v>0</v>
      </c>
      <c r="G1191" s="19">
        <f t="shared" si="54"/>
        <v>2341.1999999999998</v>
      </c>
      <c r="H1191" s="10">
        <f>INDEX(Products!$C$2:$C$101,MATCH(C1191,Products!$A$2:$A$101,0))</f>
        <v>8</v>
      </c>
      <c r="I1191" s="10" t="str">
        <f>INDEX(Categories!$B$2:$B$11,MATCH(H1191,Categories!$A$2:$A$11,0))</f>
        <v>Health &amp; Beauty</v>
      </c>
      <c r="J1191" s="19">
        <f>INDEX(Products!$E$2:$E$101,MATCH(C1191,Products!$A$2:$A$101,0))</f>
        <v>218.48</v>
      </c>
      <c r="K1191" s="19">
        <f t="shared" si="55"/>
        <v>1747.84</v>
      </c>
      <c r="L1191" s="19">
        <f t="shared" si="56"/>
        <v>593.3599999999999</v>
      </c>
    </row>
    <row r="1192" spans="1:12" ht="15" customHeight="1" x14ac:dyDescent="0.25">
      <c r="A1192" s="10">
        <v>1191</v>
      </c>
      <c r="B1192" s="10">
        <v>379</v>
      </c>
      <c r="C1192" s="10">
        <v>50</v>
      </c>
      <c r="D1192" s="10">
        <v>8</v>
      </c>
      <c r="E1192" s="19">
        <v>411.05</v>
      </c>
      <c r="F1192" s="10">
        <v>0</v>
      </c>
      <c r="G1192" s="19">
        <f t="shared" si="54"/>
        <v>3288.4</v>
      </c>
      <c r="H1192" s="10">
        <f>INDEX(Products!$C$2:$C$101,MATCH(C1192,Products!$A$2:$A$101,0))</f>
        <v>5</v>
      </c>
      <c r="I1192" s="10" t="str">
        <f>INDEX(Categories!$B$2:$B$11,MATCH(H1192,Categories!$A$2:$A$11,0))</f>
        <v>Home &amp; Kitchen</v>
      </c>
      <c r="J1192" s="19">
        <f>INDEX(Products!$E$2:$E$101,MATCH(C1192,Products!$A$2:$A$101,0))</f>
        <v>230.53</v>
      </c>
      <c r="K1192" s="19">
        <f t="shared" si="55"/>
        <v>1844.24</v>
      </c>
      <c r="L1192" s="19">
        <f t="shared" si="56"/>
        <v>1444.16</v>
      </c>
    </row>
    <row r="1193" spans="1:12" ht="15" customHeight="1" x14ac:dyDescent="0.25">
      <c r="A1193" s="10">
        <v>1192</v>
      </c>
      <c r="B1193" s="10">
        <v>380</v>
      </c>
      <c r="C1193" s="10">
        <v>63</v>
      </c>
      <c r="D1193" s="10">
        <v>3</v>
      </c>
      <c r="E1193" s="19">
        <v>20.190000000000001</v>
      </c>
      <c r="F1193" s="10">
        <v>0</v>
      </c>
      <c r="G1193" s="19">
        <f t="shared" si="54"/>
        <v>60.570000000000007</v>
      </c>
      <c r="H1193" s="10">
        <f>INDEX(Products!$C$2:$C$101,MATCH(C1193,Products!$A$2:$A$101,0))</f>
        <v>7</v>
      </c>
      <c r="I1193" s="10" t="str">
        <f>INDEX(Categories!$B$2:$B$11,MATCH(H1193,Categories!$A$2:$A$11,0))</f>
        <v>Toys &amp; Games</v>
      </c>
      <c r="J1193" s="19">
        <f>INDEX(Products!$E$2:$E$101,MATCH(C1193,Products!$A$2:$A$101,0))</f>
        <v>10.130000000000001</v>
      </c>
      <c r="K1193" s="19">
        <f t="shared" si="55"/>
        <v>30.39</v>
      </c>
      <c r="L1193" s="19">
        <f t="shared" si="56"/>
        <v>30.180000000000007</v>
      </c>
    </row>
    <row r="1194" spans="1:12" ht="15" customHeight="1" x14ac:dyDescent="0.25">
      <c r="A1194" s="10">
        <v>1193</v>
      </c>
      <c r="B1194" s="10">
        <v>380</v>
      </c>
      <c r="C1194" s="10">
        <v>56</v>
      </c>
      <c r="D1194" s="10">
        <v>7</v>
      </c>
      <c r="E1194" s="19">
        <v>440.37</v>
      </c>
      <c r="F1194" s="10">
        <v>0.05</v>
      </c>
      <c r="G1194" s="19">
        <f t="shared" si="54"/>
        <v>2928.4605000000001</v>
      </c>
      <c r="H1194" s="10">
        <f>INDEX(Products!$C$2:$C$101,MATCH(C1194,Products!$A$2:$A$101,0))</f>
        <v>6</v>
      </c>
      <c r="I1194" s="10" t="str">
        <f>INDEX(Categories!$B$2:$B$11,MATCH(H1194,Categories!$A$2:$A$11,0))</f>
        <v>Sporting Goods</v>
      </c>
      <c r="J1194" s="19">
        <f>INDEX(Products!$E$2:$E$101,MATCH(C1194,Products!$A$2:$A$101,0))</f>
        <v>242.36</v>
      </c>
      <c r="K1194" s="19">
        <f t="shared" si="55"/>
        <v>1696.52</v>
      </c>
      <c r="L1194" s="19">
        <f t="shared" si="56"/>
        <v>1231.9405000000002</v>
      </c>
    </row>
    <row r="1195" spans="1:12" ht="15" customHeight="1" x14ac:dyDescent="0.25">
      <c r="A1195" s="10">
        <v>1194</v>
      </c>
      <c r="B1195" s="10">
        <v>381</v>
      </c>
      <c r="C1195" s="10">
        <v>34</v>
      </c>
      <c r="D1195" s="10">
        <v>10</v>
      </c>
      <c r="E1195" s="19">
        <v>339.25</v>
      </c>
      <c r="F1195" s="10">
        <v>0.15</v>
      </c>
      <c r="G1195" s="19">
        <f t="shared" si="54"/>
        <v>2883.625</v>
      </c>
      <c r="H1195" s="10">
        <f>INDEX(Products!$C$2:$C$101,MATCH(C1195,Products!$A$2:$A$101,0))</f>
        <v>4</v>
      </c>
      <c r="I1195" s="10" t="str">
        <f>INDEX(Categories!$B$2:$B$11,MATCH(H1195,Categories!$A$2:$A$11,0))</f>
        <v>Apparel</v>
      </c>
      <c r="J1195" s="19">
        <f>INDEX(Products!$E$2:$E$101,MATCH(C1195,Products!$A$2:$A$101,0))</f>
        <v>208.66</v>
      </c>
      <c r="K1195" s="19">
        <f t="shared" si="55"/>
        <v>2086.6</v>
      </c>
      <c r="L1195" s="19">
        <f t="shared" si="56"/>
        <v>797.02500000000009</v>
      </c>
    </row>
    <row r="1196" spans="1:12" ht="15" customHeight="1" x14ac:dyDescent="0.25">
      <c r="A1196" s="10">
        <v>1195</v>
      </c>
      <c r="B1196" s="10">
        <v>381</v>
      </c>
      <c r="C1196" s="10">
        <v>64</v>
      </c>
      <c r="D1196" s="10">
        <v>6</v>
      </c>
      <c r="E1196" s="19">
        <v>265.25</v>
      </c>
      <c r="F1196" s="10">
        <v>0.2</v>
      </c>
      <c r="G1196" s="19">
        <f t="shared" si="54"/>
        <v>1273.2</v>
      </c>
      <c r="H1196" s="10">
        <f>INDEX(Products!$C$2:$C$101,MATCH(C1196,Products!$A$2:$A$101,0))</f>
        <v>7</v>
      </c>
      <c r="I1196" s="10" t="str">
        <f>INDEX(Categories!$B$2:$B$11,MATCH(H1196,Categories!$A$2:$A$11,0))</f>
        <v>Toys &amp; Games</v>
      </c>
      <c r="J1196" s="19">
        <f>INDEX(Products!$E$2:$E$101,MATCH(C1196,Products!$A$2:$A$101,0))</f>
        <v>139.06</v>
      </c>
      <c r="K1196" s="19">
        <f t="shared" si="55"/>
        <v>834.36</v>
      </c>
      <c r="L1196" s="19">
        <f t="shared" si="56"/>
        <v>438.84000000000003</v>
      </c>
    </row>
    <row r="1197" spans="1:12" ht="15" customHeight="1" x14ac:dyDescent="0.25">
      <c r="A1197" s="10">
        <v>1196</v>
      </c>
      <c r="B1197" s="10">
        <v>381</v>
      </c>
      <c r="C1197" s="10">
        <v>76</v>
      </c>
      <c r="D1197" s="10">
        <v>5</v>
      </c>
      <c r="E1197" s="19">
        <v>390.64</v>
      </c>
      <c r="F1197" s="10">
        <v>0</v>
      </c>
      <c r="G1197" s="19">
        <f t="shared" si="54"/>
        <v>1953.1999999999998</v>
      </c>
      <c r="H1197" s="10">
        <f>INDEX(Products!$C$2:$C$101,MATCH(C1197,Products!$A$2:$A$101,0))</f>
        <v>8</v>
      </c>
      <c r="I1197" s="10" t="str">
        <f>INDEX(Categories!$B$2:$B$11,MATCH(H1197,Categories!$A$2:$A$11,0))</f>
        <v>Health &amp; Beauty</v>
      </c>
      <c r="J1197" s="19">
        <f>INDEX(Products!$E$2:$E$101,MATCH(C1197,Products!$A$2:$A$101,0))</f>
        <v>218.93</v>
      </c>
      <c r="K1197" s="19">
        <f t="shared" si="55"/>
        <v>1094.6500000000001</v>
      </c>
      <c r="L1197" s="19">
        <f t="shared" si="56"/>
        <v>858.54999999999973</v>
      </c>
    </row>
    <row r="1198" spans="1:12" ht="15" customHeight="1" x14ac:dyDescent="0.25">
      <c r="A1198" s="10">
        <v>1197</v>
      </c>
      <c r="B1198" s="10">
        <v>381</v>
      </c>
      <c r="C1198" s="10">
        <v>49</v>
      </c>
      <c r="D1198" s="10">
        <v>1</v>
      </c>
      <c r="E1198" s="19">
        <v>30.6</v>
      </c>
      <c r="F1198" s="10">
        <v>0</v>
      </c>
      <c r="G1198" s="19">
        <f t="shared" si="54"/>
        <v>30.6</v>
      </c>
      <c r="H1198" s="10">
        <f>INDEX(Products!$C$2:$C$101,MATCH(C1198,Products!$A$2:$A$101,0))</f>
        <v>5</v>
      </c>
      <c r="I1198" s="10" t="str">
        <f>INDEX(Categories!$B$2:$B$11,MATCH(H1198,Categories!$A$2:$A$11,0))</f>
        <v>Home &amp; Kitchen</v>
      </c>
      <c r="J1198" s="19">
        <f>INDEX(Products!$E$2:$E$101,MATCH(C1198,Products!$A$2:$A$101,0))</f>
        <v>20.64</v>
      </c>
      <c r="K1198" s="19">
        <f t="shared" si="55"/>
        <v>20.64</v>
      </c>
      <c r="L1198" s="19">
        <f t="shared" si="56"/>
        <v>9.9600000000000009</v>
      </c>
    </row>
    <row r="1199" spans="1:12" ht="15" customHeight="1" x14ac:dyDescent="0.25">
      <c r="A1199" s="10">
        <v>1198</v>
      </c>
      <c r="B1199" s="10">
        <v>382</v>
      </c>
      <c r="C1199" s="10">
        <v>55</v>
      </c>
      <c r="D1199" s="10">
        <v>6</v>
      </c>
      <c r="E1199" s="19">
        <v>378.27</v>
      </c>
      <c r="F1199" s="10">
        <v>0</v>
      </c>
      <c r="G1199" s="19">
        <f t="shared" si="54"/>
        <v>2269.62</v>
      </c>
      <c r="H1199" s="10">
        <f>INDEX(Products!$C$2:$C$101,MATCH(C1199,Products!$A$2:$A$101,0))</f>
        <v>6</v>
      </c>
      <c r="I1199" s="10" t="str">
        <f>INDEX(Categories!$B$2:$B$11,MATCH(H1199,Categories!$A$2:$A$11,0))</f>
        <v>Sporting Goods</v>
      </c>
      <c r="J1199" s="19">
        <f>INDEX(Products!$E$2:$E$101,MATCH(C1199,Products!$A$2:$A$101,0))</f>
        <v>163.92</v>
      </c>
      <c r="K1199" s="19">
        <f t="shared" si="55"/>
        <v>983.52</v>
      </c>
      <c r="L1199" s="19">
        <f t="shared" si="56"/>
        <v>1286.0999999999999</v>
      </c>
    </row>
    <row r="1200" spans="1:12" ht="15" customHeight="1" x14ac:dyDescent="0.25">
      <c r="A1200" s="10">
        <v>1199</v>
      </c>
      <c r="B1200" s="10">
        <v>383</v>
      </c>
      <c r="C1200" s="10">
        <v>89</v>
      </c>
      <c r="D1200" s="10">
        <v>2</v>
      </c>
      <c r="E1200" s="19">
        <v>312.76</v>
      </c>
      <c r="F1200" s="10">
        <v>0.2</v>
      </c>
      <c r="G1200" s="19">
        <f t="shared" si="54"/>
        <v>500.416</v>
      </c>
      <c r="H1200" s="10">
        <f>INDEX(Products!$C$2:$C$101,MATCH(C1200,Products!$A$2:$A$101,0))</f>
        <v>9</v>
      </c>
      <c r="I1200" s="10" t="str">
        <f>INDEX(Categories!$B$2:$B$11,MATCH(H1200,Categories!$A$2:$A$11,0))</f>
        <v>Automotive Parts</v>
      </c>
      <c r="J1200" s="19">
        <f>INDEX(Products!$E$2:$E$101,MATCH(C1200,Products!$A$2:$A$101,0))</f>
        <v>173.51</v>
      </c>
      <c r="K1200" s="19">
        <f t="shared" si="55"/>
        <v>347.02</v>
      </c>
      <c r="L1200" s="19">
        <f t="shared" si="56"/>
        <v>153.39600000000002</v>
      </c>
    </row>
    <row r="1201" spans="1:12" ht="15" customHeight="1" x14ac:dyDescent="0.25">
      <c r="A1201" s="10">
        <v>1200</v>
      </c>
      <c r="B1201" s="10">
        <v>384</v>
      </c>
      <c r="C1201" s="10">
        <v>85</v>
      </c>
      <c r="D1201" s="10">
        <v>7</v>
      </c>
      <c r="E1201" s="19">
        <v>264.20999999999998</v>
      </c>
      <c r="F1201" s="10">
        <v>0</v>
      </c>
      <c r="G1201" s="19">
        <f t="shared" si="54"/>
        <v>1849.4699999999998</v>
      </c>
      <c r="H1201" s="10">
        <f>INDEX(Products!$C$2:$C$101,MATCH(C1201,Products!$A$2:$A$101,0))</f>
        <v>9</v>
      </c>
      <c r="I1201" s="10" t="str">
        <f>INDEX(Categories!$B$2:$B$11,MATCH(H1201,Categories!$A$2:$A$11,0))</f>
        <v>Automotive Parts</v>
      </c>
      <c r="J1201" s="19">
        <f>INDEX(Products!$E$2:$E$101,MATCH(C1201,Products!$A$2:$A$101,0))</f>
        <v>153.54</v>
      </c>
      <c r="K1201" s="19">
        <f t="shared" si="55"/>
        <v>1074.78</v>
      </c>
      <c r="L1201" s="19">
        <f t="shared" si="56"/>
        <v>774.68999999999983</v>
      </c>
    </row>
    <row r="1202" spans="1:12" ht="15" customHeight="1" x14ac:dyDescent="0.25">
      <c r="A1202" s="10">
        <v>1201</v>
      </c>
      <c r="B1202" s="10">
        <v>384</v>
      </c>
      <c r="C1202" s="10">
        <v>55</v>
      </c>
      <c r="D1202" s="10">
        <v>1</v>
      </c>
      <c r="E1202" s="19">
        <v>378.27</v>
      </c>
      <c r="F1202" s="10">
        <v>0.15</v>
      </c>
      <c r="G1202" s="19">
        <f t="shared" si="54"/>
        <v>321.52949999999998</v>
      </c>
      <c r="H1202" s="10">
        <f>INDEX(Products!$C$2:$C$101,MATCH(C1202,Products!$A$2:$A$101,0))</f>
        <v>6</v>
      </c>
      <c r="I1202" s="10" t="str">
        <f>INDEX(Categories!$B$2:$B$11,MATCH(H1202,Categories!$A$2:$A$11,0))</f>
        <v>Sporting Goods</v>
      </c>
      <c r="J1202" s="19">
        <f>INDEX(Products!$E$2:$E$101,MATCH(C1202,Products!$A$2:$A$101,0))</f>
        <v>163.92</v>
      </c>
      <c r="K1202" s="19">
        <f t="shared" si="55"/>
        <v>163.92</v>
      </c>
      <c r="L1202" s="19">
        <f t="shared" si="56"/>
        <v>157.6095</v>
      </c>
    </row>
    <row r="1203" spans="1:12" ht="15" customHeight="1" x14ac:dyDescent="0.25">
      <c r="A1203" s="10">
        <v>1202</v>
      </c>
      <c r="B1203" s="10">
        <v>384</v>
      </c>
      <c r="C1203" s="10">
        <v>73</v>
      </c>
      <c r="D1203" s="10">
        <v>8</v>
      </c>
      <c r="E1203" s="19">
        <v>375.67</v>
      </c>
      <c r="F1203" s="10">
        <v>0.1</v>
      </c>
      <c r="G1203" s="19">
        <f t="shared" si="54"/>
        <v>2704.8240000000001</v>
      </c>
      <c r="H1203" s="10">
        <f>INDEX(Products!$C$2:$C$101,MATCH(C1203,Products!$A$2:$A$101,0))</f>
        <v>8</v>
      </c>
      <c r="I1203" s="10" t="str">
        <f>INDEX(Categories!$B$2:$B$11,MATCH(H1203,Categories!$A$2:$A$11,0))</f>
        <v>Health &amp; Beauty</v>
      </c>
      <c r="J1203" s="19">
        <f>INDEX(Products!$E$2:$E$101,MATCH(C1203,Products!$A$2:$A$101,0))</f>
        <v>214.44</v>
      </c>
      <c r="K1203" s="19">
        <f t="shared" si="55"/>
        <v>1715.52</v>
      </c>
      <c r="L1203" s="19">
        <f t="shared" si="56"/>
        <v>989.30400000000009</v>
      </c>
    </row>
    <row r="1204" spans="1:12" ht="15" customHeight="1" x14ac:dyDescent="0.25">
      <c r="A1204" s="10">
        <v>1203</v>
      </c>
      <c r="B1204" s="10">
        <v>384</v>
      </c>
      <c r="C1204" s="10">
        <v>66</v>
      </c>
      <c r="D1204" s="10">
        <v>1</v>
      </c>
      <c r="E1204" s="19">
        <v>155.88</v>
      </c>
      <c r="F1204" s="10">
        <v>0</v>
      </c>
      <c r="G1204" s="19">
        <f t="shared" si="54"/>
        <v>155.88</v>
      </c>
      <c r="H1204" s="10">
        <f>INDEX(Products!$C$2:$C$101,MATCH(C1204,Products!$A$2:$A$101,0))</f>
        <v>7</v>
      </c>
      <c r="I1204" s="10" t="str">
        <f>INDEX(Categories!$B$2:$B$11,MATCH(H1204,Categories!$A$2:$A$11,0))</f>
        <v>Toys &amp; Games</v>
      </c>
      <c r="J1204" s="19">
        <f>INDEX(Products!$E$2:$E$101,MATCH(C1204,Products!$A$2:$A$101,0))</f>
        <v>75.09</v>
      </c>
      <c r="K1204" s="19">
        <f t="shared" si="55"/>
        <v>75.09</v>
      </c>
      <c r="L1204" s="19">
        <f t="shared" si="56"/>
        <v>80.789999999999992</v>
      </c>
    </row>
    <row r="1205" spans="1:12" ht="15" customHeight="1" x14ac:dyDescent="0.25">
      <c r="A1205" s="10">
        <v>1204</v>
      </c>
      <c r="B1205" s="10">
        <v>385</v>
      </c>
      <c r="C1205" s="10">
        <v>65</v>
      </c>
      <c r="D1205" s="10">
        <v>3</v>
      </c>
      <c r="E1205" s="19">
        <v>167.19</v>
      </c>
      <c r="F1205" s="10">
        <v>0.1</v>
      </c>
      <c r="G1205" s="19">
        <f t="shared" si="54"/>
        <v>451.41300000000001</v>
      </c>
      <c r="H1205" s="10">
        <f>INDEX(Products!$C$2:$C$101,MATCH(C1205,Products!$A$2:$A$101,0))</f>
        <v>7</v>
      </c>
      <c r="I1205" s="10" t="str">
        <f>INDEX(Categories!$B$2:$B$11,MATCH(H1205,Categories!$A$2:$A$11,0))</f>
        <v>Toys &amp; Games</v>
      </c>
      <c r="J1205" s="19">
        <f>INDEX(Products!$E$2:$E$101,MATCH(C1205,Products!$A$2:$A$101,0))</f>
        <v>116.98</v>
      </c>
      <c r="K1205" s="19">
        <f t="shared" si="55"/>
        <v>350.94</v>
      </c>
      <c r="L1205" s="19">
        <f t="shared" si="56"/>
        <v>100.47300000000001</v>
      </c>
    </row>
    <row r="1206" spans="1:12" ht="15" customHeight="1" x14ac:dyDescent="0.25">
      <c r="A1206" s="10">
        <v>1205</v>
      </c>
      <c r="B1206" s="10">
        <v>385</v>
      </c>
      <c r="C1206" s="10">
        <v>98</v>
      </c>
      <c r="D1206" s="10">
        <v>5</v>
      </c>
      <c r="E1206" s="19">
        <v>67.48</v>
      </c>
      <c r="F1206" s="10">
        <v>0</v>
      </c>
      <c r="G1206" s="19">
        <f t="shared" si="54"/>
        <v>337.40000000000003</v>
      </c>
      <c r="H1206" s="10">
        <f>INDEX(Products!$C$2:$C$101,MATCH(C1206,Products!$A$2:$A$101,0))</f>
        <v>10</v>
      </c>
      <c r="I1206" s="10" t="str">
        <f>INDEX(Categories!$B$2:$B$11,MATCH(H1206,Categories!$A$2:$A$11,0))</f>
        <v>Groceries</v>
      </c>
      <c r="J1206" s="19">
        <f>INDEX(Products!$E$2:$E$101,MATCH(C1206,Products!$A$2:$A$101,0))</f>
        <v>35.64</v>
      </c>
      <c r="K1206" s="19">
        <f t="shared" si="55"/>
        <v>178.2</v>
      </c>
      <c r="L1206" s="19">
        <f t="shared" si="56"/>
        <v>159.20000000000005</v>
      </c>
    </row>
    <row r="1207" spans="1:12" ht="15" customHeight="1" x14ac:dyDescent="0.25">
      <c r="A1207" s="10">
        <v>1206</v>
      </c>
      <c r="B1207" s="10">
        <v>385</v>
      </c>
      <c r="C1207" s="10">
        <v>86</v>
      </c>
      <c r="D1207" s="10">
        <v>7</v>
      </c>
      <c r="E1207" s="19">
        <v>69.31</v>
      </c>
      <c r="F1207" s="10">
        <v>0</v>
      </c>
      <c r="G1207" s="19">
        <f t="shared" si="54"/>
        <v>485.17</v>
      </c>
      <c r="H1207" s="10">
        <f>INDEX(Products!$C$2:$C$101,MATCH(C1207,Products!$A$2:$A$101,0))</f>
        <v>9</v>
      </c>
      <c r="I1207" s="10" t="str">
        <f>INDEX(Categories!$B$2:$B$11,MATCH(H1207,Categories!$A$2:$A$11,0))</f>
        <v>Automotive Parts</v>
      </c>
      <c r="J1207" s="19">
        <f>INDEX(Products!$E$2:$E$101,MATCH(C1207,Products!$A$2:$A$101,0))</f>
        <v>38.35</v>
      </c>
      <c r="K1207" s="19">
        <f t="shared" si="55"/>
        <v>268.45</v>
      </c>
      <c r="L1207" s="19">
        <f t="shared" si="56"/>
        <v>216.72000000000003</v>
      </c>
    </row>
    <row r="1208" spans="1:12" ht="15" customHeight="1" x14ac:dyDescent="0.25">
      <c r="A1208" s="10">
        <v>1207</v>
      </c>
      <c r="B1208" s="10">
        <v>385</v>
      </c>
      <c r="C1208" s="10">
        <v>44</v>
      </c>
      <c r="D1208" s="10">
        <v>8</v>
      </c>
      <c r="E1208" s="19">
        <v>111.7</v>
      </c>
      <c r="F1208" s="10">
        <v>0.15</v>
      </c>
      <c r="G1208" s="19">
        <f t="shared" si="54"/>
        <v>759.56</v>
      </c>
      <c r="H1208" s="10">
        <f>INDEX(Products!$C$2:$C$101,MATCH(C1208,Products!$A$2:$A$101,0))</f>
        <v>5</v>
      </c>
      <c r="I1208" s="10" t="str">
        <f>INDEX(Categories!$B$2:$B$11,MATCH(H1208,Categories!$A$2:$A$11,0))</f>
        <v>Home &amp; Kitchen</v>
      </c>
      <c r="J1208" s="19">
        <f>INDEX(Products!$E$2:$E$101,MATCH(C1208,Products!$A$2:$A$101,0))</f>
        <v>55.12</v>
      </c>
      <c r="K1208" s="19">
        <f t="shared" si="55"/>
        <v>440.96</v>
      </c>
      <c r="L1208" s="19">
        <f t="shared" si="56"/>
        <v>318.59999999999997</v>
      </c>
    </row>
    <row r="1209" spans="1:12" ht="15" customHeight="1" x14ac:dyDescent="0.25">
      <c r="A1209" s="10">
        <v>1208</v>
      </c>
      <c r="B1209" s="10">
        <v>386</v>
      </c>
      <c r="C1209" s="10">
        <v>80</v>
      </c>
      <c r="D1209" s="10">
        <v>2</v>
      </c>
      <c r="E1209" s="19">
        <v>292.64999999999998</v>
      </c>
      <c r="F1209" s="10">
        <v>0.15</v>
      </c>
      <c r="G1209" s="19">
        <f t="shared" si="54"/>
        <v>497.50499999999994</v>
      </c>
      <c r="H1209" s="10">
        <f>INDEX(Products!$C$2:$C$101,MATCH(C1209,Products!$A$2:$A$101,0))</f>
        <v>8</v>
      </c>
      <c r="I1209" s="10" t="str">
        <f>INDEX(Categories!$B$2:$B$11,MATCH(H1209,Categories!$A$2:$A$11,0))</f>
        <v>Health &amp; Beauty</v>
      </c>
      <c r="J1209" s="19">
        <f>INDEX(Products!$E$2:$E$101,MATCH(C1209,Products!$A$2:$A$101,0))</f>
        <v>218.48</v>
      </c>
      <c r="K1209" s="19">
        <f t="shared" si="55"/>
        <v>436.96</v>
      </c>
      <c r="L1209" s="19">
        <f t="shared" si="56"/>
        <v>60.544999999999959</v>
      </c>
    </row>
    <row r="1210" spans="1:12" ht="15" customHeight="1" x14ac:dyDescent="0.25">
      <c r="A1210" s="10">
        <v>1209</v>
      </c>
      <c r="B1210" s="10">
        <v>386</v>
      </c>
      <c r="C1210" s="10">
        <v>96</v>
      </c>
      <c r="D1210" s="10">
        <v>10</v>
      </c>
      <c r="E1210" s="19">
        <v>266.72000000000003</v>
      </c>
      <c r="F1210" s="10">
        <v>0</v>
      </c>
      <c r="G1210" s="19">
        <f t="shared" si="54"/>
        <v>2667.2000000000003</v>
      </c>
      <c r="H1210" s="10">
        <f>INDEX(Products!$C$2:$C$101,MATCH(C1210,Products!$A$2:$A$101,0))</f>
        <v>10</v>
      </c>
      <c r="I1210" s="10" t="str">
        <f>INDEX(Categories!$B$2:$B$11,MATCH(H1210,Categories!$A$2:$A$11,0))</f>
        <v>Groceries</v>
      </c>
      <c r="J1210" s="19">
        <f>INDEX(Products!$E$2:$E$101,MATCH(C1210,Products!$A$2:$A$101,0))</f>
        <v>162.65</v>
      </c>
      <c r="K1210" s="19">
        <f t="shared" si="55"/>
        <v>1626.5</v>
      </c>
      <c r="L1210" s="19">
        <f t="shared" si="56"/>
        <v>1040.7000000000003</v>
      </c>
    </row>
    <row r="1211" spans="1:12" ht="15" customHeight="1" x14ac:dyDescent="0.25">
      <c r="A1211" s="10">
        <v>1210</v>
      </c>
      <c r="B1211" s="10">
        <v>387</v>
      </c>
      <c r="C1211" s="10">
        <v>10</v>
      </c>
      <c r="D1211" s="10">
        <v>9</v>
      </c>
      <c r="E1211" s="19">
        <v>395.24</v>
      </c>
      <c r="F1211" s="10">
        <v>0.2</v>
      </c>
      <c r="G1211" s="19">
        <f t="shared" si="54"/>
        <v>2845.7280000000001</v>
      </c>
      <c r="H1211" s="10">
        <f>INDEX(Products!$C$2:$C$101,MATCH(C1211,Products!$A$2:$A$101,0))</f>
        <v>1</v>
      </c>
      <c r="I1211" s="10" t="str">
        <f>INDEX(Categories!$B$2:$B$11,MATCH(H1211,Categories!$A$2:$A$11,0))</f>
        <v>Electronics</v>
      </c>
      <c r="J1211" s="19">
        <f>INDEX(Products!$E$2:$E$101,MATCH(C1211,Products!$A$2:$A$101,0))</f>
        <v>195.96</v>
      </c>
      <c r="K1211" s="19">
        <f t="shared" si="55"/>
        <v>1763.64</v>
      </c>
      <c r="L1211" s="19">
        <f t="shared" si="56"/>
        <v>1082.088</v>
      </c>
    </row>
    <row r="1212" spans="1:12" ht="15" customHeight="1" x14ac:dyDescent="0.25">
      <c r="A1212" s="10">
        <v>1211</v>
      </c>
      <c r="B1212" s="10">
        <v>387</v>
      </c>
      <c r="C1212" s="10">
        <v>84</v>
      </c>
      <c r="D1212" s="10">
        <v>5</v>
      </c>
      <c r="E1212" s="19">
        <v>258</v>
      </c>
      <c r="F1212" s="10">
        <v>0.05</v>
      </c>
      <c r="G1212" s="19">
        <f t="shared" si="54"/>
        <v>1225.5</v>
      </c>
      <c r="H1212" s="10">
        <f>INDEX(Products!$C$2:$C$101,MATCH(C1212,Products!$A$2:$A$101,0))</f>
        <v>9</v>
      </c>
      <c r="I1212" s="10" t="str">
        <f>INDEX(Categories!$B$2:$B$11,MATCH(H1212,Categories!$A$2:$A$11,0))</f>
        <v>Automotive Parts</v>
      </c>
      <c r="J1212" s="19">
        <f>INDEX(Products!$E$2:$E$101,MATCH(C1212,Products!$A$2:$A$101,0))</f>
        <v>134.19999999999999</v>
      </c>
      <c r="K1212" s="19">
        <f t="shared" si="55"/>
        <v>671</v>
      </c>
      <c r="L1212" s="19">
        <f t="shared" si="56"/>
        <v>554.5</v>
      </c>
    </row>
    <row r="1213" spans="1:12" ht="15" customHeight="1" x14ac:dyDescent="0.25">
      <c r="A1213" s="10">
        <v>1212</v>
      </c>
      <c r="B1213" s="10">
        <v>387</v>
      </c>
      <c r="C1213" s="10">
        <v>39</v>
      </c>
      <c r="D1213" s="10">
        <v>9</v>
      </c>
      <c r="E1213" s="19">
        <v>42.44</v>
      </c>
      <c r="F1213" s="10">
        <v>0</v>
      </c>
      <c r="G1213" s="19">
        <f t="shared" si="54"/>
        <v>381.96</v>
      </c>
      <c r="H1213" s="10">
        <f>INDEX(Products!$C$2:$C$101,MATCH(C1213,Products!$A$2:$A$101,0))</f>
        <v>4</v>
      </c>
      <c r="I1213" s="10" t="str">
        <f>INDEX(Categories!$B$2:$B$11,MATCH(H1213,Categories!$A$2:$A$11,0))</f>
        <v>Apparel</v>
      </c>
      <c r="J1213" s="19">
        <f>INDEX(Products!$E$2:$E$101,MATCH(C1213,Products!$A$2:$A$101,0))</f>
        <v>21.3</v>
      </c>
      <c r="K1213" s="19">
        <f t="shared" si="55"/>
        <v>191.70000000000002</v>
      </c>
      <c r="L1213" s="19">
        <f t="shared" si="56"/>
        <v>190.25999999999996</v>
      </c>
    </row>
    <row r="1214" spans="1:12" ht="15" customHeight="1" x14ac:dyDescent="0.25">
      <c r="A1214" s="10">
        <v>1213</v>
      </c>
      <c r="B1214" s="10">
        <v>388</v>
      </c>
      <c r="C1214" s="10">
        <v>64</v>
      </c>
      <c r="D1214" s="10">
        <v>5</v>
      </c>
      <c r="E1214" s="19">
        <v>265.25</v>
      </c>
      <c r="F1214" s="10">
        <v>0.15</v>
      </c>
      <c r="G1214" s="19">
        <f t="shared" si="54"/>
        <v>1127.3125</v>
      </c>
      <c r="H1214" s="10">
        <f>INDEX(Products!$C$2:$C$101,MATCH(C1214,Products!$A$2:$A$101,0))</f>
        <v>7</v>
      </c>
      <c r="I1214" s="10" t="str">
        <f>INDEX(Categories!$B$2:$B$11,MATCH(H1214,Categories!$A$2:$A$11,0))</f>
        <v>Toys &amp; Games</v>
      </c>
      <c r="J1214" s="19">
        <f>INDEX(Products!$E$2:$E$101,MATCH(C1214,Products!$A$2:$A$101,0))</f>
        <v>139.06</v>
      </c>
      <c r="K1214" s="19">
        <f t="shared" si="55"/>
        <v>695.3</v>
      </c>
      <c r="L1214" s="19">
        <f t="shared" si="56"/>
        <v>432.01250000000005</v>
      </c>
    </row>
    <row r="1215" spans="1:12" ht="15" customHeight="1" x14ac:dyDescent="0.25">
      <c r="A1215" s="10">
        <v>1214</v>
      </c>
      <c r="B1215" s="10">
        <v>388</v>
      </c>
      <c r="C1215" s="10">
        <v>28</v>
      </c>
      <c r="D1215" s="10">
        <v>9</v>
      </c>
      <c r="E1215" s="19">
        <v>149.97</v>
      </c>
      <c r="F1215" s="10">
        <v>0.2</v>
      </c>
      <c r="G1215" s="19">
        <f t="shared" si="54"/>
        <v>1079.7840000000001</v>
      </c>
      <c r="H1215" s="10">
        <f>INDEX(Products!$C$2:$C$101,MATCH(C1215,Products!$A$2:$A$101,0))</f>
        <v>3</v>
      </c>
      <c r="I1215" s="10" t="str">
        <f>INDEX(Categories!$B$2:$B$11,MATCH(H1215,Categories!$A$2:$A$11,0))</f>
        <v>Furniture</v>
      </c>
      <c r="J1215" s="19">
        <f>INDEX(Products!$E$2:$E$101,MATCH(C1215,Products!$A$2:$A$101,0))</f>
        <v>113.7</v>
      </c>
      <c r="K1215" s="19">
        <f t="shared" si="55"/>
        <v>1023.3000000000001</v>
      </c>
      <c r="L1215" s="19">
        <f t="shared" si="56"/>
        <v>56.484000000000037</v>
      </c>
    </row>
    <row r="1216" spans="1:12" ht="15" customHeight="1" x14ac:dyDescent="0.25">
      <c r="A1216" s="10">
        <v>1215</v>
      </c>
      <c r="B1216" s="10">
        <v>388</v>
      </c>
      <c r="C1216" s="10">
        <v>85</v>
      </c>
      <c r="D1216" s="10">
        <v>10</v>
      </c>
      <c r="E1216" s="19">
        <v>264.20999999999998</v>
      </c>
      <c r="F1216" s="10">
        <v>0.2</v>
      </c>
      <c r="G1216" s="19">
        <f t="shared" si="54"/>
        <v>2113.6799999999998</v>
      </c>
      <c r="H1216" s="10">
        <f>INDEX(Products!$C$2:$C$101,MATCH(C1216,Products!$A$2:$A$101,0))</f>
        <v>9</v>
      </c>
      <c r="I1216" s="10" t="str">
        <f>INDEX(Categories!$B$2:$B$11,MATCH(H1216,Categories!$A$2:$A$11,0))</f>
        <v>Automotive Parts</v>
      </c>
      <c r="J1216" s="19">
        <f>INDEX(Products!$E$2:$E$101,MATCH(C1216,Products!$A$2:$A$101,0))</f>
        <v>153.54</v>
      </c>
      <c r="K1216" s="19">
        <f t="shared" si="55"/>
        <v>1535.3999999999999</v>
      </c>
      <c r="L1216" s="19">
        <f t="shared" si="56"/>
        <v>578.28</v>
      </c>
    </row>
    <row r="1217" spans="1:12" ht="15" customHeight="1" x14ac:dyDescent="0.25">
      <c r="A1217" s="10">
        <v>1216</v>
      </c>
      <c r="B1217" s="10">
        <v>388</v>
      </c>
      <c r="C1217" s="10">
        <v>96</v>
      </c>
      <c r="D1217" s="10">
        <v>7</v>
      </c>
      <c r="E1217" s="19">
        <v>266.72000000000003</v>
      </c>
      <c r="F1217" s="10">
        <v>0.1</v>
      </c>
      <c r="G1217" s="19">
        <f t="shared" si="54"/>
        <v>1680.3360000000002</v>
      </c>
      <c r="H1217" s="10">
        <f>INDEX(Products!$C$2:$C$101,MATCH(C1217,Products!$A$2:$A$101,0))</f>
        <v>10</v>
      </c>
      <c r="I1217" s="10" t="str">
        <f>INDEX(Categories!$B$2:$B$11,MATCH(H1217,Categories!$A$2:$A$11,0))</f>
        <v>Groceries</v>
      </c>
      <c r="J1217" s="19">
        <f>INDEX(Products!$E$2:$E$101,MATCH(C1217,Products!$A$2:$A$101,0))</f>
        <v>162.65</v>
      </c>
      <c r="K1217" s="19">
        <f t="shared" si="55"/>
        <v>1138.55</v>
      </c>
      <c r="L1217" s="19">
        <f t="shared" si="56"/>
        <v>541.78600000000029</v>
      </c>
    </row>
    <row r="1218" spans="1:12" ht="15" customHeight="1" x14ac:dyDescent="0.25">
      <c r="A1218" s="10">
        <v>1217</v>
      </c>
      <c r="B1218" s="10">
        <v>388</v>
      </c>
      <c r="C1218" s="10">
        <v>60</v>
      </c>
      <c r="D1218" s="10">
        <v>1</v>
      </c>
      <c r="E1218" s="19">
        <v>313.82</v>
      </c>
      <c r="F1218" s="10">
        <v>0.1</v>
      </c>
      <c r="G1218" s="19">
        <f t="shared" ref="G1218:G1281" si="57">D1218*E1218*(1-F1218)</f>
        <v>282.43799999999999</v>
      </c>
      <c r="H1218" s="10">
        <f>INDEX(Products!$C$2:$C$101,MATCH(C1218,Products!$A$2:$A$101,0))</f>
        <v>6</v>
      </c>
      <c r="I1218" s="10" t="str">
        <f>INDEX(Categories!$B$2:$B$11,MATCH(H1218,Categories!$A$2:$A$11,0))</f>
        <v>Sporting Goods</v>
      </c>
      <c r="J1218" s="19">
        <f>INDEX(Products!$E$2:$E$101,MATCH(C1218,Products!$A$2:$A$101,0))</f>
        <v>165.44</v>
      </c>
      <c r="K1218" s="19">
        <f t="shared" ref="K1218:K1281" si="58">D1218*J1218</f>
        <v>165.44</v>
      </c>
      <c r="L1218" s="19">
        <f t="shared" ref="L1218:L1281" si="59">G1218-K1218</f>
        <v>116.99799999999999</v>
      </c>
    </row>
    <row r="1219" spans="1:12" ht="15" customHeight="1" x14ac:dyDescent="0.25">
      <c r="A1219" s="10">
        <v>1218</v>
      </c>
      <c r="B1219" s="10">
        <v>389</v>
      </c>
      <c r="C1219" s="10">
        <v>41</v>
      </c>
      <c r="D1219" s="10">
        <v>7</v>
      </c>
      <c r="E1219" s="19">
        <v>331.46</v>
      </c>
      <c r="F1219" s="10">
        <v>0</v>
      </c>
      <c r="G1219" s="19">
        <f t="shared" si="57"/>
        <v>2320.2199999999998</v>
      </c>
      <c r="H1219" s="10">
        <f>INDEX(Products!$C$2:$C$101,MATCH(C1219,Products!$A$2:$A$101,0))</f>
        <v>5</v>
      </c>
      <c r="I1219" s="10" t="str">
        <f>INDEX(Categories!$B$2:$B$11,MATCH(H1219,Categories!$A$2:$A$11,0))</f>
        <v>Home &amp; Kitchen</v>
      </c>
      <c r="J1219" s="19">
        <f>INDEX(Products!$E$2:$E$101,MATCH(C1219,Products!$A$2:$A$101,0))</f>
        <v>152.76</v>
      </c>
      <c r="K1219" s="19">
        <f t="shared" si="58"/>
        <v>1069.32</v>
      </c>
      <c r="L1219" s="19">
        <f t="shared" si="59"/>
        <v>1250.8999999999999</v>
      </c>
    </row>
    <row r="1220" spans="1:12" ht="15" customHeight="1" x14ac:dyDescent="0.25">
      <c r="A1220" s="10">
        <v>1219</v>
      </c>
      <c r="B1220" s="10">
        <v>389</v>
      </c>
      <c r="C1220" s="10">
        <v>9</v>
      </c>
      <c r="D1220" s="10">
        <v>5</v>
      </c>
      <c r="E1220" s="19">
        <v>255.18</v>
      </c>
      <c r="F1220" s="10">
        <v>0.15</v>
      </c>
      <c r="G1220" s="19">
        <f t="shared" si="57"/>
        <v>1084.5150000000001</v>
      </c>
      <c r="H1220" s="10">
        <f>INDEX(Products!$C$2:$C$101,MATCH(C1220,Products!$A$2:$A$101,0))</f>
        <v>1</v>
      </c>
      <c r="I1220" s="10" t="str">
        <f>INDEX(Categories!$B$2:$B$11,MATCH(H1220,Categories!$A$2:$A$11,0))</f>
        <v>Electronics</v>
      </c>
      <c r="J1220" s="19">
        <f>INDEX(Products!$E$2:$E$101,MATCH(C1220,Products!$A$2:$A$101,0))</f>
        <v>188.01</v>
      </c>
      <c r="K1220" s="19">
        <f t="shared" si="58"/>
        <v>940.05</v>
      </c>
      <c r="L1220" s="19">
        <f t="shared" si="59"/>
        <v>144.46500000000015</v>
      </c>
    </row>
    <row r="1221" spans="1:12" ht="15" customHeight="1" x14ac:dyDescent="0.25">
      <c r="A1221" s="10">
        <v>1220</v>
      </c>
      <c r="B1221" s="10">
        <v>389</v>
      </c>
      <c r="C1221" s="10">
        <v>82</v>
      </c>
      <c r="D1221" s="10">
        <v>3</v>
      </c>
      <c r="E1221" s="19">
        <v>390.74</v>
      </c>
      <c r="F1221" s="10">
        <v>0</v>
      </c>
      <c r="G1221" s="19">
        <f t="shared" si="57"/>
        <v>1172.22</v>
      </c>
      <c r="H1221" s="10">
        <f>INDEX(Products!$C$2:$C$101,MATCH(C1221,Products!$A$2:$A$101,0))</f>
        <v>9</v>
      </c>
      <c r="I1221" s="10" t="str">
        <f>INDEX(Categories!$B$2:$B$11,MATCH(H1221,Categories!$A$2:$A$11,0))</f>
        <v>Automotive Parts</v>
      </c>
      <c r="J1221" s="19">
        <f>INDEX(Products!$E$2:$E$101,MATCH(C1221,Products!$A$2:$A$101,0))</f>
        <v>218.53</v>
      </c>
      <c r="K1221" s="19">
        <f t="shared" si="58"/>
        <v>655.59</v>
      </c>
      <c r="L1221" s="19">
        <f t="shared" si="59"/>
        <v>516.63</v>
      </c>
    </row>
    <row r="1222" spans="1:12" ht="15" customHeight="1" x14ac:dyDescent="0.25">
      <c r="A1222" s="10">
        <v>1221</v>
      </c>
      <c r="B1222" s="10">
        <v>389</v>
      </c>
      <c r="C1222" s="10">
        <v>27</v>
      </c>
      <c r="D1222" s="10">
        <v>10</v>
      </c>
      <c r="E1222" s="19">
        <v>263.93</v>
      </c>
      <c r="F1222" s="10">
        <v>0</v>
      </c>
      <c r="G1222" s="19">
        <f t="shared" si="57"/>
        <v>2639.3</v>
      </c>
      <c r="H1222" s="10">
        <f>INDEX(Products!$C$2:$C$101,MATCH(C1222,Products!$A$2:$A$101,0))</f>
        <v>3</v>
      </c>
      <c r="I1222" s="10" t="str">
        <f>INDEX(Categories!$B$2:$B$11,MATCH(H1222,Categories!$A$2:$A$11,0))</f>
        <v>Furniture</v>
      </c>
      <c r="J1222" s="19">
        <f>INDEX(Products!$E$2:$E$101,MATCH(C1222,Products!$A$2:$A$101,0))</f>
        <v>123.68</v>
      </c>
      <c r="K1222" s="19">
        <f t="shared" si="58"/>
        <v>1236.8000000000002</v>
      </c>
      <c r="L1222" s="19">
        <f t="shared" si="59"/>
        <v>1402.5</v>
      </c>
    </row>
    <row r="1223" spans="1:12" ht="15" customHeight="1" x14ac:dyDescent="0.25">
      <c r="A1223" s="10">
        <v>1222</v>
      </c>
      <c r="B1223" s="10">
        <v>390</v>
      </c>
      <c r="C1223" s="10">
        <v>63</v>
      </c>
      <c r="D1223" s="10">
        <v>1</v>
      </c>
      <c r="E1223" s="19">
        <v>20.190000000000001</v>
      </c>
      <c r="F1223" s="10">
        <v>0</v>
      </c>
      <c r="G1223" s="19">
        <f t="shared" si="57"/>
        <v>20.190000000000001</v>
      </c>
      <c r="H1223" s="10">
        <f>INDEX(Products!$C$2:$C$101,MATCH(C1223,Products!$A$2:$A$101,0))</f>
        <v>7</v>
      </c>
      <c r="I1223" s="10" t="str">
        <f>INDEX(Categories!$B$2:$B$11,MATCH(H1223,Categories!$A$2:$A$11,0))</f>
        <v>Toys &amp; Games</v>
      </c>
      <c r="J1223" s="19">
        <f>INDEX(Products!$E$2:$E$101,MATCH(C1223,Products!$A$2:$A$101,0))</f>
        <v>10.130000000000001</v>
      </c>
      <c r="K1223" s="19">
        <f t="shared" si="58"/>
        <v>10.130000000000001</v>
      </c>
      <c r="L1223" s="19">
        <f t="shared" si="59"/>
        <v>10.06</v>
      </c>
    </row>
    <row r="1224" spans="1:12" ht="15" customHeight="1" x14ac:dyDescent="0.25">
      <c r="A1224" s="10">
        <v>1223</v>
      </c>
      <c r="B1224" s="10">
        <v>390</v>
      </c>
      <c r="C1224" s="10">
        <v>72</v>
      </c>
      <c r="D1224" s="10">
        <v>3</v>
      </c>
      <c r="E1224" s="19">
        <v>526.70000000000005</v>
      </c>
      <c r="F1224" s="10">
        <v>0</v>
      </c>
      <c r="G1224" s="19">
        <f t="shared" si="57"/>
        <v>1580.1000000000001</v>
      </c>
      <c r="H1224" s="10">
        <f>INDEX(Products!$C$2:$C$101,MATCH(C1224,Products!$A$2:$A$101,0))</f>
        <v>8</v>
      </c>
      <c r="I1224" s="10" t="str">
        <f>INDEX(Categories!$B$2:$B$11,MATCH(H1224,Categories!$A$2:$A$11,0))</f>
        <v>Health &amp; Beauty</v>
      </c>
      <c r="J1224" s="19">
        <f>INDEX(Products!$E$2:$E$101,MATCH(C1224,Products!$A$2:$A$101,0))</f>
        <v>233.41</v>
      </c>
      <c r="K1224" s="19">
        <f t="shared" si="58"/>
        <v>700.23</v>
      </c>
      <c r="L1224" s="19">
        <f t="shared" si="59"/>
        <v>879.87000000000012</v>
      </c>
    </row>
    <row r="1225" spans="1:12" ht="15" customHeight="1" x14ac:dyDescent="0.25">
      <c r="A1225" s="10">
        <v>1224</v>
      </c>
      <c r="B1225" s="10">
        <v>390</v>
      </c>
      <c r="C1225" s="10">
        <v>56</v>
      </c>
      <c r="D1225" s="10">
        <v>3</v>
      </c>
      <c r="E1225" s="19">
        <v>440.37</v>
      </c>
      <c r="F1225" s="10">
        <v>0</v>
      </c>
      <c r="G1225" s="19">
        <f t="shared" si="57"/>
        <v>1321.1100000000001</v>
      </c>
      <c r="H1225" s="10">
        <f>INDEX(Products!$C$2:$C$101,MATCH(C1225,Products!$A$2:$A$101,0))</f>
        <v>6</v>
      </c>
      <c r="I1225" s="10" t="str">
        <f>INDEX(Categories!$B$2:$B$11,MATCH(H1225,Categories!$A$2:$A$11,0))</f>
        <v>Sporting Goods</v>
      </c>
      <c r="J1225" s="19">
        <f>INDEX(Products!$E$2:$E$101,MATCH(C1225,Products!$A$2:$A$101,0))</f>
        <v>242.36</v>
      </c>
      <c r="K1225" s="19">
        <f t="shared" si="58"/>
        <v>727.08</v>
      </c>
      <c r="L1225" s="19">
        <f t="shared" si="59"/>
        <v>594.03000000000009</v>
      </c>
    </row>
    <row r="1226" spans="1:12" ht="15" customHeight="1" x14ac:dyDescent="0.25">
      <c r="A1226" s="10">
        <v>1225</v>
      </c>
      <c r="B1226" s="10">
        <v>390</v>
      </c>
      <c r="C1226" s="10">
        <v>55</v>
      </c>
      <c r="D1226" s="10">
        <v>5</v>
      </c>
      <c r="E1226" s="19">
        <v>378.27</v>
      </c>
      <c r="F1226" s="10">
        <v>0.2</v>
      </c>
      <c r="G1226" s="19">
        <f t="shared" si="57"/>
        <v>1513.08</v>
      </c>
      <c r="H1226" s="10">
        <f>INDEX(Products!$C$2:$C$101,MATCH(C1226,Products!$A$2:$A$101,0))</f>
        <v>6</v>
      </c>
      <c r="I1226" s="10" t="str">
        <f>INDEX(Categories!$B$2:$B$11,MATCH(H1226,Categories!$A$2:$A$11,0))</f>
        <v>Sporting Goods</v>
      </c>
      <c r="J1226" s="19">
        <f>INDEX(Products!$E$2:$E$101,MATCH(C1226,Products!$A$2:$A$101,0))</f>
        <v>163.92</v>
      </c>
      <c r="K1226" s="19">
        <f t="shared" si="58"/>
        <v>819.59999999999991</v>
      </c>
      <c r="L1226" s="19">
        <f t="shared" si="59"/>
        <v>693.48</v>
      </c>
    </row>
    <row r="1227" spans="1:12" ht="15" customHeight="1" x14ac:dyDescent="0.25">
      <c r="A1227" s="10">
        <v>1226</v>
      </c>
      <c r="B1227" s="10">
        <v>391</v>
      </c>
      <c r="C1227" s="10">
        <v>78</v>
      </c>
      <c r="D1227" s="10">
        <v>7</v>
      </c>
      <c r="E1227" s="19">
        <v>178.61</v>
      </c>
      <c r="F1227" s="10">
        <v>0</v>
      </c>
      <c r="G1227" s="19">
        <f t="shared" si="57"/>
        <v>1250.27</v>
      </c>
      <c r="H1227" s="10">
        <f>INDEX(Products!$C$2:$C$101,MATCH(C1227,Products!$A$2:$A$101,0))</f>
        <v>8</v>
      </c>
      <c r="I1227" s="10" t="str">
        <f>INDEX(Categories!$B$2:$B$11,MATCH(H1227,Categories!$A$2:$A$11,0))</f>
        <v>Health &amp; Beauty</v>
      </c>
      <c r="J1227" s="19">
        <f>INDEX(Products!$E$2:$E$101,MATCH(C1227,Products!$A$2:$A$101,0))</f>
        <v>86.62</v>
      </c>
      <c r="K1227" s="19">
        <f t="shared" si="58"/>
        <v>606.34</v>
      </c>
      <c r="L1227" s="19">
        <f t="shared" si="59"/>
        <v>643.92999999999995</v>
      </c>
    </row>
    <row r="1228" spans="1:12" ht="15" customHeight="1" x14ac:dyDescent="0.25">
      <c r="A1228" s="10">
        <v>1227</v>
      </c>
      <c r="B1228" s="10">
        <v>391</v>
      </c>
      <c r="C1228" s="10">
        <v>39</v>
      </c>
      <c r="D1228" s="10">
        <v>2</v>
      </c>
      <c r="E1228" s="19">
        <v>42.44</v>
      </c>
      <c r="F1228" s="10">
        <v>0.05</v>
      </c>
      <c r="G1228" s="19">
        <f t="shared" si="57"/>
        <v>80.635999999999996</v>
      </c>
      <c r="H1228" s="10">
        <f>INDEX(Products!$C$2:$C$101,MATCH(C1228,Products!$A$2:$A$101,0))</f>
        <v>4</v>
      </c>
      <c r="I1228" s="10" t="str">
        <f>INDEX(Categories!$B$2:$B$11,MATCH(H1228,Categories!$A$2:$A$11,0))</f>
        <v>Apparel</v>
      </c>
      <c r="J1228" s="19">
        <f>INDEX(Products!$E$2:$E$101,MATCH(C1228,Products!$A$2:$A$101,0))</f>
        <v>21.3</v>
      </c>
      <c r="K1228" s="19">
        <f t="shared" si="58"/>
        <v>42.6</v>
      </c>
      <c r="L1228" s="19">
        <f t="shared" si="59"/>
        <v>38.035999999999994</v>
      </c>
    </row>
    <row r="1229" spans="1:12" ht="15" customHeight="1" x14ac:dyDescent="0.25">
      <c r="A1229" s="10">
        <v>1228</v>
      </c>
      <c r="B1229" s="10">
        <v>391</v>
      </c>
      <c r="C1229" s="10">
        <v>9</v>
      </c>
      <c r="D1229" s="10">
        <v>3</v>
      </c>
      <c r="E1229" s="19">
        <v>255.18</v>
      </c>
      <c r="F1229" s="10">
        <v>0</v>
      </c>
      <c r="G1229" s="19">
        <f t="shared" si="57"/>
        <v>765.54</v>
      </c>
      <c r="H1229" s="10">
        <f>INDEX(Products!$C$2:$C$101,MATCH(C1229,Products!$A$2:$A$101,0))</f>
        <v>1</v>
      </c>
      <c r="I1229" s="10" t="str">
        <f>INDEX(Categories!$B$2:$B$11,MATCH(H1229,Categories!$A$2:$A$11,0))</f>
        <v>Electronics</v>
      </c>
      <c r="J1229" s="19">
        <f>INDEX(Products!$E$2:$E$101,MATCH(C1229,Products!$A$2:$A$101,0))</f>
        <v>188.01</v>
      </c>
      <c r="K1229" s="19">
        <f t="shared" si="58"/>
        <v>564.03</v>
      </c>
      <c r="L1229" s="19">
        <f t="shared" si="59"/>
        <v>201.51</v>
      </c>
    </row>
    <row r="1230" spans="1:12" ht="15" customHeight="1" x14ac:dyDescent="0.25">
      <c r="A1230" s="10">
        <v>1229</v>
      </c>
      <c r="B1230" s="10">
        <v>392</v>
      </c>
      <c r="C1230" s="10">
        <v>99</v>
      </c>
      <c r="D1230" s="10">
        <v>6</v>
      </c>
      <c r="E1230" s="19">
        <v>329.4</v>
      </c>
      <c r="F1230" s="10">
        <v>0</v>
      </c>
      <c r="G1230" s="19">
        <f t="shared" si="57"/>
        <v>1976.3999999999999</v>
      </c>
      <c r="H1230" s="10">
        <f>INDEX(Products!$C$2:$C$101,MATCH(C1230,Products!$A$2:$A$101,0))</f>
        <v>10</v>
      </c>
      <c r="I1230" s="10" t="str">
        <f>INDEX(Categories!$B$2:$B$11,MATCH(H1230,Categories!$A$2:$A$11,0))</f>
        <v>Groceries</v>
      </c>
      <c r="J1230" s="19">
        <f>INDEX(Products!$E$2:$E$101,MATCH(C1230,Products!$A$2:$A$101,0))</f>
        <v>208.13</v>
      </c>
      <c r="K1230" s="19">
        <f t="shared" si="58"/>
        <v>1248.78</v>
      </c>
      <c r="L1230" s="19">
        <f t="shared" si="59"/>
        <v>727.61999999999989</v>
      </c>
    </row>
    <row r="1231" spans="1:12" ht="15" customHeight="1" x14ac:dyDescent="0.25">
      <c r="A1231" s="10">
        <v>1230</v>
      </c>
      <c r="B1231" s="10">
        <v>393</v>
      </c>
      <c r="C1231" s="10">
        <v>28</v>
      </c>
      <c r="D1231" s="10">
        <v>8</v>
      </c>
      <c r="E1231" s="19">
        <v>149.97</v>
      </c>
      <c r="F1231" s="10">
        <v>0.05</v>
      </c>
      <c r="G1231" s="19">
        <f t="shared" si="57"/>
        <v>1139.7719999999999</v>
      </c>
      <c r="H1231" s="10">
        <f>INDEX(Products!$C$2:$C$101,MATCH(C1231,Products!$A$2:$A$101,0))</f>
        <v>3</v>
      </c>
      <c r="I1231" s="10" t="str">
        <f>INDEX(Categories!$B$2:$B$11,MATCH(H1231,Categories!$A$2:$A$11,0))</f>
        <v>Furniture</v>
      </c>
      <c r="J1231" s="19">
        <f>INDEX(Products!$E$2:$E$101,MATCH(C1231,Products!$A$2:$A$101,0))</f>
        <v>113.7</v>
      </c>
      <c r="K1231" s="19">
        <f t="shared" si="58"/>
        <v>909.6</v>
      </c>
      <c r="L1231" s="19">
        <f t="shared" si="59"/>
        <v>230.17199999999991</v>
      </c>
    </row>
    <row r="1232" spans="1:12" ht="15" customHeight="1" x14ac:dyDescent="0.25">
      <c r="A1232" s="10">
        <v>1231</v>
      </c>
      <c r="B1232" s="10">
        <v>393</v>
      </c>
      <c r="C1232" s="10">
        <v>36</v>
      </c>
      <c r="D1232" s="10">
        <v>5</v>
      </c>
      <c r="E1232" s="19">
        <v>472.77</v>
      </c>
      <c r="F1232" s="10">
        <v>0.2</v>
      </c>
      <c r="G1232" s="19">
        <f t="shared" si="57"/>
        <v>1891.08</v>
      </c>
      <c r="H1232" s="10">
        <f>INDEX(Products!$C$2:$C$101,MATCH(C1232,Products!$A$2:$A$101,0))</f>
        <v>4</v>
      </c>
      <c r="I1232" s="10" t="str">
        <f>INDEX(Categories!$B$2:$B$11,MATCH(H1232,Categories!$A$2:$A$11,0))</f>
        <v>Apparel</v>
      </c>
      <c r="J1232" s="19">
        <f>INDEX(Products!$E$2:$E$101,MATCH(C1232,Products!$A$2:$A$101,0))</f>
        <v>236.19</v>
      </c>
      <c r="K1232" s="19">
        <f t="shared" si="58"/>
        <v>1180.95</v>
      </c>
      <c r="L1232" s="19">
        <f t="shared" si="59"/>
        <v>710.12999999999988</v>
      </c>
    </row>
    <row r="1233" spans="1:12" ht="15" customHeight="1" x14ac:dyDescent="0.25">
      <c r="A1233" s="10">
        <v>1232</v>
      </c>
      <c r="B1233" s="10">
        <v>394</v>
      </c>
      <c r="C1233" s="10">
        <v>61</v>
      </c>
      <c r="D1233" s="10">
        <v>3</v>
      </c>
      <c r="E1233" s="19">
        <v>289.8</v>
      </c>
      <c r="F1233" s="10">
        <v>0</v>
      </c>
      <c r="G1233" s="19">
        <f t="shared" si="57"/>
        <v>869.40000000000009</v>
      </c>
      <c r="H1233" s="10">
        <f>INDEX(Products!$C$2:$C$101,MATCH(C1233,Products!$A$2:$A$101,0))</f>
        <v>7</v>
      </c>
      <c r="I1233" s="10" t="str">
        <f>INDEX(Categories!$B$2:$B$11,MATCH(H1233,Categories!$A$2:$A$11,0))</f>
        <v>Toys &amp; Games</v>
      </c>
      <c r="J1233" s="19">
        <f>INDEX(Products!$E$2:$E$101,MATCH(C1233,Products!$A$2:$A$101,0))</f>
        <v>156.79</v>
      </c>
      <c r="K1233" s="19">
        <f t="shared" si="58"/>
        <v>470.37</v>
      </c>
      <c r="L1233" s="19">
        <f t="shared" si="59"/>
        <v>399.03000000000009</v>
      </c>
    </row>
    <row r="1234" spans="1:12" ht="15" customHeight="1" x14ac:dyDescent="0.25">
      <c r="A1234" s="10">
        <v>1233</v>
      </c>
      <c r="B1234" s="10">
        <v>394</v>
      </c>
      <c r="C1234" s="10">
        <v>88</v>
      </c>
      <c r="D1234" s="10">
        <v>8</v>
      </c>
      <c r="E1234" s="19">
        <v>188.36</v>
      </c>
      <c r="F1234" s="10">
        <v>0.15</v>
      </c>
      <c r="G1234" s="19">
        <f t="shared" si="57"/>
        <v>1280.848</v>
      </c>
      <c r="H1234" s="10">
        <f>INDEX(Products!$C$2:$C$101,MATCH(C1234,Products!$A$2:$A$101,0))</f>
        <v>9</v>
      </c>
      <c r="I1234" s="10" t="str">
        <f>INDEX(Categories!$B$2:$B$11,MATCH(H1234,Categories!$A$2:$A$11,0))</f>
        <v>Automotive Parts</v>
      </c>
      <c r="J1234" s="19">
        <f>INDEX(Products!$E$2:$E$101,MATCH(C1234,Products!$A$2:$A$101,0))</f>
        <v>112.11</v>
      </c>
      <c r="K1234" s="19">
        <f t="shared" si="58"/>
        <v>896.88</v>
      </c>
      <c r="L1234" s="19">
        <f t="shared" si="59"/>
        <v>383.96799999999996</v>
      </c>
    </row>
    <row r="1235" spans="1:12" ht="15" customHeight="1" x14ac:dyDescent="0.25">
      <c r="A1235" s="10">
        <v>1234</v>
      </c>
      <c r="B1235" s="10">
        <v>394</v>
      </c>
      <c r="C1235" s="10">
        <v>32</v>
      </c>
      <c r="D1235" s="10">
        <v>6</v>
      </c>
      <c r="E1235" s="19">
        <v>489.82</v>
      </c>
      <c r="F1235" s="10">
        <v>0.2</v>
      </c>
      <c r="G1235" s="19">
        <f t="shared" si="57"/>
        <v>2351.136</v>
      </c>
      <c r="H1235" s="10">
        <f>INDEX(Products!$C$2:$C$101,MATCH(C1235,Products!$A$2:$A$101,0))</f>
        <v>4</v>
      </c>
      <c r="I1235" s="10" t="str">
        <f>INDEX(Categories!$B$2:$B$11,MATCH(H1235,Categories!$A$2:$A$11,0))</f>
        <v>Apparel</v>
      </c>
      <c r="J1235" s="19">
        <f>INDEX(Products!$E$2:$E$101,MATCH(C1235,Products!$A$2:$A$101,0))</f>
        <v>237.87</v>
      </c>
      <c r="K1235" s="19">
        <f t="shared" si="58"/>
        <v>1427.22</v>
      </c>
      <c r="L1235" s="19">
        <f t="shared" si="59"/>
        <v>923.91599999999994</v>
      </c>
    </row>
    <row r="1236" spans="1:12" ht="15" customHeight="1" x14ac:dyDescent="0.25">
      <c r="A1236" s="10">
        <v>1235</v>
      </c>
      <c r="B1236" s="10">
        <v>394</v>
      </c>
      <c r="C1236" s="10">
        <v>36</v>
      </c>
      <c r="D1236" s="10">
        <v>5</v>
      </c>
      <c r="E1236" s="19">
        <v>472.77</v>
      </c>
      <c r="F1236" s="10">
        <v>0</v>
      </c>
      <c r="G1236" s="19">
        <f t="shared" si="57"/>
        <v>2363.85</v>
      </c>
      <c r="H1236" s="10">
        <f>INDEX(Products!$C$2:$C$101,MATCH(C1236,Products!$A$2:$A$101,0))</f>
        <v>4</v>
      </c>
      <c r="I1236" s="10" t="str">
        <f>INDEX(Categories!$B$2:$B$11,MATCH(H1236,Categories!$A$2:$A$11,0))</f>
        <v>Apparel</v>
      </c>
      <c r="J1236" s="19">
        <f>INDEX(Products!$E$2:$E$101,MATCH(C1236,Products!$A$2:$A$101,0))</f>
        <v>236.19</v>
      </c>
      <c r="K1236" s="19">
        <f t="shared" si="58"/>
        <v>1180.95</v>
      </c>
      <c r="L1236" s="19">
        <f t="shared" si="59"/>
        <v>1182.8999999999999</v>
      </c>
    </row>
    <row r="1237" spans="1:12" ht="15" customHeight="1" x14ac:dyDescent="0.25">
      <c r="A1237" s="10">
        <v>1236</v>
      </c>
      <c r="B1237" s="10">
        <v>395</v>
      </c>
      <c r="C1237" s="10">
        <v>88</v>
      </c>
      <c r="D1237" s="10">
        <v>4</v>
      </c>
      <c r="E1237" s="19">
        <v>188.36</v>
      </c>
      <c r="F1237" s="10">
        <v>0.2</v>
      </c>
      <c r="G1237" s="19">
        <f t="shared" si="57"/>
        <v>602.75200000000007</v>
      </c>
      <c r="H1237" s="10">
        <f>INDEX(Products!$C$2:$C$101,MATCH(C1237,Products!$A$2:$A$101,0))</f>
        <v>9</v>
      </c>
      <c r="I1237" s="10" t="str">
        <f>INDEX(Categories!$B$2:$B$11,MATCH(H1237,Categories!$A$2:$A$11,0))</f>
        <v>Automotive Parts</v>
      </c>
      <c r="J1237" s="19">
        <f>INDEX(Products!$E$2:$E$101,MATCH(C1237,Products!$A$2:$A$101,0))</f>
        <v>112.11</v>
      </c>
      <c r="K1237" s="19">
        <f t="shared" si="58"/>
        <v>448.44</v>
      </c>
      <c r="L1237" s="19">
        <f t="shared" si="59"/>
        <v>154.31200000000007</v>
      </c>
    </row>
    <row r="1238" spans="1:12" ht="15" customHeight="1" x14ac:dyDescent="0.25">
      <c r="A1238" s="10">
        <v>1237</v>
      </c>
      <c r="B1238" s="10">
        <v>395</v>
      </c>
      <c r="C1238" s="10">
        <v>16</v>
      </c>
      <c r="D1238" s="10">
        <v>8</v>
      </c>
      <c r="E1238" s="19">
        <v>345.42</v>
      </c>
      <c r="F1238" s="10">
        <v>0.05</v>
      </c>
      <c r="G1238" s="19">
        <f t="shared" si="57"/>
        <v>2625.192</v>
      </c>
      <c r="H1238" s="10">
        <f>INDEX(Products!$C$2:$C$101,MATCH(C1238,Products!$A$2:$A$101,0))</f>
        <v>2</v>
      </c>
      <c r="I1238" s="10" t="str">
        <f>INDEX(Categories!$B$2:$B$11,MATCH(H1238,Categories!$A$2:$A$11,0))</f>
        <v>Office Supplies</v>
      </c>
      <c r="J1238" s="19">
        <f>INDEX(Products!$E$2:$E$101,MATCH(C1238,Products!$A$2:$A$101,0))</f>
        <v>173.58</v>
      </c>
      <c r="K1238" s="19">
        <f t="shared" si="58"/>
        <v>1388.64</v>
      </c>
      <c r="L1238" s="19">
        <f t="shared" si="59"/>
        <v>1236.5519999999999</v>
      </c>
    </row>
    <row r="1239" spans="1:12" ht="15" customHeight="1" x14ac:dyDescent="0.25">
      <c r="A1239" s="10">
        <v>1238</v>
      </c>
      <c r="B1239" s="10">
        <v>395</v>
      </c>
      <c r="C1239" s="10">
        <v>69</v>
      </c>
      <c r="D1239" s="10">
        <v>1</v>
      </c>
      <c r="E1239" s="19">
        <v>188.38</v>
      </c>
      <c r="F1239" s="10">
        <v>0.05</v>
      </c>
      <c r="G1239" s="19">
        <f t="shared" si="57"/>
        <v>178.96099999999998</v>
      </c>
      <c r="H1239" s="10">
        <f>INDEX(Products!$C$2:$C$101,MATCH(C1239,Products!$A$2:$A$101,0))</f>
        <v>7</v>
      </c>
      <c r="I1239" s="10" t="str">
        <f>INDEX(Categories!$B$2:$B$11,MATCH(H1239,Categories!$A$2:$A$11,0))</f>
        <v>Toys &amp; Games</v>
      </c>
      <c r="J1239" s="19">
        <f>INDEX(Products!$E$2:$E$101,MATCH(C1239,Products!$A$2:$A$101,0))</f>
        <v>86.95</v>
      </c>
      <c r="K1239" s="19">
        <f t="shared" si="58"/>
        <v>86.95</v>
      </c>
      <c r="L1239" s="19">
        <f t="shared" si="59"/>
        <v>92.010999999999981</v>
      </c>
    </row>
    <row r="1240" spans="1:12" ht="15" customHeight="1" x14ac:dyDescent="0.25">
      <c r="A1240" s="10">
        <v>1239</v>
      </c>
      <c r="B1240" s="10">
        <v>396</v>
      </c>
      <c r="C1240" s="10">
        <v>21</v>
      </c>
      <c r="D1240" s="10">
        <v>6</v>
      </c>
      <c r="E1240" s="19">
        <v>358.6</v>
      </c>
      <c r="F1240" s="10">
        <v>0.2</v>
      </c>
      <c r="G1240" s="19">
        <f t="shared" si="57"/>
        <v>1721.2800000000004</v>
      </c>
      <c r="H1240" s="10">
        <f>INDEX(Products!$C$2:$C$101,MATCH(C1240,Products!$A$2:$A$101,0))</f>
        <v>3</v>
      </c>
      <c r="I1240" s="10" t="str">
        <f>INDEX(Categories!$B$2:$B$11,MATCH(H1240,Categories!$A$2:$A$11,0))</f>
        <v>Furniture</v>
      </c>
      <c r="J1240" s="19">
        <f>INDEX(Products!$E$2:$E$101,MATCH(C1240,Products!$A$2:$A$101,0))</f>
        <v>155.13</v>
      </c>
      <c r="K1240" s="19">
        <f t="shared" si="58"/>
        <v>930.78</v>
      </c>
      <c r="L1240" s="19">
        <f t="shared" si="59"/>
        <v>790.50000000000045</v>
      </c>
    </row>
    <row r="1241" spans="1:12" ht="15" customHeight="1" x14ac:dyDescent="0.25">
      <c r="A1241" s="10">
        <v>1240</v>
      </c>
      <c r="B1241" s="10">
        <v>396</v>
      </c>
      <c r="C1241" s="10">
        <v>57</v>
      </c>
      <c r="D1241" s="10">
        <v>7</v>
      </c>
      <c r="E1241" s="19">
        <v>357.27</v>
      </c>
      <c r="F1241" s="10">
        <v>0.2</v>
      </c>
      <c r="G1241" s="19">
        <f t="shared" si="57"/>
        <v>2000.712</v>
      </c>
      <c r="H1241" s="10">
        <f>INDEX(Products!$C$2:$C$101,MATCH(C1241,Products!$A$2:$A$101,0))</f>
        <v>6</v>
      </c>
      <c r="I1241" s="10" t="str">
        <f>INDEX(Categories!$B$2:$B$11,MATCH(H1241,Categories!$A$2:$A$11,0))</f>
        <v>Sporting Goods</v>
      </c>
      <c r="J1241" s="19">
        <f>INDEX(Products!$E$2:$E$101,MATCH(C1241,Products!$A$2:$A$101,0))</f>
        <v>214.86</v>
      </c>
      <c r="K1241" s="19">
        <f t="shared" si="58"/>
        <v>1504.02</v>
      </c>
      <c r="L1241" s="19">
        <f t="shared" si="59"/>
        <v>496.69200000000001</v>
      </c>
    </row>
    <row r="1242" spans="1:12" ht="15" customHeight="1" x14ac:dyDescent="0.25">
      <c r="A1242" s="10">
        <v>1241</v>
      </c>
      <c r="B1242" s="10">
        <v>397</v>
      </c>
      <c r="C1242" s="10">
        <v>13</v>
      </c>
      <c r="D1242" s="10">
        <v>9</v>
      </c>
      <c r="E1242" s="19">
        <v>360.29</v>
      </c>
      <c r="F1242" s="10">
        <v>0</v>
      </c>
      <c r="G1242" s="19">
        <f t="shared" si="57"/>
        <v>3242.61</v>
      </c>
      <c r="H1242" s="10">
        <f>INDEX(Products!$C$2:$C$101,MATCH(C1242,Products!$A$2:$A$101,0))</f>
        <v>2</v>
      </c>
      <c r="I1242" s="10" t="str">
        <f>INDEX(Categories!$B$2:$B$11,MATCH(H1242,Categories!$A$2:$A$11,0))</f>
        <v>Office Supplies</v>
      </c>
      <c r="J1242" s="19">
        <f>INDEX(Products!$E$2:$E$101,MATCH(C1242,Products!$A$2:$A$101,0))</f>
        <v>152.66</v>
      </c>
      <c r="K1242" s="19">
        <f t="shared" si="58"/>
        <v>1373.94</v>
      </c>
      <c r="L1242" s="19">
        <f t="shared" si="59"/>
        <v>1868.67</v>
      </c>
    </row>
    <row r="1243" spans="1:12" ht="15" customHeight="1" x14ac:dyDescent="0.25">
      <c r="A1243" s="10">
        <v>1242</v>
      </c>
      <c r="B1243" s="10">
        <v>397</v>
      </c>
      <c r="C1243" s="10">
        <v>21</v>
      </c>
      <c r="D1243" s="10">
        <v>6</v>
      </c>
      <c r="E1243" s="19">
        <v>358.6</v>
      </c>
      <c r="F1243" s="10">
        <v>0.05</v>
      </c>
      <c r="G1243" s="19">
        <f t="shared" si="57"/>
        <v>2044.0200000000002</v>
      </c>
      <c r="H1243" s="10">
        <f>INDEX(Products!$C$2:$C$101,MATCH(C1243,Products!$A$2:$A$101,0))</f>
        <v>3</v>
      </c>
      <c r="I1243" s="10" t="str">
        <f>INDEX(Categories!$B$2:$B$11,MATCH(H1243,Categories!$A$2:$A$11,0))</f>
        <v>Furniture</v>
      </c>
      <c r="J1243" s="19">
        <f>INDEX(Products!$E$2:$E$101,MATCH(C1243,Products!$A$2:$A$101,0))</f>
        <v>155.13</v>
      </c>
      <c r="K1243" s="19">
        <f t="shared" si="58"/>
        <v>930.78</v>
      </c>
      <c r="L1243" s="19">
        <f t="shared" si="59"/>
        <v>1113.2400000000002</v>
      </c>
    </row>
    <row r="1244" spans="1:12" ht="15" customHeight="1" x14ac:dyDescent="0.25">
      <c r="A1244" s="10">
        <v>1243</v>
      </c>
      <c r="B1244" s="10">
        <v>397</v>
      </c>
      <c r="C1244" s="10">
        <v>90</v>
      </c>
      <c r="D1244" s="10">
        <v>10</v>
      </c>
      <c r="E1244" s="19">
        <v>50.45</v>
      </c>
      <c r="F1244" s="10">
        <v>0.15</v>
      </c>
      <c r="G1244" s="19">
        <f t="shared" si="57"/>
        <v>428.82499999999999</v>
      </c>
      <c r="H1244" s="10">
        <f>INDEX(Products!$C$2:$C$101,MATCH(C1244,Products!$A$2:$A$101,0))</f>
        <v>9</v>
      </c>
      <c r="I1244" s="10" t="str">
        <f>INDEX(Categories!$B$2:$B$11,MATCH(H1244,Categories!$A$2:$A$11,0))</f>
        <v>Automotive Parts</v>
      </c>
      <c r="J1244" s="19">
        <f>INDEX(Products!$E$2:$E$101,MATCH(C1244,Products!$A$2:$A$101,0))</f>
        <v>29.34</v>
      </c>
      <c r="K1244" s="19">
        <f t="shared" si="58"/>
        <v>293.39999999999998</v>
      </c>
      <c r="L1244" s="19">
        <f t="shared" si="59"/>
        <v>135.42500000000001</v>
      </c>
    </row>
    <row r="1245" spans="1:12" ht="15" customHeight="1" x14ac:dyDescent="0.25">
      <c r="A1245" s="10">
        <v>1244</v>
      </c>
      <c r="B1245" s="10">
        <v>397</v>
      </c>
      <c r="C1245" s="10">
        <v>34</v>
      </c>
      <c r="D1245" s="10">
        <v>9</v>
      </c>
      <c r="E1245" s="19">
        <v>339.25</v>
      </c>
      <c r="F1245" s="10">
        <v>0.15</v>
      </c>
      <c r="G1245" s="19">
        <f t="shared" si="57"/>
        <v>2595.2624999999998</v>
      </c>
      <c r="H1245" s="10">
        <f>INDEX(Products!$C$2:$C$101,MATCH(C1245,Products!$A$2:$A$101,0))</f>
        <v>4</v>
      </c>
      <c r="I1245" s="10" t="str">
        <f>INDEX(Categories!$B$2:$B$11,MATCH(H1245,Categories!$A$2:$A$11,0))</f>
        <v>Apparel</v>
      </c>
      <c r="J1245" s="19">
        <f>INDEX(Products!$E$2:$E$101,MATCH(C1245,Products!$A$2:$A$101,0))</f>
        <v>208.66</v>
      </c>
      <c r="K1245" s="19">
        <f t="shared" si="58"/>
        <v>1877.94</v>
      </c>
      <c r="L1245" s="19">
        <f t="shared" si="59"/>
        <v>717.32249999999976</v>
      </c>
    </row>
    <row r="1246" spans="1:12" ht="15" customHeight="1" x14ac:dyDescent="0.25">
      <c r="A1246" s="10">
        <v>1245</v>
      </c>
      <c r="B1246" s="10">
        <v>398</v>
      </c>
      <c r="C1246" s="10">
        <v>26</v>
      </c>
      <c r="D1246" s="10">
        <v>10</v>
      </c>
      <c r="E1246" s="19">
        <v>262.08</v>
      </c>
      <c r="F1246" s="10">
        <v>0</v>
      </c>
      <c r="G1246" s="19">
        <f t="shared" si="57"/>
        <v>2620.7999999999997</v>
      </c>
      <c r="H1246" s="10">
        <f>INDEX(Products!$C$2:$C$101,MATCH(C1246,Products!$A$2:$A$101,0))</f>
        <v>3</v>
      </c>
      <c r="I1246" s="10" t="str">
        <f>INDEX(Categories!$B$2:$B$11,MATCH(H1246,Categories!$A$2:$A$11,0))</f>
        <v>Furniture</v>
      </c>
      <c r="J1246" s="19">
        <f>INDEX(Products!$E$2:$E$101,MATCH(C1246,Products!$A$2:$A$101,0))</f>
        <v>140.28</v>
      </c>
      <c r="K1246" s="19">
        <f t="shared" si="58"/>
        <v>1402.8</v>
      </c>
      <c r="L1246" s="19">
        <f t="shared" si="59"/>
        <v>1217.9999999999998</v>
      </c>
    </row>
    <row r="1247" spans="1:12" ht="15" customHeight="1" x14ac:dyDescent="0.25">
      <c r="A1247" s="10">
        <v>1246</v>
      </c>
      <c r="B1247" s="10">
        <v>398</v>
      </c>
      <c r="C1247" s="10">
        <v>81</v>
      </c>
      <c r="D1247" s="10">
        <v>2</v>
      </c>
      <c r="E1247" s="19">
        <v>529</v>
      </c>
      <c r="F1247" s="10">
        <v>0</v>
      </c>
      <c r="G1247" s="19">
        <f t="shared" si="57"/>
        <v>1058</v>
      </c>
      <c r="H1247" s="10">
        <f>INDEX(Products!$C$2:$C$101,MATCH(C1247,Products!$A$2:$A$101,0))</f>
        <v>9</v>
      </c>
      <c r="I1247" s="10" t="str">
        <f>INDEX(Categories!$B$2:$B$11,MATCH(H1247,Categories!$A$2:$A$11,0))</f>
        <v>Automotive Parts</v>
      </c>
      <c r="J1247" s="19">
        <f>INDEX(Products!$E$2:$E$101,MATCH(C1247,Products!$A$2:$A$101,0))</f>
        <v>249.36</v>
      </c>
      <c r="K1247" s="19">
        <f t="shared" si="58"/>
        <v>498.72</v>
      </c>
      <c r="L1247" s="19">
        <f t="shared" si="59"/>
        <v>559.28</v>
      </c>
    </row>
    <row r="1248" spans="1:12" ht="15" customHeight="1" x14ac:dyDescent="0.25">
      <c r="A1248" s="10">
        <v>1247</v>
      </c>
      <c r="B1248" s="10">
        <v>398</v>
      </c>
      <c r="C1248" s="10">
        <v>40</v>
      </c>
      <c r="D1248" s="10">
        <v>4</v>
      </c>
      <c r="E1248" s="19">
        <v>330.91</v>
      </c>
      <c r="F1248" s="10">
        <v>0.1</v>
      </c>
      <c r="G1248" s="19">
        <f t="shared" si="57"/>
        <v>1191.2760000000001</v>
      </c>
      <c r="H1248" s="10">
        <f>INDEX(Products!$C$2:$C$101,MATCH(C1248,Products!$A$2:$A$101,0))</f>
        <v>4</v>
      </c>
      <c r="I1248" s="10" t="str">
        <f>INDEX(Categories!$B$2:$B$11,MATCH(H1248,Categories!$A$2:$A$11,0))</f>
        <v>Apparel</v>
      </c>
      <c r="J1248" s="19">
        <f>INDEX(Products!$E$2:$E$101,MATCH(C1248,Products!$A$2:$A$101,0))</f>
        <v>237.43</v>
      </c>
      <c r="K1248" s="19">
        <f t="shared" si="58"/>
        <v>949.72</v>
      </c>
      <c r="L1248" s="19">
        <f t="shared" si="59"/>
        <v>241.55600000000004</v>
      </c>
    </row>
    <row r="1249" spans="1:12" ht="15" customHeight="1" x14ac:dyDescent="0.25">
      <c r="A1249" s="10">
        <v>1248</v>
      </c>
      <c r="B1249" s="10">
        <v>398</v>
      </c>
      <c r="C1249" s="10">
        <v>41</v>
      </c>
      <c r="D1249" s="10">
        <v>3</v>
      </c>
      <c r="E1249" s="19">
        <v>331.46</v>
      </c>
      <c r="F1249" s="10">
        <v>0.2</v>
      </c>
      <c r="G1249" s="19">
        <f t="shared" si="57"/>
        <v>795.50399999999991</v>
      </c>
      <c r="H1249" s="10">
        <f>INDEX(Products!$C$2:$C$101,MATCH(C1249,Products!$A$2:$A$101,0))</f>
        <v>5</v>
      </c>
      <c r="I1249" s="10" t="str">
        <f>INDEX(Categories!$B$2:$B$11,MATCH(H1249,Categories!$A$2:$A$11,0))</f>
        <v>Home &amp; Kitchen</v>
      </c>
      <c r="J1249" s="19">
        <f>INDEX(Products!$E$2:$E$101,MATCH(C1249,Products!$A$2:$A$101,0))</f>
        <v>152.76</v>
      </c>
      <c r="K1249" s="19">
        <f t="shared" si="58"/>
        <v>458.28</v>
      </c>
      <c r="L1249" s="19">
        <f t="shared" si="59"/>
        <v>337.22399999999993</v>
      </c>
    </row>
    <row r="1250" spans="1:12" ht="15" customHeight="1" x14ac:dyDescent="0.25">
      <c r="A1250" s="10">
        <v>1249</v>
      </c>
      <c r="B1250" s="10">
        <v>399</v>
      </c>
      <c r="C1250" s="10">
        <v>26</v>
      </c>
      <c r="D1250" s="10">
        <v>6</v>
      </c>
      <c r="E1250" s="19">
        <v>262.08</v>
      </c>
      <c r="F1250" s="10">
        <v>0</v>
      </c>
      <c r="G1250" s="19">
        <f t="shared" si="57"/>
        <v>1572.48</v>
      </c>
      <c r="H1250" s="10">
        <f>INDEX(Products!$C$2:$C$101,MATCH(C1250,Products!$A$2:$A$101,0))</f>
        <v>3</v>
      </c>
      <c r="I1250" s="10" t="str">
        <f>INDEX(Categories!$B$2:$B$11,MATCH(H1250,Categories!$A$2:$A$11,0))</f>
        <v>Furniture</v>
      </c>
      <c r="J1250" s="19">
        <f>INDEX(Products!$E$2:$E$101,MATCH(C1250,Products!$A$2:$A$101,0))</f>
        <v>140.28</v>
      </c>
      <c r="K1250" s="19">
        <f t="shared" si="58"/>
        <v>841.68000000000006</v>
      </c>
      <c r="L1250" s="19">
        <f t="shared" si="59"/>
        <v>730.8</v>
      </c>
    </row>
    <row r="1251" spans="1:12" ht="15" customHeight="1" x14ac:dyDescent="0.25">
      <c r="A1251" s="10">
        <v>1250</v>
      </c>
      <c r="B1251" s="10">
        <v>399</v>
      </c>
      <c r="C1251" s="10">
        <v>11</v>
      </c>
      <c r="D1251" s="10">
        <v>7</v>
      </c>
      <c r="E1251" s="19">
        <v>417.1</v>
      </c>
      <c r="F1251" s="10">
        <v>0.05</v>
      </c>
      <c r="G1251" s="19">
        <f t="shared" si="57"/>
        <v>2773.7150000000001</v>
      </c>
      <c r="H1251" s="10">
        <f>INDEX(Products!$C$2:$C$101,MATCH(C1251,Products!$A$2:$A$101,0))</f>
        <v>2</v>
      </c>
      <c r="I1251" s="10" t="str">
        <f>INDEX(Categories!$B$2:$B$11,MATCH(H1251,Categories!$A$2:$A$11,0))</f>
        <v>Office Supplies</v>
      </c>
      <c r="J1251" s="19">
        <f>INDEX(Products!$E$2:$E$101,MATCH(C1251,Products!$A$2:$A$101,0))</f>
        <v>210.29</v>
      </c>
      <c r="K1251" s="19">
        <f t="shared" si="58"/>
        <v>1472.03</v>
      </c>
      <c r="L1251" s="19">
        <f t="shared" si="59"/>
        <v>1301.6850000000002</v>
      </c>
    </row>
    <row r="1252" spans="1:12" ht="15" customHeight="1" x14ac:dyDescent="0.25">
      <c r="A1252" s="10">
        <v>1251</v>
      </c>
      <c r="B1252" s="10">
        <v>399</v>
      </c>
      <c r="C1252" s="10">
        <v>54</v>
      </c>
      <c r="D1252" s="10">
        <v>10</v>
      </c>
      <c r="E1252" s="19">
        <v>398.16</v>
      </c>
      <c r="F1252" s="10">
        <v>0</v>
      </c>
      <c r="G1252" s="19">
        <f t="shared" si="57"/>
        <v>3981.6000000000004</v>
      </c>
      <c r="H1252" s="10">
        <f>INDEX(Products!$C$2:$C$101,MATCH(C1252,Products!$A$2:$A$101,0))</f>
        <v>6</v>
      </c>
      <c r="I1252" s="10" t="str">
        <f>INDEX(Categories!$B$2:$B$11,MATCH(H1252,Categories!$A$2:$A$11,0))</f>
        <v>Sporting Goods</v>
      </c>
      <c r="J1252" s="19">
        <f>INDEX(Products!$E$2:$E$101,MATCH(C1252,Products!$A$2:$A$101,0))</f>
        <v>205.89</v>
      </c>
      <c r="K1252" s="19">
        <f t="shared" si="58"/>
        <v>2058.8999999999996</v>
      </c>
      <c r="L1252" s="19">
        <f t="shared" si="59"/>
        <v>1922.7000000000007</v>
      </c>
    </row>
    <row r="1253" spans="1:12" ht="15" customHeight="1" x14ac:dyDescent="0.25">
      <c r="A1253" s="10">
        <v>1252</v>
      </c>
      <c r="B1253" s="10">
        <v>400</v>
      </c>
      <c r="C1253" s="10">
        <v>7</v>
      </c>
      <c r="D1253" s="10">
        <v>10</v>
      </c>
      <c r="E1253" s="19">
        <v>150.96</v>
      </c>
      <c r="F1253" s="10">
        <v>0.05</v>
      </c>
      <c r="G1253" s="19">
        <f t="shared" si="57"/>
        <v>1434.1200000000001</v>
      </c>
      <c r="H1253" s="10">
        <f>INDEX(Products!$C$2:$C$101,MATCH(C1253,Products!$A$2:$A$101,0))</f>
        <v>1</v>
      </c>
      <c r="I1253" s="10" t="str">
        <f>INDEX(Categories!$B$2:$B$11,MATCH(H1253,Categories!$A$2:$A$11,0))</f>
        <v>Electronics</v>
      </c>
      <c r="J1253" s="19">
        <f>INDEX(Products!$E$2:$E$101,MATCH(C1253,Products!$A$2:$A$101,0))</f>
        <v>83.86</v>
      </c>
      <c r="K1253" s="19">
        <f t="shared" si="58"/>
        <v>838.6</v>
      </c>
      <c r="L1253" s="19">
        <f t="shared" si="59"/>
        <v>595.5200000000001</v>
      </c>
    </row>
    <row r="1254" spans="1:12" ht="15" customHeight="1" x14ac:dyDescent="0.25">
      <c r="A1254" s="10">
        <v>1253</v>
      </c>
      <c r="B1254" s="10">
        <v>400</v>
      </c>
      <c r="C1254" s="10">
        <v>52</v>
      </c>
      <c r="D1254" s="10">
        <v>10</v>
      </c>
      <c r="E1254" s="19">
        <v>469.43</v>
      </c>
      <c r="F1254" s="10">
        <v>0</v>
      </c>
      <c r="G1254" s="19">
        <f t="shared" si="57"/>
        <v>4694.3</v>
      </c>
      <c r="H1254" s="10">
        <f>INDEX(Products!$C$2:$C$101,MATCH(C1254,Products!$A$2:$A$101,0))</f>
        <v>6</v>
      </c>
      <c r="I1254" s="10" t="str">
        <f>INDEX(Categories!$B$2:$B$11,MATCH(H1254,Categories!$A$2:$A$11,0))</f>
        <v>Sporting Goods</v>
      </c>
      <c r="J1254" s="19">
        <f>INDEX(Products!$E$2:$E$101,MATCH(C1254,Products!$A$2:$A$101,0))</f>
        <v>222.69</v>
      </c>
      <c r="K1254" s="19">
        <f t="shared" si="58"/>
        <v>2226.9</v>
      </c>
      <c r="L1254" s="19">
        <f t="shared" si="59"/>
        <v>2467.4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J349"/>
  <sheetViews>
    <sheetView tabSelected="1" zoomScaleNormal="100" workbookViewId="0">
      <pane ySplit="1" topLeftCell="A329" activePane="bottomLeft" state="frozen"/>
      <selection pane="bottomLeft" activeCell="L333" sqref="L333"/>
    </sheetView>
  </sheetViews>
  <sheetFormatPr defaultColWidth="8.7109375" defaultRowHeight="15" x14ac:dyDescent="0.25"/>
  <cols>
    <col min="1" max="1" width="13.7109375" style="10" customWidth="1"/>
    <col min="2" max="2" width="10.7109375" style="10" customWidth="1"/>
    <col min="3" max="3" width="16" style="10" customWidth="1"/>
    <col min="4" max="4" width="12" style="10" customWidth="1"/>
    <col min="5" max="5" width="16" style="10" customWidth="1"/>
    <col min="6" max="6" width="12" style="10" customWidth="1"/>
    <col min="7" max="7" width="16.85546875" style="10" customWidth="1"/>
    <col min="8" max="8" width="17.28515625" style="10" customWidth="1"/>
    <col min="9" max="9" width="14.42578125" style="10" customWidth="1"/>
    <col min="10" max="10" width="14" style="10" customWidth="1"/>
  </cols>
  <sheetData>
    <row r="1" spans="1:9" ht="23.25" customHeight="1" x14ac:dyDescent="0.25">
      <c r="A1" s="39" t="s">
        <v>1247</v>
      </c>
      <c r="B1" s="39" t="s">
        <v>735</v>
      </c>
      <c r="C1" s="39" t="s">
        <v>1248</v>
      </c>
      <c r="D1" s="39" t="s">
        <v>1249</v>
      </c>
      <c r="E1" s="39" t="s">
        <v>1250</v>
      </c>
      <c r="F1" s="39" t="s">
        <v>736</v>
      </c>
      <c r="G1" s="39" t="s">
        <v>737</v>
      </c>
      <c r="H1" s="39" t="s">
        <v>1251</v>
      </c>
      <c r="I1" s="39" t="s">
        <v>1252</v>
      </c>
    </row>
    <row r="2" spans="1:9" ht="15" customHeight="1" x14ac:dyDescent="0.25">
      <c r="A2" s="10">
        <v>1</v>
      </c>
      <c r="B2" s="10">
        <v>1</v>
      </c>
      <c r="C2" s="10" t="s">
        <v>845</v>
      </c>
      <c r="D2" s="19">
        <v>6946.63</v>
      </c>
      <c r="E2" s="10" t="s">
        <v>109</v>
      </c>
      <c r="F2" s="10" t="s">
        <v>108</v>
      </c>
      <c r="G2" s="19">
        <f>IFERROR(INDEX(Orders!$H$2:$H$401,MATCH(B2,Orders!$A$2:$A$401,0)),"")</f>
        <v>6946.6329999999998</v>
      </c>
      <c r="H2" s="10" t="str">
        <f t="shared" ref="H2:H65" si="0">IF(C2="","",TEXT(C2,"YYYY-MM"))</f>
        <v>2025-03</v>
      </c>
      <c r="I2" s="10" t="str">
        <f>IFERROR(INDEX(Orders!$F$2:$F$401,MATCH(B2,Orders!$A$2:$A$401,0)),"")</f>
        <v>Pending</v>
      </c>
    </row>
    <row r="3" spans="1:9" ht="15" customHeight="1" x14ac:dyDescent="0.25">
      <c r="A3" s="10">
        <v>2</v>
      </c>
      <c r="B3" s="10">
        <v>2</v>
      </c>
      <c r="C3" s="10" t="s">
        <v>1253</v>
      </c>
      <c r="D3" s="19">
        <v>3948.26</v>
      </c>
      <c r="E3" s="10" t="s">
        <v>112</v>
      </c>
      <c r="F3" s="10" t="s">
        <v>108</v>
      </c>
      <c r="G3" s="19">
        <f>IFERROR(INDEX(Orders!$H$2:$H$401,MATCH(B3,Orders!$A$2:$A$401,0)),"")</f>
        <v>3948.2524999999996</v>
      </c>
      <c r="H3" s="10" t="str">
        <f t="shared" si="0"/>
        <v>2024-04</v>
      </c>
      <c r="I3" s="10" t="str">
        <f>IFERROR(INDEX(Orders!$F$2:$F$401,MATCH(B3,Orders!$A$2:$A$401,0)),"")</f>
        <v>Delivered</v>
      </c>
    </row>
    <row r="4" spans="1:9" ht="15" customHeight="1" x14ac:dyDescent="0.25">
      <c r="A4" s="10">
        <v>3</v>
      </c>
      <c r="B4" s="10">
        <v>4</v>
      </c>
      <c r="C4" s="10" t="s">
        <v>1199</v>
      </c>
      <c r="D4" s="19">
        <v>818.41</v>
      </c>
      <c r="E4" s="10" t="s">
        <v>109</v>
      </c>
      <c r="F4" s="10" t="s">
        <v>108</v>
      </c>
      <c r="G4" s="19">
        <f>IFERROR(INDEX(Orders!$H$2:$H$401,MATCH(B4,Orders!$A$2:$A$401,0)),"")</f>
        <v>818.41399999999999</v>
      </c>
      <c r="H4" s="10" t="str">
        <f t="shared" si="0"/>
        <v>2025-01</v>
      </c>
      <c r="I4" s="10" t="str">
        <f>IFERROR(INDEX(Orders!$F$2:$F$401,MATCH(B4,Orders!$A$2:$A$401,0)),"")</f>
        <v>Delivered</v>
      </c>
    </row>
    <row r="5" spans="1:9" ht="15" customHeight="1" x14ac:dyDescent="0.25">
      <c r="A5" s="10">
        <v>4</v>
      </c>
      <c r="B5" s="10">
        <v>5</v>
      </c>
      <c r="C5" s="10" t="s">
        <v>1153</v>
      </c>
      <c r="D5" s="19">
        <v>607.32000000000005</v>
      </c>
      <c r="E5" s="10" t="s">
        <v>111</v>
      </c>
      <c r="F5" s="10" t="s">
        <v>108</v>
      </c>
      <c r="G5" s="19">
        <f>IFERROR(INDEX(Orders!$H$2:$H$401,MATCH(B5,Orders!$A$2:$A$401,0)),"")</f>
        <v>607.32000000000005</v>
      </c>
      <c r="H5" s="10" t="str">
        <f t="shared" si="0"/>
        <v>2024-05</v>
      </c>
      <c r="I5" s="10" t="str">
        <f>IFERROR(INDEX(Orders!$F$2:$F$401,MATCH(B5,Orders!$A$2:$A$401,0)),"")</f>
        <v>Delivered</v>
      </c>
    </row>
    <row r="6" spans="1:9" ht="15" customHeight="1" x14ac:dyDescent="0.25">
      <c r="A6" s="10">
        <v>5</v>
      </c>
      <c r="B6" s="10">
        <v>6</v>
      </c>
      <c r="C6" s="10" t="s">
        <v>752</v>
      </c>
      <c r="D6" s="19">
        <v>1967.39</v>
      </c>
      <c r="E6" s="10" t="s">
        <v>112</v>
      </c>
      <c r="F6" s="10" t="s">
        <v>108</v>
      </c>
      <c r="G6" s="19">
        <f>IFERROR(INDEX(Orders!$H$2:$H$401,MATCH(B6,Orders!$A$2:$A$401,0)),"")</f>
        <v>1967.3899999999999</v>
      </c>
      <c r="H6" s="10" t="str">
        <f t="shared" si="0"/>
        <v>2024-11</v>
      </c>
      <c r="I6" s="10" t="str">
        <f>IFERROR(INDEX(Orders!$F$2:$F$401,MATCH(B6,Orders!$A$2:$A$401,0)),"")</f>
        <v>Delivered</v>
      </c>
    </row>
    <row r="7" spans="1:9" ht="15" customHeight="1" x14ac:dyDescent="0.25">
      <c r="A7" s="10">
        <v>6</v>
      </c>
      <c r="B7" s="10">
        <v>7</v>
      </c>
      <c r="C7" s="10" t="s">
        <v>754</v>
      </c>
      <c r="D7" s="19">
        <v>1366.09</v>
      </c>
      <c r="E7" s="10" t="s">
        <v>109</v>
      </c>
      <c r="F7" s="10" t="s">
        <v>108</v>
      </c>
      <c r="G7" s="19">
        <f>IFERROR(INDEX(Orders!$H$2:$H$401,MATCH(B7,Orders!$A$2:$A$401,0)),"")</f>
        <v>1366.0920000000001</v>
      </c>
      <c r="H7" s="10" t="str">
        <f t="shared" si="0"/>
        <v>2024-10</v>
      </c>
      <c r="I7" s="10" t="str">
        <f>IFERROR(INDEX(Orders!$F$2:$F$401,MATCH(B7,Orders!$A$2:$A$401,0)),"")</f>
        <v>Delivered</v>
      </c>
    </row>
    <row r="8" spans="1:9" ht="15" customHeight="1" x14ac:dyDescent="0.25">
      <c r="A8" s="10">
        <v>7</v>
      </c>
      <c r="B8" s="10">
        <v>8</v>
      </c>
      <c r="C8" s="10" t="s">
        <v>749</v>
      </c>
      <c r="D8" s="19">
        <v>4922.5</v>
      </c>
      <c r="E8" s="10" t="s">
        <v>109</v>
      </c>
      <c r="F8" s="10" t="s">
        <v>108</v>
      </c>
      <c r="G8" s="19">
        <f>IFERROR(INDEX(Orders!$H$2:$H$401,MATCH(B8,Orders!$A$2:$A$401,0)),"")</f>
        <v>4922.5039999999999</v>
      </c>
      <c r="H8" s="10" t="str">
        <f t="shared" si="0"/>
        <v>2025-01</v>
      </c>
      <c r="I8" s="10" t="str">
        <f>IFERROR(INDEX(Orders!$F$2:$F$401,MATCH(B8,Orders!$A$2:$A$401,0)),"")</f>
        <v>Delivered</v>
      </c>
    </row>
    <row r="9" spans="1:9" ht="15" customHeight="1" x14ac:dyDescent="0.25">
      <c r="A9" s="10">
        <v>8</v>
      </c>
      <c r="B9" s="10">
        <v>9</v>
      </c>
      <c r="C9" s="10" t="s">
        <v>1254</v>
      </c>
      <c r="D9" s="19">
        <v>2252.34</v>
      </c>
      <c r="E9" s="10" t="s">
        <v>109</v>
      </c>
      <c r="F9" s="10" t="s">
        <v>108</v>
      </c>
      <c r="G9" s="19">
        <f>IFERROR(INDEX(Orders!$H$2:$H$401,MATCH(B9,Orders!$A$2:$A$401,0)),"")</f>
        <v>2252.3400000000006</v>
      </c>
      <c r="H9" s="10" t="str">
        <f t="shared" si="0"/>
        <v>2025-05</v>
      </c>
      <c r="I9" s="10" t="str">
        <f>IFERROR(INDEX(Orders!$F$2:$F$401,MATCH(B9,Orders!$A$2:$A$401,0)),"")</f>
        <v>Delivered</v>
      </c>
    </row>
    <row r="10" spans="1:9" ht="15" customHeight="1" x14ac:dyDescent="0.25">
      <c r="A10" s="10">
        <v>9</v>
      </c>
      <c r="B10" s="10">
        <v>12</v>
      </c>
      <c r="C10" s="10" t="s">
        <v>761</v>
      </c>
      <c r="D10" s="19">
        <v>792.49</v>
      </c>
      <c r="E10" s="10" t="s">
        <v>112</v>
      </c>
      <c r="F10" s="10" t="s">
        <v>108</v>
      </c>
      <c r="G10" s="19">
        <f>IFERROR(INDEX(Orders!$H$2:$H$401,MATCH(B10,Orders!$A$2:$A$401,0)),"")</f>
        <v>792.49</v>
      </c>
      <c r="H10" s="10" t="str">
        <f t="shared" si="0"/>
        <v>2025-02</v>
      </c>
      <c r="I10" s="10" t="str">
        <f>IFERROR(INDEX(Orders!$F$2:$F$401,MATCH(B10,Orders!$A$2:$A$401,0)),"")</f>
        <v>Delivered</v>
      </c>
    </row>
    <row r="11" spans="1:9" ht="15" customHeight="1" x14ac:dyDescent="0.25">
      <c r="A11" s="10">
        <v>10</v>
      </c>
      <c r="B11" s="10">
        <v>13</v>
      </c>
      <c r="C11" s="10" t="s">
        <v>925</v>
      </c>
      <c r="D11" s="19">
        <v>4712.0200000000004</v>
      </c>
      <c r="E11" s="10" t="s">
        <v>113</v>
      </c>
      <c r="F11" s="10" t="s">
        <v>108</v>
      </c>
      <c r="G11" s="19">
        <f>IFERROR(INDEX(Orders!$H$2:$H$401,MATCH(B11,Orders!$A$2:$A$401,0)),"")</f>
        <v>4712.0200000000004</v>
      </c>
      <c r="H11" s="10" t="str">
        <f t="shared" si="0"/>
        <v>2023-05</v>
      </c>
      <c r="I11" s="10" t="str">
        <f>IFERROR(INDEX(Orders!$F$2:$F$401,MATCH(B11,Orders!$A$2:$A$401,0)),"")</f>
        <v>Pending</v>
      </c>
    </row>
    <row r="12" spans="1:9" ht="15" customHeight="1" x14ac:dyDescent="0.25">
      <c r="A12" s="10">
        <v>11</v>
      </c>
      <c r="B12" s="10">
        <v>14</v>
      </c>
      <c r="C12" s="10" t="s">
        <v>764</v>
      </c>
      <c r="D12" s="19">
        <v>6214.81</v>
      </c>
      <c r="E12" s="10" t="s">
        <v>111</v>
      </c>
      <c r="F12" s="10" t="s">
        <v>16</v>
      </c>
      <c r="G12" s="19">
        <f>IFERROR(INDEX(Orders!$H$2:$H$401,MATCH(B12,Orders!$A$2:$A$401,0)),"")</f>
        <v>6214.8060000000005</v>
      </c>
      <c r="H12" s="10" t="str">
        <f t="shared" si="0"/>
        <v>2024-12</v>
      </c>
      <c r="I12" s="10" t="str">
        <f>IFERROR(INDEX(Orders!$F$2:$F$401,MATCH(B12,Orders!$A$2:$A$401,0)),"")</f>
        <v>Pending</v>
      </c>
    </row>
    <row r="13" spans="1:9" ht="15" customHeight="1" x14ac:dyDescent="0.25">
      <c r="A13" s="10">
        <v>12</v>
      </c>
      <c r="B13" s="10">
        <v>15</v>
      </c>
      <c r="C13" s="10" t="s">
        <v>765</v>
      </c>
      <c r="D13" s="19">
        <v>3001.19</v>
      </c>
      <c r="E13" s="10" t="s">
        <v>111</v>
      </c>
      <c r="F13" s="10" t="s">
        <v>108</v>
      </c>
      <c r="G13" s="19">
        <f>IFERROR(INDEX(Orders!$H$2:$H$401,MATCH(B13,Orders!$A$2:$A$401,0)),"")</f>
        <v>3001.1885000000002</v>
      </c>
      <c r="H13" s="10" t="str">
        <f t="shared" si="0"/>
        <v>2024-11</v>
      </c>
      <c r="I13" s="10" t="str">
        <f>IFERROR(INDEX(Orders!$F$2:$F$401,MATCH(B13,Orders!$A$2:$A$401,0)),"")</f>
        <v>Pending</v>
      </c>
    </row>
    <row r="14" spans="1:9" ht="15" customHeight="1" x14ac:dyDescent="0.25">
      <c r="A14" s="10">
        <v>13</v>
      </c>
      <c r="B14" s="10">
        <v>16</v>
      </c>
      <c r="C14" s="10" t="s">
        <v>1255</v>
      </c>
      <c r="D14" s="19">
        <v>4664.99</v>
      </c>
      <c r="E14" s="10" t="s">
        <v>109</v>
      </c>
      <c r="F14" s="10" t="s">
        <v>108</v>
      </c>
      <c r="G14" s="19">
        <f>IFERROR(INDEX(Orders!$H$2:$H$401,MATCH(B14,Orders!$A$2:$A$401,0)),"")</f>
        <v>4664.9900000000007</v>
      </c>
      <c r="H14" s="10" t="str">
        <f t="shared" si="0"/>
        <v>2025-07</v>
      </c>
      <c r="I14" s="10" t="str">
        <f>IFERROR(INDEX(Orders!$F$2:$F$401,MATCH(B14,Orders!$A$2:$A$401,0)),"")</f>
        <v>Pending</v>
      </c>
    </row>
    <row r="15" spans="1:9" ht="15" customHeight="1" x14ac:dyDescent="0.25">
      <c r="A15" s="10">
        <v>14</v>
      </c>
      <c r="B15" s="10">
        <v>17</v>
      </c>
      <c r="C15" s="10" t="s">
        <v>1231</v>
      </c>
      <c r="D15" s="19">
        <v>3309.6</v>
      </c>
      <c r="E15" s="10" t="s">
        <v>113</v>
      </c>
      <c r="F15" s="10" t="s">
        <v>110</v>
      </c>
      <c r="G15" s="19">
        <f>IFERROR(INDEX(Orders!$H$2:$H$401,MATCH(B15,Orders!$A$2:$A$401,0)),"")</f>
        <v>3309.6049999999996</v>
      </c>
      <c r="H15" s="10" t="str">
        <f t="shared" si="0"/>
        <v>2025-05</v>
      </c>
      <c r="I15" s="10" t="str">
        <f>IFERROR(INDEX(Orders!$F$2:$F$401,MATCH(B15,Orders!$A$2:$A$401,0)),"")</f>
        <v>Returned</v>
      </c>
    </row>
    <row r="16" spans="1:9" ht="15" customHeight="1" x14ac:dyDescent="0.25">
      <c r="A16" s="10">
        <v>15</v>
      </c>
      <c r="B16" s="10">
        <v>18</v>
      </c>
      <c r="C16" s="10" t="s">
        <v>981</v>
      </c>
      <c r="D16" s="19">
        <v>1201.5</v>
      </c>
      <c r="E16" s="10" t="s">
        <v>113</v>
      </c>
      <c r="F16" s="10" t="s">
        <v>108</v>
      </c>
      <c r="G16" s="19">
        <f>IFERROR(INDEX(Orders!$H$2:$H$401,MATCH(B16,Orders!$A$2:$A$401,0)),"")</f>
        <v>1201.5</v>
      </c>
      <c r="H16" s="10" t="str">
        <f t="shared" si="0"/>
        <v>2023-01</v>
      </c>
      <c r="I16" s="10" t="str">
        <f>IFERROR(INDEX(Orders!$F$2:$F$401,MATCH(B16,Orders!$A$2:$A$401,0)),"")</f>
        <v>Delivered</v>
      </c>
    </row>
    <row r="17" spans="1:9" ht="15" customHeight="1" x14ac:dyDescent="0.25">
      <c r="A17" s="10">
        <v>16</v>
      </c>
      <c r="B17" s="10">
        <v>19</v>
      </c>
      <c r="C17" s="10" t="s">
        <v>1047</v>
      </c>
      <c r="D17" s="19">
        <v>1421.39</v>
      </c>
      <c r="E17" s="10" t="s">
        <v>113</v>
      </c>
      <c r="F17" s="10" t="s">
        <v>108</v>
      </c>
      <c r="G17" s="19">
        <f>IFERROR(INDEX(Orders!$H$2:$H$401,MATCH(B17,Orders!$A$2:$A$401,0)),"")</f>
        <v>1421.3825000000002</v>
      </c>
      <c r="H17" s="10" t="str">
        <f t="shared" si="0"/>
        <v>2025-02</v>
      </c>
      <c r="I17" s="10" t="str">
        <f>IFERROR(INDEX(Orders!$F$2:$F$401,MATCH(B17,Orders!$A$2:$A$401,0)),"")</f>
        <v>Delivered</v>
      </c>
    </row>
    <row r="18" spans="1:9" ht="15" customHeight="1" x14ac:dyDescent="0.25">
      <c r="A18" s="10">
        <v>17</v>
      </c>
      <c r="B18" s="10">
        <v>20</v>
      </c>
      <c r="C18" s="10" t="s">
        <v>1123</v>
      </c>
      <c r="D18" s="19">
        <v>888</v>
      </c>
      <c r="E18" s="10" t="s">
        <v>113</v>
      </c>
      <c r="F18" s="10" t="s">
        <v>108</v>
      </c>
      <c r="G18" s="19">
        <f>IFERROR(INDEX(Orders!$H$2:$H$401,MATCH(B18,Orders!$A$2:$A$401,0)),"")</f>
        <v>888</v>
      </c>
      <c r="H18" s="10" t="str">
        <f t="shared" si="0"/>
        <v>2025-05</v>
      </c>
      <c r="I18" s="10" t="str">
        <f>IFERROR(INDEX(Orders!$F$2:$F$401,MATCH(B18,Orders!$A$2:$A$401,0)),"")</f>
        <v>Shipped</v>
      </c>
    </row>
    <row r="19" spans="1:9" ht="15" customHeight="1" x14ac:dyDescent="0.25">
      <c r="A19" s="10">
        <v>18</v>
      </c>
      <c r="B19" s="10">
        <v>22</v>
      </c>
      <c r="C19" s="10" t="s">
        <v>1107</v>
      </c>
      <c r="D19" s="19">
        <v>280.58</v>
      </c>
      <c r="E19" s="10" t="s">
        <v>111</v>
      </c>
      <c r="F19" s="10" t="s">
        <v>108</v>
      </c>
      <c r="G19" s="19">
        <f>IFERROR(INDEX(Orders!$H$2:$H$401,MATCH(B19,Orders!$A$2:$A$401,0)),"")</f>
        <v>280.584</v>
      </c>
      <c r="H19" s="10" t="str">
        <f t="shared" si="0"/>
        <v>2024-11</v>
      </c>
      <c r="I19" s="10" t="str">
        <f>IFERROR(INDEX(Orders!$F$2:$F$401,MATCH(B19,Orders!$A$2:$A$401,0)),"")</f>
        <v>Delivered</v>
      </c>
    </row>
    <row r="20" spans="1:9" ht="15" customHeight="1" x14ac:dyDescent="0.25">
      <c r="A20" s="10">
        <v>19</v>
      </c>
      <c r="B20" s="10">
        <v>23</v>
      </c>
      <c r="C20" s="10" t="s">
        <v>1256</v>
      </c>
      <c r="D20" s="19">
        <v>1795.53</v>
      </c>
      <c r="E20" s="10" t="s">
        <v>109</v>
      </c>
      <c r="F20" s="10" t="s">
        <v>108</v>
      </c>
      <c r="G20" s="19">
        <f>IFERROR(INDEX(Orders!$H$2:$H$401,MATCH(B20,Orders!$A$2:$A$401,0)),"")</f>
        <v>1795.527</v>
      </c>
      <c r="H20" s="10" t="str">
        <f t="shared" si="0"/>
        <v>2024-12</v>
      </c>
      <c r="I20" s="10" t="str">
        <f>IFERROR(INDEX(Orders!$F$2:$F$401,MATCH(B20,Orders!$A$2:$A$401,0)),"")</f>
        <v>Delivered</v>
      </c>
    </row>
    <row r="21" spans="1:9" ht="15" customHeight="1" x14ac:dyDescent="0.25">
      <c r="A21" s="10">
        <v>20</v>
      </c>
      <c r="B21" s="10">
        <v>24</v>
      </c>
      <c r="C21" s="10" t="s">
        <v>1257</v>
      </c>
      <c r="D21" s="19">
        <v>8015.7</v>
      </c>
      <c r="E21" s="10" t="s">
        <v>109</v>
      </c>
      <c r="F21" s="10" t="s">
        <v>110</v>
      </c>
      <c r="G21" s="19">
        <f>IFERROR(INDEX(Orders!$H$2:$H$401,MATCH(B21,Orders!$A$2:$A$401,0)),"")</f>
        <v>8015.6959999999999</v>
      </c>
      <c r="H21" s="10" t="str">
        <f t="shared" si="0"/>
        <v>2025-08</v>
      </c>
      <c r="I21" s="10" t="str">
        <f>IFERROR(INDEX(Orders!$F$2:$F$401,MATCH(B21,Orders!$A$2:$A$401,0)),"")</f>
        <v>Returned</v>
      </c>
    </row>
    <row r="22" spans="1:9" ht="15" customHeight="1" x14ac:dyDescent="0.25">
      <c r="A22" s="10">
        <v>21</v>
      </c>
      <c r="B22" s="10">
        <v>25</v>
      </c>
      <c r="C22" s="10" t="s">
        <v>766</v>
      </c>
      <c r="D22" s="19">
        <v>6102.52</v>
      </c>
      <c r="E22" s="10" t="s">
        <v>109</v>
      </c>
      <c r="F22" s="10" t="s">
        <v>108</v>
      </c>
      <c r="G22" s="19">
        <f>IFERROR(INDEX(Orders!$H$2:$H$401,MATCH(B22,Orders!$A$2:$A$401,0)),"")</f>
        <v>6102.5264999999999</v>
      </c>
      <c r="H22" s="10" t="str">
        <f t="shared" si="0"/>
        <v>2025-07</v>
      </c>
      <c r="I22" s="10" t="str">
        <f>IFERROR(INDEX(Orders!$F$2:$F$401,MATCH(B22,Orders!$A$2:$A$401,0)),"")</f>
        <v>Delivered</v>
      </c>
    </row>
    <row r="23" spans="1:9" ht="15" customHeight="1" x14ac:dyDescent="0.25">
      <c r="A23" s="10">
        <v>22</v>
      </c>
      <c r="B23" s="10">
        <v>26</v>
      </c>
      <c r="C23" s="10" t="s">
        <v>1163</v>
      </c>
      <c r="D23" s="19">
        <v>621.67999999999995</v>
      </c>
      <c r="E23" s="10" t="s">
        <v>111</v>
      </c>
      <c r="F23" s="10" t="s">
        <v>110</v>
      </c>
      <c r="G23" s="19">
        <f>IFERROR(INDEX(Orders!$H$2:$H$401,MATCH(B23,Orders!$A$2:$A$401,0)),"")</f>
        <v>621.68000000000006</v>
      </c>
      <c r="H23" s="10" t="str">
        <f t="shared" si="0"/>
        <v>2024-10</v>
      </c>
      <c r="I23" s="10" t="str">
        <f>IFERROR(INDEX(Orders!$F$2:$F$401,MATCH(B23,Orders!$A$2:$A$401,0)),"")</f>
        <v>Returned</v>
      </c>
    </row>
    <row r="24" spans="1:9" ht="15" customHeight="1" x14ac:dyDescent="0.25">
      <c r="A24" s="10">
        <v>23</v>
      </c>
      <c r="B24" s="10">
        <v>27</v>
      </c>
      <c r="C24" s="10" t="s">
        <v>1258</v>
      </c>
      <c r="D24" s="19">
        <v>8595.7000000000007</v>
      </c>
      <c r="E24" s="10" t="s">
        <v>111</v>
      </c>
      <c r="F24" s="10" t="s">
        <v>108</v>
      </c>
      <c r="G24" s="19">
        <f>IFERROR(INDEX(Orders!$H$2:$H$401,MATCH(B24,Orders!$A$2:$A$401,0)),"")</f>
        <v>8595.7010000000009</v>
      </c>
      <c r="H24" s="10" t="str">
        <f t="shared" si="0"/>
        <v>2025-06</v>
      </c>
      <c r="I24" s="10" t="str">
        <f>IFERROR(INDEX(Orders!$F$2:$F$401,MATCH(B24,Orders!$A$2:$A$401,0)),"")</f>
        <v>Returned</v>
      </c>
    </row>
    <row r="25" spans="1:9" ht="15" customHeight="1" x14ac:dyDescent="0.25">
      <c r="A25" s="10">
        <v>24</v>
      </c>
      <c r="B25" s="10">
        <v>28</v>
      </c>
      <c r="C25" s="10" t="s">
        <v>800</v>
      </c>
      <c r="D25" s="19">
        <v>3423.89</v>
      </c>
      <c r="E25" s="10" t="s">
        <v>113</v>
      </c>
      <c r="F25" s="10" t="s">
        <v>108</v>
      </c>
      <c r="G25" s="19">
        <f>IFERROR(INDEX(Orders!$H$2:$H$401,MATCH(B25,Orders!$A$2:$A$401,0)),"")</f>
        <v>3423.8820000000001</v>
      </c>
      <c r="H25" s="10" t="str">
        <f t="shared" si="0"/>
        <v>2023-10</v>
      </c>
      <c r="I25" s="10" t="str">
        <f>IFERROR(INDEX(Orders!$F$2:$F$401,MATCH(B25,Orders!$A$2:$A$401,0)),"")</f>
        <v>Pending</v>
      </c>
    </row>
    <row r="26" spans="1:9" ht="15" customHeight="1" x14ac:dyDescent="0.25">
      <c r="A26" s="10">
        <v>25</v>
      </c>
      <c r="B26" s="10">
        <v>29</v>
      </c>
      <c r="C26" s="10" t="s">
        <v>787</v>
      </c>
      <c r="D26" s="19">
        <v>1646.56</v>
      </c>
      <c r="E26" s="10" t="s">
        <v>112</v>
      </c>
      <c r="F26" s="10" t="s">
        <v>108</v>
      </c>
      <c r="G26" s="19">
        <f>IFERROR(INDEX(Orders!$H$2:$H$401,MATCH(B26,Orders!$A$2:$A$401,0)),"")</f>
        <v>1646.56</v>
      </c>
      <c r="H26" s="10" t="str">
        <f t="shared" si="0"/>
        <v>2023-02</v>
      </c>
      <c r="I26" s="10" t="str">
        <f>IFERROR(INDEX(Orders!$F$2:$F$401,MATCH(B26,Orders!$A$2:$A$401,0)),"")</f>
        <v>Pending</v>
      </c>
    </row>
    <row r="27" spans="1:9" ht="15" customHeight="1" x14ac:dyDescent="0.25">
      <c r="A27" s="10">
        <v>26</v>
      </c>
      <c r="B27" s="10">
        <v>30</v>
      </c>
      <c r="C27" s="10" t="s">
        <v>1259</v>
      </c>
      <c r="D27" s="19">
        <v>334.98</v>
      </c>
      <c r="E27" s="10" t="s">
        <v>111</v>
      </c>
      <c r="F27" s="10" t="s">
        <v>108</v>
      </c>
      <c r="G27" s="19">
        <f>IFERROR(INDEX(Orders!$H$2:$H$401,MATCH(B27,Orders!$A$2:$A$401,0)),"")</f>
        <v>334.98</v>
      </c>
      <c r="H27" s="10" t="str">
        <f t="shared" si="0"/>
        <v>2025-11</v>
      </c>
      <c r="I27" s="10" t="str">
        <f>IFERROR(INDEX(Orders!$F$2:$F$401,MATCH(B27,Orders!$A$2:$A$401,0)),"")</f>
        <v>Delivered</v>
      </c>
    </row>
    <row r="28" spans="1:9" ht="15" customHeight="1" x14ac:dyDescent="0.25">
      <c r="A28" s="10">
        <v>27</v>
      </c>
      <c r="B28" s="10">
        <v>32</v>
      </c>
      <c r="C28" s="10" t="s">
        <v>1216</v>
      </c>
      <c r="D28" s="19">
        <v>9700.49</v>
      </c>
      <c r="E28" s="10" t="s">
        <v>113</v>
      </c>
      <c r="F28" s="10" t="s">
        <v>110</v>
      </c>
      <c r="G28" s="19">
        <f>IFERROR(INDEX(Orders!$H$2:$H$401,MATCH(B28,Orders!$A$2:$A$401,0)),"")</f>
        <v>9700.49</v>
      </c>
      <c r="H28" s="10" t="str">
        <f t="shared" si="0"/>
        <v>2024-09</v>
      </c>
      <c r="I28" s="10" t="str">
        <f>IFERROR(INDEX(Orders!$F$2:$F$401,MATCH(B28,Orders!$A$2:$A$401,0)),"")</f>
        <v>Returned</v>
      </c>
    </row>
    <row r="29" spans="1:9" ht="15" customHeight="1" x14ac:dyDescent="0.25">
      <c r="A29" s="10">
        <v>28</v>
      </c>
      <c r="B29" s="10">
        <v>33</v>
      </c>
      <c r="C29" s="10" t="s">
        <v>532</v>
      </c>
      <c r="D29" s="19">
        <v>4664.93</v>
      </c>
      <c r="E29" s="10" t="s">
        <v>113</v>
      </c>
      <c r="F29" s="10" t="s">
        <v>108</v>
      </c>
      <c r="G29" s="19">
        <f>IFERROR(INDEX(Orders!$H$2:$H$401,MATCH(B29,Orders!$A$2:$A$401,0)),"")</f>
        <v>4664.93</v>
      </c>
      <c r="H29" s="10" t="str">
        <f t="shared" si="0"/>
        <v>2023-07</v>
      </c>
      <c r="I29" s="10" t="str">
        <f>IFERROR(INDEX(Orders!$F$2:$F$401,MATCH(B29,Orders!$A$2:$A$401,0)),"")</f>
        <v>Delivered</v>
      </c>
    </row>
    <row r="30" spans="1:9" ht="15" customHeight="1" x14ac:dyDescent="0.25">
      <c r="A30" s="10">
        <v>29</v>
      </c>
      <c r="B30" s="10">
        <v>35</v>
      </c>
      <c r="C30" s="10" t="s">
        <v>1019</v>
      </c>
      <c r="D30" s="19">
        <v>6362.91</v>
      </c>
      <c r="E30" s="10" t="s">
        <v>109</v>
      </c>
      <c r="F30" s="10" t="s">
        <v>108</v>
      </c>
      <c r="G30" s="19">
        <f>IFERROR(INDEX(Orders!$H$2:$H$401,MATCH(B30,Orders!$A$2:$A$401,0)),"")</f>
        <v>6362.9169999999995</v>
      </c>
      <c r="H30" s="10" t="str">
        <f t="shared" si="0"/>
        <v>2023-03</v>
      </c>
      <c r="I30" s="10" t="str">
        <f>IFERROR(INDEX(Orders!$F$2:$F$401,MATCH(B30,Orders!$A$2:$A$401,0)),"")</f>
        <v>Shipped</v>
      </c>
    </row>
    <row r="31" spans="1:9" ht="15" customHeight="1" x14ac:dyDescent="0.25">
      <c r="A31" s="10">
        <v>30</v>
      </c>
      <c r="B31" s="10">
        <v>36</v>
      </c>
      <c r="C31" s="10" t="s">
        <v>1260</v>
      </c>
      <c r="D31" s="19">
        <v>4564</v>
      </c>
      <c r="E31" s="10" t="s">
        <v>109</v>
      </c>
      <c r="F31" s="10" t="s">
        <v>108</v>
      </c>
      <c r="G31" s="19">
        <f>IFERROR(INDEX(Orders!$H$2:$H$401,MATCH(B31,Orders!$A$2:$A$401,0)),"")</f>
        <v>4564</v>
      </c>
      <c r="H31" s="10" t="str">
        <f t="shared" si="0"/>
        <v>2024-05</v>
      </c>
      <c r="I31" s="10" t="str">
        <f>IFERROR(INDEX(Orders!$F$2:$F$401,MATCH(B31,Orders!$A$2:$A$401,0)),"")</f>
        <v>Shipped</v>
      </c>
    </row>
    <row r="32" spans="1:9" ht="15" customHeight="1" x14ac:dyDescent="0.25">
      <c r="A32" s="10">
        <v>31</v>
      </c>
      <c r="B32" s="10">
        <v>37</v>
      </c>
      <c r="C32" s="10" t="s">
        <v>800</v>
      </c>
      <c r="D32" s="19">
        <v>6554.51</v>
      </c>
      <c r="E32" s="10" t="s">
        <v>113</v>
      </c>
      <c r="F32" s="10" t="s">
        <v>108</v>
      </c>
      <c r="G32" s="19">
        <f>IFERROR(INDEX(Orders!$H$2:$H$401,MATCH(B32,Orders!$A$2:$A$401,0)),"")</f>
        <v>6554.5110000000004</v>
      </c>
      <c r="H32" s="10" t="str">
        <f t="shared" si="0"/>
        <v>2023-10</v>
      </c>
      <c r="I32" s="10" t="str">
        <f>IFERROR(INDEX(Orders!$F$2:$F$401,MATCH(B32,Orders!$A$2:$A$401,0)),"")</f>
        <v>Shipped</v>
      </c>
    </row>
    <row r="33" spans="1:9" ht="15" customHeight="1" x14ac:dyDescent="0.25">
      <c r="A33" s="10">
        <v>32</v>
      </c>
      <c r="B33" s="10">
        <v>39</v>
      </c>
      <c r="C33" s="10" t="s">
        <v>846</v>
      </c>
      <c r="D33" s="19">
        <v>3876.18</v>
      </c>
      <c r="E33" s="10" t="s">
        <v>109</v>
      </c>
      <c r="F33" s="10" t="s">
        <v>108</v>
      </c>
      <c r="G33" s="19">
        <f>IFERROR(INDEX(Orders!$H$2:$H$401,MATCH(B33,Orders!$A$2:$A$401,0)),"")</f>
        <v>3876.1759999999995</v>
      </c>
      <c r="H33" s="10" t="str">
        <f t="shared" si="0"/>
        <v>2023-10</v>
      </c>
      <c r="I33" s="10" t="str">
        <f>IFERROR(INDEX(Orders!$F$2:$F$401,MATCH(B33,Orders!$A$2:$A$401,0)),"")</f>
        <v>Delivered</v>
      </c>
    </row>
    <row r="34" spans="1:9" ht="15" customHeight="1" x14ac:dyDescent="0.25">
      <c r="A34" s="10">
        <v>33</v>
      </c>
      <c r="B34" s="10">
        <v>40</v>
      </c>
      <c r="C34" s="10" t="s">
        <v>804</v>
      </c>
      <c r="D34" s="19">
        <v>2911.12</v>
      </c>
      <c r="E34" s="10" t="s">
        <v>113</v>
      </c>
      <c r="F34" s="10" t="s">
        <v>108</v>
      </c>
      <c r="G34" s="19">
        <f>IFERROR(INDEX(Orders!$H$2:$H$401,MATCH(B34,Orders!$A$2:$A$401,0)),"")</f>
        <v>2911.1109999999999</v>
      </c>
      <c r="H34" s="10" t="str">
        <f t="shared" si="0"/>
        <v>2023-03</v>
      </c>
      <c r="I34" s="10" t="str">
        <f>IFERROR(INDEX(Orders!$F$2:$F$401,MATCH(B34,Orders!$A$2:$A$401,0)),"")</f>
        <v>Shipped</v>
      </c>
    </row>
    <row r="35" spans="1:9" ht="15" customHeight="1" x14ac:dyDescent="0.25">
      <c r="A35" s="10">
        <v>34</v>
      </c>
      <c r="B35" s="10">
        <v>41</v>
      </c>
      <c r="C35" s="10" t="s">
        <v>1261</v>
      </c>
      <c r="D35" s="19">
        <v>5293.05</v>
      </c>
      <c r="E35" s="10" t="s">
        <v>113</v>
      </c>
      <c r="F35" s="10" t="s">
        <v>108</v>
      </c>
      <c r="G35" s="19">
        <f>IFERROR(INDEX(Orders!$H$2:$H$401,MATCH(B35,Orders!$A$2:$A$401,0)),"")</f>
        <v>5293.05</v>
      </c>
      <c r="H35" s="10" t="str">
        <f t="shared" si="0"/>
        <v>2024-01</v>
      </c>
      <c r="I35" s="10" t="str">
        <f>IFERROR(INDEX(Orders!$F$2:$F$401,MATCH(B35,Orders!$A$2:$A$401,0)),"")</f>
        <v>Shipped</v>
      </c>
    </row>
    <row r="36" spans="1:9" ht="15" customHeight="1" x14ac:dyDescent="0.25">
      <c r="A36" s="10">
        <v>35</v>
      </c>
      <c r="B36" s="10">
        <v>43</v>
      </c>
      <c r="C36" s="10" t="s">
        <v>907</v>
      </c>
      <c r="D36" s="19">
        <v>1673.19</v>
      </c>
      <c r="E36" s="10" t="s">
        <v>109</v>
      </c>
      <c r="F36" s="10" t="s">
        <v>108</v>
      </c>
      <c r="G36" s="19">
        <f>IFERROR(INDEX(Orders!$H$2:$H$401,MATCH(B36,Orders!$A$2:$A$401,0)),"")</f>
        <v>1673.19</v>
      </c>
      <c r="H36" s="10" t="str">
        <f t="shared" si="0"/>
        <v>2023-12</v>
      </c>
      <c r="I36" s="10" t="str">
        <f>IFERROR(INDEX(Orders!$F$2:$F$401,MATCH(B36,Orders!$A$2:$A$401,0)),"")</f>
        <v>Returned</v>
      </c>
    </row>
    <row r="37" spans="1:9" ht="15" customHeight="1" x14ac:dyDescent="0.25">
      <c r="A37" s="10">
        <v>36</v>
      </c>
      <c r="B37" s="10">
        <v>44</v>
      </c>
      <c r="C37" s="10" t="s">
        <v>305</v>
      </c>
      <c r="D37" s="19">
        <v>6247.26</v>
      </c>
      <c r="E37" s="10" t="s">
        <v>112</v>
      </c>
      <c r="F37" s="10" t="s">
        <v>108</v>
      </c>
      <c r="G37" s="19">
        <f>IFERROR(INDEX(Orders!$H$2:$H$401,MATCH(B37,Orders!$A$2:$A$401,0)),"")</f>
        <v>6247.2510000000002</v>
      </c>
      <c r="H37" s="10" t="str">
        <f t="shared" si="0"/>
        <v>2025-01</v>
      </c>
      <c r="I37" s="10" t="str">
        <f>IFERROR(INDEX(Orders!$F$2:$F$401,MATCH(B37,Orders!$A$2:$A$401,0)),"")</f>
        <v>Delivered</v>
      </c>
    </row>
    <row r="38" spans="1:9" ht="15" customHeight="1" x14ac:dyDescent="0.25">
      <c r="A38" s="10">
        <v>37</v>
      </c>
      <c r="B38" s="10">
        <v>45</v>
      </c>
      <c r="C38" s="10" t="s">
        <v>919</v>
      </c>
      <c r="D38" s="19">
        <v>9848.7800000000007</v>
      </c>
      <c r="E38" s="10" t="s">
        <v>112</v>
      </c>
      <c r="F38" s="10" t="s">
        <v>108</v>
      </c>
      <c r="G38" s="19">
        <f>IFERROR(INDEX(Orders!$H$2:$H$401,MATCH(B38,Orders!$A$2:$A$401,0)),"")</f>
        <v>9848.7835000000014</v>
      </c>
      <c r="H38" s="10" t="str">
        <f t="shared" si="0"/>
        <v>2023-06</v>
      </c>
      <c r="I38" s="10" t="str">
        <f>IFERROR(INDEX(Orders!$F$2:$F$401,MATCH(B38,Orders!$A$2:$A$401,0)),"")</f>
        <v>Delivered</v>
      </c>
    </row>
    <row r="39" spans="1:9" ht="15" customHeight="1" x14ac:dyDescent="0.25">
      <c r="A39" s="10">
        <v>38</v>
      </c>
      <c r="B39" s="10">
        <v>46</v>
      </c>
      <c r="C39" s="10" t="s">
        <v>940</v>
      </c>
      <c r="D39" s="19">
        <v>353.04</v>
      </c>
      <c r="E39" s="10" t="s">
        <v>113</v>
      </c>
      <c r="F39" s="10" t="s">
        <v>108</v>
      </c>
      <c r="G39" s="19">
        <f>IFERROR(INDEX(Orders!$H$2:$H$401,MATCH(B39,Orders!$A$2:$A$401,0)),"")</f>
        <v>353.03899999999999</v>
      </c>
      <c r="H39" s="10" t="str">
        <f t="shared" si="0"/>
        <v>2024-03</v>
      </c>
      <c r="I39" s="10" t="str">
        <f>IFERROR(INDEX(Orders!$F$2:$F$401,MATCH(B39,Orders!$A$2:$A$401,0)),"")</f>
        <v>Shipped</v>
      </c>
    </row>
    <row r="40" spans="1:9" ht="15" customHeight="1" x14ac:dyDescent="0.25">
      <c r="A40" s="10">
        <v>39</v>
      </c>
      <c r="B40" s="10">
        <v>47</v>
      </c>
      <c r="C40" s="10" t="s">
        <v>859</v>
      </c>
      <c r="D40" s="19">
        <v>3906.98</v>
      </c>
      <c r="E40" s="10" t="s">
        <v>111</v>
      </c>
      <c r="F40" s="10" t="s">
        <v>108</v>
      </c>
      <c r="G40" s="19">
        <f>IFERROR(INDEX(Orders!$H$2:$H$401,MATCH(B40,Orders!$A$2:$A$401,0)),"")</f>
        <v>3906.9760000000006</v>
      </c>
      <c r="H40" s="10" t="str">
        <f t="shared" si="0"/>
        <v>2024-12</v>
      </c>
      <c r="I40" s="10" t="str">
        <f>IFERROR(INDEX(Orders!$F$2:$F$401,MATCH(B40,Orders!$A$2:$A$401,0)),"")</f>
        <v>Delivered</v>
      </c>
    </row>
    <row r="41" spans="1:9" ht="15" customHeight="1" x14ac:dyDescent="0.25">
      <c r="A41" s="10">
        <v>40</v>
      </c>
      <c r="B41" s="10">
        <v>48</v>
      </c>
      <c r="C41" s="10" t="s">
        <v>795</v>
      </c>
      <c r="D41" s="19">
        <v>6831.21</v>
      </c>
      <c r="E41" s="10" t="s">
        <v>112</v>
      </c>
      <c r="F41" s="10" t="s">
        <v>108</v>
      </c>
      <c r="G41" s="19">
        <f>IFERROR(INDEX(Orders!$H$2:$H$401,MATCH(B41,Orders!$A$2:$A$401,0)),"")</f>
        <v>6831.2170000000006</v>
      </c>
      <c r="H41" s="10" t="str">
        <f t="shared" si="0"/>
        <v>2023-02</v>
      </c>
      <c r="I41" s="10" t="str">
        <f>IFERROR(INDEX(Orders!$F$2:$F$401,MATCH(B41,Orders!$A$2:$A$401,0)),"")</f>
        <v>Pending</v>
      </c>
    </row>
    <row r="42" spans="1:9" ht="15" customHeight="1" x14ac:dyDescent="0.25">
      <c r="A42" s="10">
        <v>41</v>
      </c>
      <c r="B42" s="10">
        <v>49</v>
      </c>
      <c r="C42" s="10" t="s">
        <v>781</v>
      </c>
      <c r="D42" s="19">
        <v>3785.57</v>
      </c>
      <c r="E42" s="10" t="s">
        <v>111</v>
      </c>
      <c r="F42" s="10" t="s">
        <v>110</v>
      </c>
      <c r="G42" s="19">
        <f>IFERROR(INDEX(Orders!$H$2:$H$401,MATCH(B42,Orders!$A$2:$A$401,0)),"")</f>
        <v>3785.5680000000002</v>
      </c>
      <c r="H42" s="10" t="str">
        <f t="shared" si="0"/>
        <v>2025-07</v>
      </c>
      <c r="I42" s="10" t="str">
        <f>IFERROR(INDEX(Orders!$F$2:$F$401,MATCH(B42,Orders!$A$2:$A$401,0)),"")</f>
        <v>Returned</v>
      </c>
    </row>
    <row r="43" spans="1:9" ht="15" customHeight="1" x14ac:dyDescent="0.25">
      <c r="A43" s="10">
        <v>42</v>
      </c>
      <c r="B43" s="10">
        <v>50</v>
      </c>
      <c r="C43" s="10" t="s">
        <v>1262</v>
      </c>
      <c r="D43" s="19">
        <v>4032.92</v>
      </c>
      <c r="E43" s="10" t="s">
        <v>109</v>
      </c>
      <c r="F43" s="10" t="s">
        <v>16</v>
      </c>
      <c r="G43" s="19">
        <f>IFERROR(INDEX(Orders!$H$2:$H$401,MATCH(B43,Orders!$A$2:$A$401,0)),"")</f>
        <v>4032.915</v>
      </c>
      <c r="H43" s="10" t="str">
        <f t="shared" si="0"/>
        <v>2023-12</v>
      </c>
      <c r="I43" s="10" t="str">
        <f>IFERROR(INDEX(Orders!$F$2:$F$401,MATCH(B43,Orders!$A$2:$A$401,0)),"")</f>
        <v>Pending</v>
      </c>
    </row>
    <row r="44" spans="1:9" ht="15" customHeight="1" x14ac:dyDescent="0.25">
      <c r="A44" s="10">
        <v>43</v>
      </c>
      <c r="B44" s="10">
        <v>51</v>
      </c>
      <c r="C44" s="10" t="s">
        <v>1263</v>
      </c>
      <c r="D44" s="19">
        <v>4438.3900000000003</v>
      </c>
      <c r="E44" s="10" t="s">
        <v>113</v>
      </c>
      <c r="F44" s="10" t="s">
        <v>108</v>
      </c>
      <c r="G44" s="19">
        <f>IFERROR(INDEX(Orders!$H$2:$H$401,MATCH(B44,Orders!$A$2:$A$401,0)),"")</f>
        <v>4438.3920000000007</v>
      </c>
      <c r="H44" s="10" t="str">
        <f t="shared" si="0"/>
        <v>2023-11</v>
      </c>
      <c r="I44" s="10" t="str">
        <f>IFERROR(INDEX(Orders!$F$2:$F$401,MATCH(B44,Orders!$A$2:$A$401,0)),"")</f>
        <v>Delivered</v>
      </c>
    </row>
    <row r="45" spans="1:9" ht="15" customHeight="1" x14ac:dyDescent="0.25">
      <c r="A45" s="10">
        <v>44</v>
      </c>
      <c r="B45" s="10">
        <v>52</v>
      </c>
      <c r="C45" s="10" t="s">
        <v>823</v>
      </c>
      <c r="D45" s="19">
        <v>1692.74</v>
      </c>
      <c r="E45" s="10" t="s">
        <v>111</v>
      </c>
      <c r="F45" s="10" t="s">
        <v>108</v>
      </c>
      <c r="G45" s="19">
        <f>IFERROR(INDEX(Orders!$H$2:$H$401,MATCH(B45,Orders!$A$2:$A$401,0)),"")</f>
        <v>1692.741</v>
      </c>
      <c r="H45" s="10" t="str">
        <f t="shared" si="0"/>
        <v>2025-10</v>
      </c>
      <c r="I45" s="10" t="str">
        <f>IFERROR(INDEX(Orders!$F$2:$F$401,MATCH(B45,Orders!$A$2:$A$401,0)),"")</f>
        <v>Shipped</v>
      </c>
    </row>
    <row r="46" spans="1:9" ht="15" customHeight="1" x14ac:dyDescent="0.25">
      <c r="A46" s="10">
        <v>45</v>
      </c>
      <c r="B46" s="10">
        <v>53</v>
      </c>
      <c r="C46" s="10" t="s">
        <v>1264</v>
      </c>
      <c r="D46" s="19">
        <v>10479.780000000001</v>
      </c>
      <c r="E46" s="10" t="s">
        <v>111</v>
      </c>
      <c r="F46" s="10" t="s">
        <v>108</v>
      </c>
      <c r="G46" s="19">
        <f>IFERROR(INDEX(Orders!$H$2:$H$401,MATCH(B46,Orders!$A$2:$A$401,0)),"")</f>
        <v>10479.784</v>
      </c>
      <c r="H46" s="10" t="str">
        <f t="shared" si="0"/>
        <v>2025-09</v>
      </c>
      <c r="I46" s="10" t="str">
        <f>IFERROR(INDEX(Orders!$F$2:$F$401,MATCH(B46,Orders!$A$2:$A$401,0)),"")</f>
        <v>Returned</v>
      </c>
    </row>
    <row r="47" spans="1:9" ht="15" customHeight="1" x14ac:dyDescent="0.25">
      <c r="A47" s="10">
        <v>46</v>
      </c>
      <c r="B47" s="10">
        <v>57</v>
      </c>
      <c r="C47" s="10" t="s">
        <v>1265</v>
      </c>
      <c r="D47" s="19">
        <v>9644.98</v>
      </c>
      <c r="E47" s="10" t="s">
        <v>111</v>
      </c>
      <c r="F47" s="10" t="s">
        <v>108</v>
      </c>
      <c r="G47" s="19">
        <f>IFERROR(INDEX(Orders!$H$2:$H$401,MATCH(B47,Orders!$A$2:$A$401,0)),"")</f>
        <v>9644.9779999999992</v>
      </c>
      <c r="H47" s="10" t="str">
        <f t="shared" si="0"/>
        <v>2025-01</v>
      </c>
      <c r="I47" s="10" t="str">
        <f>IFERROR(INDEX(Orders!$F$2:$F$401,MATCH(B47,Orders!$A$2:$A$401,0)),"")</f>
        <v>Shipped</v>
      </c>
    </row>
    <row r="48" spans="1:9" ht="15" customHeight="1" x14ac:dyDescent="0.25">
      <c r="A48" s="10">
        <v>47</v>
      </c>
      <c r="B48" s="10">
        <v>58</v>
      </c>
      <c r="C48" s="10" t="s">
        <v>1266</v>
      </c>
      <c r="D48" s="19">
        <v>3700.66</v>
      </c>
      <c r="E48" s="10" t="s">
        <v>111</v>
      </c>
      <c r="F48" s="10" t="s">
        <v>108</v>
      </c>
      <c r="G48" s="19">
        <f>IFERROR(INDEX(Orders!$H$2:$H$401,MATCH(B48,Orders!$A$2:$A$401,0)),"")</f>
        <v>3700.6640000000002</v>
      </c>
      <c r="H48" s="10" t="str">
        <f t="shared" si="0"/>
        <v>2025-10</v>
      </c>
      <c r="I48" s="10" t="str">
        <f>IFERROR(INDEX(Orders!$F$2:$F$401,MATCH(B48,Orders!$A$2:$A$401,0)),"")</f>
        <v>Delivered</v>
      </c>
    </row>
    <row r="49" spans="1:9" ht="15" customHeight="1" x14ac:dyDescent="0.25">
      <c r="A49" s="10">
        <v>48</v>
      </c>
      <c r="B49" s="10">
        <v>60</v>
      </c>
      <c r="C49" s="10" t="s">
        <v>1267</v>
      </c>
      <c r="D49" s="19">
        <v>6618.75</v>
      </c>
      <c r="E49" s="10" t="s">
        <v>113</v>
      </c>
      <c r="F49" s="10" t="s">
        <v>108</v>
      </c>
      <c r="G49" s="19">
        <f>IFERROR(INDEX(Orders!$H$2:$H$401,MATCH(B49,Orders!$A$2:$A$401,0)),"")</f>
        <v>6618.7530000000006</v>
      </c>
      <c r="H49" s="10" t="str">
        <f t="shared" si="0"/>
        <v>2025-01</v>
      </c>
      <c r="I49" s="10" t="str">
        <f>IFERROR(INDEX(Orders!$F$2:$F$401,MATCH(B49,Orders!$A$2:$A$401,0)),"")</f>
        <v>Pending</v>
      </c>
    </row>
    <row r="50" spans="1:9" ht="15" customHeight="1" x14ac:dyDescent="0.25">
      <c r="A50" s="10">
        <v>49</v>
      </c>
      <c r="B50" s="10">
        <v>61</v>
      </c>
      <c r="C50" s="10" t="s">
        <v>348</v>
      </c>
      <c r="D50" s="19">
        <v>318.23</v>
      </c>
      <c r="E50" s="10" t="s">
        <v>113</v>
      </c>
      <c r="F50" s="10" t="s">
        <v>108</v>
      </c>
      <c r="G50" s="19">
        <f>IFERROR(INDEX(Orders!$H$2:$H$401,MATCH(B50,Orders!$A$2:$A$401,0)),"")</f>
        <v>318.23099999999999</v>
      </c>
      <c r="H50" s="10" t="str">
        <f t="shared" si="0"/>
        <v>2023-11</v>
      </c>
      <c r="I50" s="10" t="str">
        <f>IFERROR(INDEX(Orders!$F$2:$F$401,MATCH(B50,Orders!$A$2:$A$401,0)),"")</f>
        <v>Delivered</v>
      </c>
    </row>
    <row r="51" spans="1:9" ht="15" customHeight="1" x14ac:dyDescent="0.25">
      <c r="A51" s="10">
        <v>50</v>
      </c>
      <c r="B51" s="10">
        <v>63</v>
      </c>
      <c r="C51" s="10" t="s">
        <v>1268</v>
      </c>
      <c r="D51" s="19">
        <v>5623.45</v>
      </c>
      <c r="E51" s="10" t="s">
        <v>112</v>
      </c>
      <c r="F51" s="10" t="s">
        <v>16</v>
      </c>
      <c r="G51" s="19">
        <f>IFERROR(INDEX(Orders!$H$2:$H$401,MATCH(B51,Orders!$A$2:$A$401,0)),"")</f>
        <v>5623.4500000000007</v>
      </c>
      <c r="H51" s="10" t="str">
        <f t="shared" si="0"/>
        <v>2025-12</v>
      </c>
      <c r="I51" s="10" t="str">
        <f>IFERROR(INDEX(Orders!$F$2:$F$401,MATCH(B51,Orders!$A$2:$A$401,0)),"")</f>
        <v>Pending</v>
      </c>
    </row>
    <row r="52" spans="1:9" ht="15" customHeight="1" x14ac:dyDescent="0.25">
      <c r="A52" s="10">
        <v>51</v>
      </c>
      <c r="B52" s="10">
        <v>64</v>
      </c>
      <c r="C52" s="10" t="s">
        <v>1269</v>
      </c>
      <c r="D52" s="19">
        <v>9127.08</v>
      </c>
      <c r="E52" s="10" t="s">
        <v>112</v>
      </c>
      <c r="F52" s="10" t="s">
        <v>108</v>
      </c>
      <c r="G52" s="19">
        <f>IFERROR(INDEX(Orders!$H$2:$H$401,MATCH(B52,Orders!$A$2:$A$401,0)),"")</f>
        <v>9127.0835000000006</v>
      </c>
      <c r="H52" s="10" t="str">
        <f t="shared" si="0"/>
        <v>2024-03</v>
      </c>
      <c r="I52" s="10" t="str">
        <f>IFERROR(INDEX(Orders!$F$2:$F$401,MATCH(B52,Orders!$A$2:$A$401,0)),"")</f>
        <v>Returned</v>
      </c>
    </row>
    <row r="53" spans="1:9" ht="15" customHeight="1" x14ac:dyDescent="0.25">
      <c r="A53" s="10">
        <v>52</v>
      </c>
      <c r="B53" s="10">
        <v>65</v>
      </c>
      <c r="C53" s="10" t="s">
        <v>1270</v>
      </c>
      <c r="D53" s="19">
        <v>4896.5200000000004</v>
      </c>
      <c r="E53" s="10" t="s">
        <v>109</v>
      </c>
      <c r="F53" s="10" t="s">
        <v>16</v>
      </c>
      <c r="G53" s="19">
        <f>IFERROR(INDEX(Orders!$H$2:$H$401,MATCH(B53,Orders!$A$2:$A$401,0)),"")</f>
        <v>4896.5244999999995</v>
      </c>
      <c r="H53" s="10" t="str">
        <f t="shared" si="0"/>
        <v>2023-06</v>
      </c>
      <c r="I53" s="10" t="str">
        <f>IFERROR(INDEX(Orders!$F$2:$F$401,MATCH(B53,Orders!$A$2:$A$401,0)),"")</f>
        <v>Pending</v>
      </c>
    </row>
    <row r="54" spans="1:9" ht="15" customHeight="1" x14ac:dyDescent="0.25">
      <c r="A54" s="10">
        <v>53</v>
      </c>
      <c r="B54" s="10">
        <v>66</v>
      </c>
      <c r="C54" s="10" t="s">
        <v>862</v>
      </c>
      <c r="D54" s="19">
        <v>3939.04</v>
      </c>
      <c r="E54" s="10" t="s">
        <v>111</v>
      </c>
      <c r="F54" s="10" t="s">
        <v>108</v>
      </c>
      <c r="G54" s="19">
        <f>IFERROR(INDEX(Orders!$H$2:$H$401,MATCH(B54,Orders!$A$2:$A$401,0)),"")</f>
        <v>3939.04</v>
      </c>
      <c r="H54" s="10" t="str">
        <f t="shared" si="0"/>
        <v>2024-05</v>
      </c>
      <c r="I54" s="10" t="str">
        <f>IFERROR(INDEX(Orders!$F$2:$F$401,MATCH(B54,Orders!$A$2:$A$401,0)),"")</f>
        <v>Delivered</v>
      </c>
    </row>
    <row r="55" spans="1:9" ht="15" customHeight="1" x14ac:dyDescent="0.25">
      <c r="A55" s="10">
        <v>54</v>
      </c>
      <c r="B55" s="10">
        <v>67</v>
      </c>
      <c r="C55" s="10" t="s">
        <v>1142</v>
      </c>
      <c r="D55" s="19">
        <v>1874.98</v>
      </c>
      <c r="E55" s="10" t="s">
        <v>111</v>
      </c>
      <c r="F55" s="10" t="s">
        <v>110</v>
      </c>
      <c r="G55" s="19">
        <f>IFERROR(INDEX(Orders!$H$2:$H$401,MATCH(B55,Orders!$A$2:$A$401,0)),"")</f>
        <v>1874.9830000000002</v>
      </c>
      <c r="H55" s="10" t="str">
        <f t="shared" si="0"/>
        <v>2025-04</v>
      </c>
      <c r="I55" s="10" t="str">
        <f>IFERROR(INDEX(Orders!$F$2:$F$401,MATCH(B55,Orders!$A$2:$A$401,0)),"")</f>
        <v>Returned</v>
      </c>
    </row>
    <row r="56" spans="1:9" ht="15" customHeight="1" x14ac:dyDescent="0.25">
      <c r="A56" s="10">
        <v>55</v>
      </c>
      <c r="B56" s="10">
        <v>68</v>
      </c>
      <c r="C56" s="10" t="s">
        <v>1271</v>
      </c>
      <c r="D56" s="19">
        <v>1289.57</v>
      </c>
      <c r="E56" s="10" t="s">
        <v>113</v>
      </c>
      <c r="F56" s="10" t="s">
        <v>108</v>
      </c>
      <c r="G56" s="19">
        <f>IFERROR(INDEX(Orders!$H$2:$H$401,MATCH(B56,Orders!$A$2:$A$401,0)),"")</f>
        <v>1289.5650000000001</v>
      </c>
      <c r="H56" s="10" t="str">
        <f t="shared" si="0"/>
        <v>2025-03</v>
      </c>
      <c r="I56" s="10" t="str">
        <f>IFERROR(INDEX(Orders!$F$2:$F$401,MATCH(B56,Orders!$A$2:$A$401,0)),"")</f>
        <v>Returned</v>
      </c>
    </row>
    <row r="57" spans="1:9" ht="15" customHeight="1" x14ac:dyDescent="0.25">
      <c r="A57" s="10">
        <v>56</v>
      </c>
      <c r="B57" s="10">
        <v>69</v>
      </c>
      <c r="C57" s="10" t="s">
        <v>802</v>
      </c>
      <c r="D57" s="19">
        <v>107.43</v>
      </c>
      <c r="E57" s="10" t="s">
        <v>111</v>
      </c>
      <c r="F57" s="10" t="s">
        <v>108</v>
      </c>
      <c r="G57" s="19">
        <f>IFERROR(INDEX(Orders!$H$2:$H$401,MATCH(B57,Orders!$A$2:$A$401,0)),"")</f>
        <v>107.43150000000001</v>
      </c>
      <c r="H57" s="10" t="str">
        <f t="shared" si="0"/>
        <v>2023-10</v>
      </c>
      <c r="I57" s="10" t="str">
        <f>IFERROR(INDEX(Orders!$F$2:$F$401,MATCH(B57,Orders!$A$2:$A$401,0)),"")</f>
        <v>Returned</v>
      </c>
    </row>
    <row r="58" spans="1:9" ht="15" customHeight="1" x14ac:dyDescent="0.25">
      <c r="A58" s="10">
        <v>57</v>
      </c>
      <c r="B58" s="10">
        <v>70</v>
      </c>
      <c r="C58" s="10" t="s">
        <v>847</v>
      </c>
      <c r="D58" s="19">
        <v>4931.63</v>
      </c>
      <c r="E58" s="10" t="s">
        <v>112</v>
      </c>
      <c r="F58" s="10" t="s">
        <v>108</v>
      </c>
      <c r="G58" s="19">
        <f>IFERROR(INDEX(Orders!$H$2:$H$401,MATCH(B58,Orders!$A$2:$A$401,0)),"")</f>
        <v>4931.6264999999994</v>
      </c>
      <c r="H58" s="10" t="str">
        <f t="shared" si="0"/>
        <v>2024-08</v>
      </c>
      <c r="I58" s="10" t="str">
        <f>IFERROR(INDEX(Orders!$F$2:$F$401,MATCH(B58,Orders!$A$2:$A$401,0)),"")</f>
        <v>Delivered</v>
      </c>
    </row>
    <row r="59" spans="1:9" ht="15" customHeight="1" x14ac:dyDescent="0.25">
      <c r="A59" s="10">
        <v>58</v>
      </c>
      <c r="B59" s="10">
        <v>71</v>
      </c>
      <c r="C59" s="10" t="s">
        <v>1272</v>
      </c>
      <c r="D59" s="19">
        <v>6045.39</v>
      </c>
      <c r="E59" s="10" t="s">
        <v>112</v>
      </c>
      <c r="F59" s="10" t="s">
        <v>108</v>
      </c>
      <c r="G59" s="19">
        <f>IFERROR(INDEX(Orders!$H$2:$H$401,MATCH(B59,Orders!$A$2:$A$401,0)),"")</f>
        <v>6045.393</v>
      </c>
      <c r="H59" s="10" t="str">
        <f t="shared" si="0"/>
        <v>2025-07</v>
      </c>
      <c r="I59" s="10" t="str">
        <f>IFERROR(INDEX(Orders!$F$2:$F$401,MATCH(B59,Orders!$A$2:$A$401,0)),"")</f>
        <v>Shipped</v>
      </c>
    </row>
    <row r="60" spans="1:9" ht="15" customHeight="1" x14ac:dyDescent="0.25">
      <c r="A60" s="10">
        <v>59</v>
      </c>
      <c r="B60" s="10">
        <v>72</v>
      </c>
      <c r="C60" s="10" t="s">
        <v>848</v>
      </c>
      <c r="D60" s="19">
        <v>2483.67</v>
      </c>
      <c r="E60" s="10" t="s">
        <v>113</v>
      </c>
      <c r="F60" s="10" t="s">
        <v>16</v>
      </c>
      <c r="G60" s="19">
        <f>IFERROR(INDEX(Orders!$H$2:$H$401,MATCH(B60,Orders!$A$2:$A$401,0)),"")</f>
        <v>2483.6680000000001</v>
      </c>
      <c r="H60" s="10" t="str">
        <f t="shared" si="0"/>
        <v>2024-08</v>
      </c>
      <c r="I60" s="10" t="str">
        <f>IFERROR(INDEX(Orders!$F$2:$F$401,MATCH(B60,Orders!$A$2:$A$401,0)),"")</f>
        <v>Pending</v>
      </c>
    </row>
    <row r="61" spans="1:9" ht="15" customHeight="1" x14ac:dyDescent="0.25">
      <c r="A61" s="10">
        <v>60</v>
      </c>
      <c r="B61" s="10">
        <v>73</v>
      </c>
      <c r="C61" s="10" t="s">
        <v>1273</v>
      </c>
      <c r="D61" s="19">
        <v>6897.79</v>
      </c>
      <c r="E61" s="10" t="s">
        <v>113</v>
      </c>
      <c r="F61" s="10" t="s">
        <v>108</v>
      </c>
      <c r="G61" s="19">
        <f>IFERROR(INDEX(Orders!$H$2:$H$401,MATCH(B61,Orders!$A$2:$A$401,0)),"")</f>
        <v>6897.7910000000002</v>
      </c>
      <c r="H61" s="10" t="str">
        <f t="shared" si="0"/>
        <v>2024-05</v>
      </c>
      <c r="I61" s="10" t="str">
        <f>IFERROR(INDEX(Orders!$F$2:$F$401,MATCH(B61,Orders!$A$2:$A$401,0)),"")</f>
        <v>Delivered</v>
      </c>
    </row>
    <row r="62" spans="1:9" ht="15" customHeight="1" x14ac:dyDescent="0.25">
      <c r="A62" s="10">
        <v>61</v>
      </c>
      <c r="B62" s="10">
        <v>74</v>
      </c>
      <c r="C62" s="10" t="s">
        <v>870</v>
      </c>
      <c r="D62" s="19">
        <v>183.6</v>
      </c>
      <c r="E62" s="10" t="s">
        <v>113</v>
      </c>
      <c r="F62" s="10" t="s">
        <v>108</v>
      </c>
      <c r="G62" s="19">
        <f>IFERROR(INDEX(Orders!$H$2:$H$401,MATCH(B62,Orders!$A$2:$A$401,0)),"")</f>
        <v>183.6</v>
      </c>
      <c r="H62" s="10" t="str">
        <f t="shared" si="0"/>
        <v>2025-10</v>
      </c>
      <c r="I62" s="10" t="str">
        <f>IFERROR(INDEX(Orders!$F$2:$F$401,MATCH(B62,Orders!$A$2:$A$401,0)),"")</f>
        <v>Delivered</v>
      </c>
    </row>
    <row r="63" spans="1:9" ht="15" customHeight="1" x14ac:dyDescent="0.25">
      <c r="A63" s="10">
        <v>62</v>
      </c>
      <c r="B63" s="10">
        <v>75</v>
      </c>
      <c r="C63" s="10" t="s">
        <v>855</v>
      </c>
      <c r="D63" s="19">
        <v>4859.13</v>
      </c>
      <c r="E63" s="10" t="s">
        <v>109</v>
      </c>
      <c r="F63" s="10" t="s">
        <v>108</v>
      </c>
      <c r="G63" s="19">
        <f>IFERROR(INDEX(Orders!$H$2:$H$401,MATCH(B63,Orders!$A$2:$A$401,0)),"")</f>
        <v>4859.1309999999994</v>
      </c>
      <c r="H63" s="10" t="str">
        <f t="shared" si="0"/>
        <v>2025-08</v>
      </c>
      <c r="I63" s="10" t="str">
        <f>IFERROR(INDEX(Orders!$F$2:$F$401,MATCH(B63,Orders!$A$2:$A$401,0)),"")</f>
        <v>Shipped</v>
      </c>
    </row>
    <row r="64" spans="1:9" ht="15" customHeight="1" x14ac:dyDescent="0.25">
      <c r="A64" s="10">
        <v>63</v>
      </c>
      <c r="B64" s="10">
        <v>76</v>
      </c>
      <c r="C64" s="10" t="s">
        <v>1185</v>
      </c>
      <c r="D64" s="19">
        <v>3541.44</v>
      </c>
      <c r="E64" s="10" t="s">
        <v>113</v>
      </c>
      <c r="F64" s="10" t="s">
        <v>108</v>
      </c>
      <c r="G64" s="19">
        <f>IFERROR(INDEX(Orders!$H$2:$H$401,MATCH(B64,Orders!$A$2:$A$401,0)),"")</f>
        <v>3541.4364999999998</v>
      </c>
      <c r="H64" s="10" t="str">
        <f t="shared" si="0"/>
        <v>2025-08</v>
      </c>
      <c r="I64" s="10" t="str">
        <f>IFERROR(INDEX(Orders!$F$2:$F$401,MATCH(B64,Orders!$A$2:$A$401,0)),"")</f>
        <v>Delivered</v>
      </c>
    </row>
    <row r="65" spans="1:9" ht="15" customHeight="1" x14ac:dyDescent="0.25">
      <c r="A65" s="10">
        <v>64</v>
      </c>
      <c r="B65" s="10">
        <v>77</v>
      </c>
      <c r="C65" s="10" t="s">
        <v>1274</v>
      </c>
      <c r="D65" s="19">
        <v>3845.2</v>
      </c>
      <c r="E65" s="10" t="s">
        <v>113</v>
      </c>
      <c r="F65" s="10" t="s">
        <v>108</v>
      </c>
      <c r="G65" s="19">
        <f>IFERROR(INDEX(Orders!$H$2:$H$401,MATCH(B65,Orders!$A$2:$A$401,0)),"")</f>
        <v>3845.1940000000004</v>
      </c>
      <c r="H65" s="10" t="str">
        <f t="shared" si="0"/>
        <v>2024-12</v>
      </c>
      <c r="I65" s="10" t="str">
        <f>IFERROR(INDEX(Orders!$F$2:$F$401,MATCH(B65,Orders!$A$2:$A$401,0)),"")</f>
        <v>Delivered</v>
      </c>
    </row>
    <row r="66" spans="1:9" ht="15" customHeight="1" x14ac:dyDescent="0.25">
      <c r="A66" s="10">
        <v>65</v>
      </c>
      <c r="B66" s="10">
        <v>78</v>
      </c>
      <c r="C66" s="10" t="s">
        <v>851</v>
      </c>
      <c r="D66" s="19">
        <v>2554.36</v>
      </c>
      <c r="E66" s="10" t="s">
        <v>109</v>
      </c>
      <c r="F66" s="10" t="s">
        <v>110</v>
      </c>
      <c r="G66" s="19">
        <f>IFERROR(INDEX(Orders!$H$2:$H$401,MATCH(B66,Orders!$A$2:$A$401,0)),"")</f>
        <v>2554.36</v>
      </c>
      <c r="H66" s="10" t="str">
        <f t="shared" ref="H66:H129" si="1">IF(C66="","",TEXT(C66,"YYYY-MM"))</f>
        <v>2024-05</v>
      </c>
      <c r="I66" s="10" t="str">
        <f>IFERROR(INDEX(Orders!$F$2:$F$401,MATCH(B66,Orders!$A$2:$A$401,0)),"")</f>
        <v>Returned</v>
      </c>
    </row>
    <row r="67" spans="1:9" ht="15" customHeight="1" x14ac:dyDescent="0.25">
      <c r="A67" s="10">
        <v>66</v>
      </c>
      <c r="B67" s="10">
        <v>79</v>
      </c>
      <c r="C67" s="10" t="s">
        <v>1153</v>
      </c>
      <c r="D67" s="19">
        <v>1499.04</v>
      </c>
      <c r="E67" s="10" t="s">
        <v>112</v>
      </c>
      <c r="F67" s="10" t="s">
        <v>108</v>
      </c>
      <c r="G67" s="19">
        <f>IFERROR(INDEX(Orders!$H$2:$H$401,MATCH(B67,Orders!$A$2:$A$401,0)),"")</f>
        <v>1499.04</v>
      </c>
      <c r="H67" s="10" t="str">
        <f t="shared" si="1"/>
        <v>2024-05</v>
      </c>
      <c r="I67" s="10" t="str">
        <f>IFERROR(INDEX(Orders!$F$2:$F$401,MATCH(B67,Orders!$A$2:$A$401,0)),"")</f>
        <v>Delivered</v>
      </c>
    </row>
    <row r="68" spans="1:9" ht="15" customHeight="1" x14ac:dyDescent="0.25">
      <c r="A68" s="10">
        <v>67</v>
      </c>
      <c r="B68" s="10">
        <v>80</v>
      </c>
      <c r="C68" s="10" t="s">
        <v>906</v>
      </c>
      <c r="D68" s="19">
        <v>3013.76</v>
      </c>
      <c r="E68" s="10" t="s">
        <v>111</v>
      </c>
      <c r="F68" s="10" t="s">
        <v>108</v>
      </c>
      <c r="G68" s="19">
        <f>IFERROR(INDEX(Orders!$H$2:$H$401,MATCH(B68,Orders!$A$2:$A$401,0)),"")</f>
        <v>3013.7640000000001</v>
      </c>
      <c r="H68" s="10" t="str">
        <f t="shared" si="1"/>
        <v>2024-05</v>
      </c>
      <c r="I68" s="10" t="str">
        <f>IFERROR(INDEX(Orders!$F$2:$F$401,MATCH(B68,Orders!$A$2:$A$401,0)),"")</f>
        <v>Shipped</v>
      </c>
    </row>
    <row r="69" spans="1:9" ht="15" customHeight="1" x14ac:dyDescent="0.25">
      <c r="A69" s="10">
        <v>68</v>
      </c>
      <c r="B69" s="10">
        <v>81</v>
      </c>
      <c r="C69" s="10" t="s">
        <v>1192</v>
      </c>
      <c r="D69" s="19">
        <v>8073.18</v>
      </c>
      <c r="E69" s="10" t="s">
        <v>111</v>
      </c>
      <c r="F69" s="10" t="s">
        <v>108</v>
      </c>
      <c r="G69" s="19">
        <f>IFERROR(INDEX(Orders!$H$2:$H$401,MATCH(B69,Orders!$A$2:$A$401,0)),"")</f>
        <v>8073.1829999999991</v>
      </c>
      <c r="H69" s="10" t="str">
        <f t="shared" si="1"/>
        <v>2025-10</v>
      </c>
      <c r="I69" s="10" t="str">
        <f>IFERROR(INDEX(Orders!$F$2:$F$401,MATCH(B69,Orders!$A$2:$A$401,0)),"")</f>
        <v>Delivered</v>
      </c>
    </row>
    <row r="70" spans="1:9" ht="15" customHeight="1" x14ac:dyDescent="0.25">
      <c r="A70" s="10">
        <v>69</v>
      </c>
      <c r="B70" s="10">
        <v>83</v>
      </c>
      <c r="C70" s="10" t="s">
        <v>1019</v>
      </c>
      <c r="D70" s="19">
        <v>2390.38</v>
      </c>
      <c r="E70" s="10" t="s">
        <v>113</v>
      </c>
      <c r="F70" s="10" t="s">
        <v>108</v>
      </c>
      <c r="G70" s="19">
        <f>IFERROR(INDEX(Orders!$H$2:$H$401,MATCH(B70,Orders!$A$2:$A$401,0)),"")</f>
        <v>2390.3809999999999</v>
      </c>
      <c r="H70" s="10" t="str">
        <f t="shared" si="1"/>
        <v>2023-03</v>
      </c>
      <c r="I70" s="10" t="str">
        <f>IFERROR(INDEX(Orders!$F$2:$F$401,MATCH(B70,Orders!$A$2:$A$401,0)),"")</f>
        <v>Delivered</v>
      </c>
    </row>
    <row r="71" spans="1:9" ht="15" customHeight="1" x14ac:dyDescent="0.25">
      <c r="A71" s="10">
        <v>70</v>
      </c>
      <c r="B71" s="10">
        <v>84</v>
      </c>
      <c r="C71" s="10" t="s">
        <v>1275</v>
      </c>
      <c r="D71" s="19">
        <v>7938.36</v>
      </c>
      <c r="E71" s="10" t="s">
        <v>109</v>
      </c>
      <c r="F71" s="10" t="s">
        <v>108</v>
      </c>
      <c r="G71" s="19">
        <f>IFERROR(INDEX(Orders!$H$2:$H$401,MATCH(B71,Orders!$A$2:$A$401,0)),"")</f>
        <v>7938.3640000000005</v>
      </c>
      <c r="H71" s="10" t="str">
        <f t="shared" si="1"/>
        <v>2024-10</v>
      </c>
      <c r="I71" s="10" t="str">
        <f>IFERROR(INDEX(Orders!$F$2:$F$401,MATCH(B71,Orders!$A$2:$A$401,0)),"")</f>
        <v>Shipped</v>
      </c>
    </row>
    <row r="72" spans="1:9" ht="15" customHeight="1" x14ac:dyDescent="0.25">
      <c r="A72" s="10">
        <v>71</v>
      </c>
      <c r="B72" s="10">
        <v>85</v>
      </c>
      <c r="C72" s="10" t="s">
        <v>835</v>
      </c>
      <c r="D72" s="19">
        <v>8646.89</v>
      </c>
      <c r="E72" s="10" t="s">
        <v>112</v>
      </c>
      <c r="F72" s="10" t="s">
        <v>108</v>
      </c>
      <c r="G72" s="19">
        <f>IFERROR(INDEX(Orders!$H$2:$H$401,MATCH(B72,Orders!$A$2:$A$401,0)),"")</f>
        <v>8646.8834999999999</v>
      </c>
      <c r="H72" s="10" t="str">
        <f t="shared" si="1"/>
        <v>2023-10</v>
      </c>
      <c r="I72" s="10" t="str">
        <f>IFERROR(INDEX(Orders!$F$2:$F$401,MATCH(B72,Orders!$A$2:$A$401,0)),"")</f>
        <v>Delivered</v>
      </c>
    </row>
    <row r="73" spans="1:9" ht="15" customHeight="1" x14ac:dyDescent="0.25">
      <c r="A73" s="10">
        <v>72</v>
      </c>
      <c r="B73" s="10">
        <v>86</v>
      </c>
      <c r="C73" s="10" t="s">
        <v>870</v>
      </c>
      <c r="D73" s="19">
        <v>2367.36</v>
      </c>
      <c r="E73" s="10" t="s">
        <v>109</v>
      </c>
      <c r="F73" s="10" t="s">
        <v>110</v>
      </c>
      <c r="G73" s="19">
        <f>IFERROR(INDEX(Orders!$H$2:$H$401,MATCH(B73,Orders!$A$2:$A$401,0)),"")</f>
        <v>2367.3554999999997</v>
      </c>
      <c r="H73" s="10" t="str">
        <f t="shared" si="1"/>
        <v>2025-10</v>
      </c>
      <c r="I73" s="10" t="str">
        <f>IFERROR(INDEX(Orders!$F$2:$F$401,MATCH(B73,Orders!$A$2:$A$401,0)),"")</f>
        <v>Returned</v>
      </c>
    </row>
    <row r="74" spans="1:9" ht="15" customHeight="1" x14ac:dyDescent="0.25">
      <c r="A74" s="10">
        <v>73</v>
      </c>
      <c r="B74" s="10">
        <v>87</v>
      </c>
      <c r="C74" s="10" t="s">
        <v>873</v>
      </c>
      <c r="D74" s="19">
        <v>3349.99</v>
      </c>
      <c r="E74" s="10" t="s">
        <v>113</v>
      </c>
      <c r="F74" s="10" t="s">
        <v>108</v>
      </c>
      <c r="G74" s="19">
        <f>IFERROR(INDEX(Orders!$H$2:$H$401,MATCH(B74,Orders!$A$2:$A$401,0)),"")</f>
        <v>3349.9934999999996</v>
      </c>
      <c r="H74" s="10" t="str">
        <f t="shared" si="1"/>
        <v>2025-04</v>
      </c>
      <c r="I74" s="10" t="str">
        <f>IFERROR(INDEX(Orders!$F$2:$F$401,MATCH(B74,Orders!$A$2:$A$401,0)),"")</f>
        <v>Delivered</v>
      </c>
    </row>
    <row r="75" spans="1:9" ht="15" customHeight="1" x14ac:dyDescent="0.25">
      <c r="A75" s="10">
        <v>74</v>
      </c>
      <c r="B75" s="10">
        <v>88</v>
      </c>
      <c r="C75" s="10" t="s">
        <v>916</v>
      </c>
      <c r="D75" s="19">
        <v>5369.46</v>
      </c>
      <c r="E75" s="10" t="s">
        <v>109</v>
      </c>
      <c r="F75" s="10" t="s">
        <v>108</v>
      </c>
      <c r="G75" s="19">
        <f>IFERROR(INDEX(Orders!$H$2:$H$401,MATCH(B75,Orders!$A$2:$A$401,0)),"")</f>
        <v>5369.4570000000003</v>
      </c>
      <c r="H75" s="10" t="str">
        <f t="shared" si="1"/>
        <v>2023-02</v>
      </c>
      <c r="I75" s="10" t="str">
        <f>IFERROR(INDEX(Orders!$F$2:$F$401,MATCH(B75,Orders!$A$2:$A$401,0)),"")</f>
        <v>Delivered</v>
      </c>
    </row>
    <row r="76" spans="1:9" ht="15" customHeight="1" x14ac:dyDescent="0.25">
      <c r="A76" s="10">
        <v>75</v>
      </c>
      <c r="B76" s="10">
        <v>89</v>
      </c>
      <c r="C76" s="10" t="s">
        <v>1133</v>
      </c>
      <c r="D76" s="19">
        <v>6272.96</v>
      </c>
      <c r="E76" s="10" t="s">
        <v>109</v>
      </c>
      <c r="F76" s="10" t="s">
        <v>108</v>
      </c>
      <c r="G76" s="19">
        <f>IFERROR(INDEX(Orders!$H$2:$H$401,MATCH(B76,Orders!$A$2:$A$401,0)),"")</f>
        <v>6272.9634999999998</v>
      </c>
      <c r="H76" s="10" t="str">
        <f t="shared" si="1"/>
        <v>2025-12</v>
      </c>
      <c r="I76" s="10" t="str">
        <f>IFERROR(INDEX(Orders!$F$2:$F$401,MATCH(B76,Orders!$A$2:$A$401,0)),"")</f>
        <v>Delivered</v>
      </c>
    </row>
    <row r="77" spans="1:9" ht="15" customHeight="1" x14ac:dyDescent="0.25">
      <c r="A77" s="10">
        <v>76</v>
      </c>
      <c r="B77" s="10">
        <v>91</v>
      </c>
      <c r="C77" s="10" t="s">
        <v>1276</v>
      </c>
      <c r="D77" s="19">
        <v>6425.09</v>
      </c>
      <c r="E77" s="10" t="s">
        <v>113</v>
      </c>
      <c r="F77" s="10" t="s">
        <v>108</v>
      </c>
      <c r="G77" s="19">
        <f>IFERROR(INDEX(Orders!$H$2:$H$401,MATCH(B77,Orders!$A$2:$A$401,0)),"")</f>
        <v>6425.0860000000002</v>
      </c>
      <c r="H77" s="10" t="str">
        <f t="shared" si="1"/>
        <v>2025-12</v>
      </c>
      <c r="I77" s="10" t="str">
        <f>IFERROR(INDEX(Orders!$F$2:$F$401,MATCH(B77,Orders!$A$2:$A$401,0)),"")</f>
        <v>Delivered</v>
      </c>
    </row>
    <row r="78" spans="1:9" ht="15" customHeight="1" x14ac:dyDescent="0.25">
      <c r="A78" s="10">
        <v>77</v>
      </c>
      <c r="B78" s="10">
        <v>92</v>
      </c>
      <c r="C78" s="10" t="s">
        <v>881</v>
      </c>
      <c r="D78" s="19">
        <v>2957.35</v>
      </c>
      <c r="E78" s="10" t="s">
        <v>112</v>
      </c>
      <c r="F78" s="10" t="s">
        <v>108</v>
      </c>
      <c r="G78" s="19">
        <f>IFERROR(INDEX(Orders!$H$2:$H$401,MATCH(B78,Orders!$A$2:$A$401,0)),"")</f>
        <v>2957.3430000000003</v>
      </c>
      <c r="H78" s="10" t="str">
        <f t="shared" si="1"/>
        <v>2024-09</v>
      </c>
      <c r="I78" s="10" t="str">
        <f>IFERROR(INDEX(Orders!$F$2:$F$401,MATCH(B78,Orders!$A$2:$A$401,0)),"")</f>
        <v>Delivered</v>
      </c>
    </row>
    <row r="79" spans="1:9" ht="15" customHeight="1" x14ac:dyDescent="0.25">
      <c r="A79" s="10">
        <v>78</v>
      </c>
      <c r="B79" s="10">
        <v>93</v>
      </c>
      <c r="C79" s="10" t="s">
        <v>1181</v>
      </c>
      <c r="D79" s="19">
        <v>6291.41</v>
      </c>
      <c r="E79" s="10" t="s">
        <v>109</v>
      </c>
      <c r="F79" s="10" t="s">
        <v>108</v>
      </c>
      <c r="G79" s="19">
        <f>IFERROR(INDEX(Orders!$H$2:$H$401,MATCH(B79,Orders!$A$2:$A$401,0)),"")</f>
        <v>6291.4049999999997</v>
      </c>
      <c r="H79" s="10" t="str">
        <f t="shared" si="1"/>
        <v>2024-10</v>
      </c>
      <c r="I79" s="10" t="str">
        <f>IFERROR(INDEX(Orders!$F$2:$F$401,MATCH(B79,Orders!$A$2:$A$401,0)),"")</f>
        <v>Delivered</v>
      </c>
    </row>
    <row r="80" spans="1:9" ht="15" customHeight="1" x14ac:dyDescent="0.25">
      <c r="A80" s="10">
        <v>79</v>
      </c>
      <c r="B80" s="10">
        <v>96</v>
      </c>
      <c r="C80" s="10" t="s">
        <v>1277</v>
      </c>
      <c r="D80" s="19">
        <v>8481.18</v>
      </c>
      <c r="E80" s="10" t="s">
        <v>112</v>
      </c>
      <c r="F80" s="10" t="s">
        <v>108</v>
      </c>
      <c r="G80" s="19">
        <f>IFERROR(INDEX(Orders!$H$2:$H$401,MATCH(B80,Orders!$A$2:$A$401,0)),"")</f>
        <v>8481.1839999999993</v>
      </c>
      <c r="H80" s="10" t="str">
        <f t="shared" si="1"/>
        <v>2025-03</v>
      </c>
      <c r="I80" s="10" t="str">
        <f>IFERROR(INDEX(Orders!$F$2:$F$401,MATCH(B80,Orders!$A$2:$A$401,0)),"")</f>
        <v>Delivered</v>
      </c>
    </row>
    <row r="81" spans="1:9" ht="15" customHeight="1" x14ac:dyDescent="0.25">
      <c r="A81" s="10">
        <v>80</v>
      </c>
      <c r="B81" s="10">
        <v>97</v>
      </c>
      <c r="C81" s="10" t="s">
        <v>1171</v>
      </c>
      <c r="D81" s="19">
        <v>7253.28</v>
      </c>
      <c r="E81" s="10" t="s">
        <v>112</v>
      </c>
      <c r="F81" s="10" t="s">
        <v>108</v>
      </c>
      <c r="G81" s="19">
        <f>IFERROR(INDEX(Orders!$H$2:$H$401,MATCH(B81,Orders!$A$2:$A$401,0)),"")</f>
        <v>7253.28</v>
      </c>
      <c r="H81" s="10" t="str">
        <f t="shared" si="1"/>
        <v>2023-05</v>
      </c>
      <c r="I81" s="10" t="str">
        <f>IFERROR(INDEX(Orders!$F$2:$F$401,MATCH(B81,Orders!$A$2:$A$401,0)),"")</f>
        <v>Delivered</v>
      </c>
    </row>
    <row r="82" spans="1:9" ht="15" customHeight="1" x14ac:dyDescent="0.25">
      <c r="A82" s="10">
        <v>81</v>
      </c>
      <c r="B82" s="10">
        <v>99</v>
      </c>
      <c r="C82" s="10" t="s">
        <v>1081</v>
      </c>
      <c r="D82" s="19">
        <v>8839.17</v>
      </c>
      <c r="E82" s="10" t="s">
        <v>113</v>
      </c>
      <c r="F82" s="10" t="s">
        <v>110</v>
      </c>
      <c r="G82" s="19">
        <f>IFERROR(INDEX(Orders!$H$2:$H$401,MATCH(B82,Orders!$A$2:$A$401,0)),"")</f>
        <v>8839.17</v>
      </c>
      <c r="H82" s="10" t="str">
        <f t="shared" si="1"/>
        <v>2024-08</v>
      </c>
      <c r="I82" s="10" t="str">
        <f>IFERROR(INDEX(Orders!$F$2:$F$401,MATCH(B82,Orders!$A$2:$A$401,0)),"")</f>
        <v>Returned</v>
      </c>
    </row>
    <row r="83" spans="1:9" ht="15" customHeight="1" x14ac:dyDescent="0.25">
      <c r="A83" s="10">
        <v>82</v>
      </c>
      <c r="B83" s="10">
        <v>100</v>
      </c>
      <c r="C83" s="10" t="s">
        <v>1278</v>
      </c>
      <c r="D83" s="19">
        <v>2676.63</v>
      </c>
      <c r="E83" s="10" t="s">
        <v>113</v>
      </c>
      <c r="F83" s="10" t="s">
        <v>108</v>
      </c>
      <c r="G83" s="19">
        <f>IFERROR(INDEX(Orders!$H$2:$H$401,MATCH(B83,Orders!$A$2:$A$401,0)),"")</f>
        <v>2676.6334999999999</v>
      </c>
      <c r="H83" s="10" t="str">
        <f t="shared" si="1"/>
        <v>2025-06</v>
      </c>
      <c r="I83" s="10" t="str">
        <f>IFERROR(INDEX(Orders!$F$2:$F$401,MATCH(B83,Orders!$A$2:$A$401,0)),"")</f>
        <v>Shipped</v>
      </c>
    </row>
    <row r="84" spans="1:9" ht="15" customHeight="1" x14ac:dyDescent="0.25">
      <c r="A84" s="10">
        <v>83</v>
      </c>
      <c r="B84" s="10">
        <v>102</v>
      </c>
      <c r="C84" s="10" t="s">
        <v>1089</v>
      </c>
      <c r="D84" s="19">
        <v>9497.7800000000007</v>
      </c>
      <c r="E84" s="10" t="s">
        <v>111</v>
      </c>
      <c r="F84" s="10" t="s">
        <v>108</v>
      </c>
      <c r="G84" s="19">
        <f>IFERROR(INDEX(Orders!$H$2:$H$401,MATCH(B84,Orders!$A$2:$A$401,0)),"")</f>
        <v>9497.7834999999995</v>
      </c>
      <c r="H84" s="10" t="str">
        <f t="shared" si="1"/>
        <v>2023-08</v>
      </c>
      <c r="I84" s="10" t="str">
        <f>IFERROR(INDEX(Orders!$F$2:$F$401,MATCH(B84,Orders!$A$2:$A$401,0)),"")</f>
        <v>Delivered</v>
      </c>
    </row>
    <row r="85" spans="1:9" ht="15" customHeight="1" x14ac:dyDescent="0.25">
      <c r="A85" s="10">
        <v>84</v>
      </c>
      <c r="B85" s="10">
        <v>103</v>
      </c>
      <c r="C85" s="10" t="s">
        <v>1279</v>
      </c>
      <c r="D85" s="19">
        <v>2576.19</v>
      </c>
      <c r="E85" s="10" t="s">
        <v>111</v>
      </c>
      <c r="F85" s="10" t="s">
        <v>110</v>
      </c>
      <c r="G85" s="19">
        <f>IFERROR(INDEX(Orders!$H$2:$H$401,MATCH(B85,Orders!$A$2:$A$401,0)),"")</f>
        <v>2576.1875</v>
      </c>
      <c r="H85" s="10" t="str">
        <f t="shared" si="1"/>
        <v>2025-03</v>
      </c>
      <c r="I85" s="10" t="str">
        <f>IFERROR(INDEX(Orders!$F$2:$F$401,MATCH(B85,Orders!$A$2:$A$401,0)),"")</f>
        <v>Returned</v>
      </c>
    </row>
    <row r="86" spans="1:9" ht="15" customHeight="1" x14ac:dyDescent="0.25">
      <c r="A86" s="10">
        <v>85</v>
      </c>
      <c r="B86" s="10">
        <v>104</v>
      </c>
      <c r="C86" s="10" t="s">
        <v>1280</v>
      </c>
      <c r="D86" s="19">
        <v>2165.41</v>
      </c>
      <c r="E86" s="10" t="s">
        <v>111</v>
      </c>
      <c r="F86" s="10" t="s">
        <v>110</v>
      </c>
      <c r="G86" s="19">
        <f>IFERROR(INDEX(Orders!$H$2:$H$401,MATCH(B86,Orders!$A$2:$A$401,0)),"")</f>
        <v>2165.4119999999998</v>
      </c>
      <c r="H86" s="10" t="str">
        <f t="shared" si="1"/>
        <v>2024-12</v>
      </c>
      <c r="I86" s="10" t="str">
        <f>IFERROR(INDEX(Orders!$F$2:$F$401,MATCH(B86,Orders!$A$2:$A$401,0)),"")</f>
        <v>Returned</v>
      </c>
    </row>
    <row r="87" spans="1:9" ht="15" customHeight="1" x14ac:dyDescent="0.25">
      <c r="A87" s="10">
        <v>86</v>
      </c>
      <c r="B87" s="10">
        <v>105</v>
      </c>
      <c r="C87" s="10" t="s">
        <v>1281</v>
      </c>
      <c r="D87" s="19">
        <v>4877.6099999999997</v>
      </c>
      <c r="E87" s="10" t="s">
        <v>113</v>
      </c>
      <c r="F87" s="10" t="s">
        <v>108</v>
      </c>
      <c r="G87" s="19">
        <f>IFERROR(INDEX(Orders!$H$2:$H$401,MATCH(B87,Orders!$A$2:$A$401,0)),"")</f>
        <v>4877.6064999999999</v>
      </c>
      <c r="H87" s="10" t="str">
        <f t="shared" si="1"/>
        <v>2025-11</v>
      </c>
      <c r="I87" s="10" t="str">
        <f>IFERROR(INDEX(Orders!$F$2:$F$401,MATCH(B87,Orders!$A$2:$A$401,0)),"")</f>
        <v>Delivered</v>
      </c>
    </row>
    <row r="88" spans="1:9" ht="15" customHeight="1" x14ac:dyDescent="0.25">
      <c r="A88" s="10">
        <v>87</v>
      </c>
      <c r="B88" s="10">
        <v>106</v>
      </c>
      <c r="C88" s="10" t="s">
        <v>1282</v>
      </c>
      <c r="D88" s="19">
        <v>4476.3500000000004</v>
      </c>
      <c r="E88" s="10" t="s">
        <v>113</v>
      </c>
      <c r="F88" s="10" t="s">
        <v>108</v>
      </c>
      <c r="G88" s="19">
        <f>IFERROR(INDEX(Orders!$H$2:$H$401,MATCH(B88,Orders!$A$2:$A$401,0)),"")</f>
        <v>4476.348</v>
      </c>
      <c r="H88" s="10" t="str">
        <f t="shared" si="1"/>
        <v>2024-02</v>
      </c>
      <c r="I88" s="10" t="str">
        <f>IFERROR(INDEX(Orders!$F$2:$F$401,MATCH(B88,Orders!$A$2:$A$401,0)),"")</f>
        <v>Returned</v>
      </c>
    </row>
    <row r="89" spans="1:9" ht="15" customHeight="1" x14ac:dyDescent="0.25">
      <c r="A89" s="10">
        <v>88</v>
      </c>
      <c r="B89" s="10">
        <v>107</v>
      </c>
      <c r="C89" s="10" t="s">
        <v>871</v>
      </c>
      <c r="D89" s="19">
        <v>8050.57</v>
      </c>
      <c r="E89" s="10" t="s">
        <v>111</v>
      </c>
      <c r="F89" s="10" t="s">
        <v>108</v>
      </c>
      <c r="G89" s="19">
        <f>IFERROR(INDEX(Orders!$H$2:$H$401,MATCH(B89,Orders!$A$2:$A$401,0)),"")</f>
        <v>8050.5570000000007</v>
      </c>
      <c r="H89" s="10" t="str">
        <f t="shared" si="1"/>
        <v>2025-10</v>
      </c>
      <c r="I89" s="10" t="str">
        <f>IFERROR(INDEX(Orders!$F$2:$F$401,MATCH(B89,Orders!$A$2:$A$401,0)),"")</f>
        <v>Pending</v>
      </c>
    </row>
    <row r="90" spans="1:9" ht="15" customHeight="1" x14ac:dyDescent="0.25">
      <c r="A90" s="10">
        <v>89</v>
      </c>
      <c r="B90" s="10">
        <v>108</v>
      </c>
      <c r="C90" s="10" t="s">
        <v>1283</v>
      </c>
      <c r="D90" s="19">
        <v>6479.61</v>
      </c>
      <c r="E90" s="10" t="s">
        <v>111</v>
      </c>
      <c r="F90" s="10" t="s">
        <v>108</v>
      </c>
      <c r="G90" s="19">
        <f>IFERROR(INDEX(Orders!$H$2:$H$401,MATCH(B90,Orders!$A$2:$A$401,0)),"")</f>
        <v>6479.6139999999987</v>
      </c>
      <c r="H90" s="10" t="str">
        <f t="shared" si="1"/>
        <v>2024-05</v>
      </c>
      <c r="I90" s="10" t="str">
        <f>IFERROR(INDEX(Orders!$F$2:$F$401,MATCH(B90,Orders!$A$2:$A$401,0)),"")</f>
        <v>Shipped</v>
      </c>
    </row>
    <row r="91" spans="1:9" ht="15" customHeight="1" x14ac:dyDescent="0.25">
      <c r="A91" s="10">
        <v>90</v>
      </c>
      <c r="B91" s="10">
        <v>109</v>
      </c>
      <c r="C91" s="10" t="s">
        <v>1206</v>
      </c>
      <c r="D91" s="19">
        <v>5645.9</v>
      </c>
      <c r="E91" s="10" t="s">
        <v>113</v>
      </c>
      <c r="F91" s="10" t="s">
        <v>110</v>
      </c>
      <c r="G91" s="19">
        <f>IFERROR(INDEX(Orders!$H$2:$H$401,MATCH(B91,Orders!$A$2:$A$401,0)),"")</f>
        <v>5645.9</v>
      </c>
      <c r="H91" s="10" t="str">
        <f t="shared" si="1"/>
        <v>2023-12</v>
      </c>
      <c r="I91" s="10" t="str">
        <f>IFERROR(INDEX(Orders!$F$2:$F$401,MATCH(B91,Orders!$A$2:$A$401,0)),"")</f>
        <v>Returned</v>
      </c>
    </row>
    <row r="92" spans="1:9" ht="15" customHeight="1" x14ac:dyDescent="0.25">
      <c r="A92" s="10">
        <v>91</v>
      </c>
      <c r="B92" s="10">
        <v>110</v>
      </c>
      <c r="C92" s="10" t="s">
        <v>844</v>
      </c>
      <c r="D92" s="19">
        <v>4855.92</v>
      </c>
      <c r="E92" s="10" t="s">
        <v>109</v>
      </c>
      <c r="F92" s="10" t="s">
        <v>108</v>
      </c>
      <c r="G92" s="19">
        <f>IFERROR(INDEX(Orders!$H$2:$H$401,MATCH(B92,Orders!$A$2:$A$401,0)),"")</f>
        <v>4855.9220000000005</v>
      </c>
      <c r="H92" s="10" t="str">
        <f t="shared" si="1"/>
        <v>2025-04</v>
      </c>
      <c r="I92" s="10" t="str">
        <f>IFERROR(INDEX(Orders!$F$2:$F$401,MATCH(B92,Orders!$A$2:$A$401,0)),"")</f>
        <v>Returned</v>
      </c>
    </row>
    <row r="93" spans="1:9" ht="15" customHeight="1" x14ac:dyDescent="0.25">
      <c r="A93" s="10">
        <v>92</v>
      </c>
      <c r="B93" s="10">
        <v>111</v>
      </c>
      <c r="C93" s="10" t="s">
        <v>1284</v>
      </c>
      <c r="D93" s="19">
        <v>485.86</v>
      </c>
      <c r="E93" s="10" t="s">
        <v>109</v>
      </c>
      <c r="F93" s="10" t="s">
        <v>108</v>
      </c>
      <c r="G93" s="19">
        <f>IFERROR(INDEX(Orders!$H$2:$H$401,MATCH(B93,Orders!$A$2:$A$401,0)),"")</f>
        <v>485.85600000000005</v>
      </c>
      <c r="H93" s="10" t="str">
        <f t="shared" si="1"/>
        <v>2024-07</v>
      </c>
      <c r="I93" s="10" t="str">
        <f>IFERROR(INDEX(Orders!$F$2:$F$401,MATCH(B93,Orders!$A$2:$A$401,0)),"")</f>
        <v>Pending</v>
      </c>
    </row>
    <row r="94" spans="1:9" ht="15" customHeight="1" x14ac:dyDescent="0.25">
      <c r="A94" s="10">
        <v>93</v>
      </c>
      <c r="B94" s="10">
        <v>112</v>
      </c>
      <c r="C94" s="10" t="s">
        <v>1066</v>
      </c>
      <c r="D94" s="19">
        <v>5571.25</v>
      </c>
      <c r="E94" s="10" t="s">
        <v>113</v>
      </c>
      <c r="F94" s="10" t="s">
        <v>108</v>
      </c>
      <c r="G94" s="19">
        <f>IFERROR(INDEX(Orders!$H$2:$H$401,MATCH(B94,Orders!$A$2:$A$401,0)),"")</f>
        <v>5571.2510000000002</v>
      </c>
      <c r="H94" s="10" t="str">
        <f t="shared" si="1"/>
        <v>2024-09</v>
      </c>
      <c r="I94" s="10" t="str">
        <f>IFERROR(INDEX(Orders!$F$2:$F$401,MATCH(B94,Orders!$A$2:$A$401,0)),"")</f>
        <v>Delivered</v>
      </c>
    </row>
    <row r="95" spans="1:9" ht="15" customHeight="1" x14ac:dyDescent="0.25">
      <c r="A95" s="10">
        <v>94</v>
      </c>
      <c r="B95" s="10">
        <v>113</v>
      </c>
      <c r="C95" s="10" t="s">
        <v>1285</v>
      </c>
      <c r="D95" s="19">
        <v>4542.45</v>
      </c>
      <c r="E95" s="10" t="s">
        <v>112</v>
      </c>
      <c r="F95" s="10" t="s">
        <v>108</v>
      </c>
      <c r="G95" s="19">
        <f>IFERROR(INDEX(Orders!$H$2:$H$401,MATCH(B95,Orders!$A$2:$A$401,0)),"")</f>
        <v>4542.4470000000001</v>
      </c>
      <c r="H95" s="10" t="str">
        <f t="shared" si="1"/>
        <v>2024-03</v>
      </c>
      <c r="I95" s="10" t="str">
        <f>IFERROR(INDEX(Orders!$F$2:$F$401,MATCH(B95,Orders!$A$2:$A$401,0)),"")</f>
        <v>Delivered</v>
      </c>
    </row>
    <row r="96" spans="1:9" ht="15" customHeight="1" x14ac:dyDescent="0.25">
      <c r="A96" s="10">
        <v>95</v>
      </c>
      <c r="B96" s="10">
        <v>115</v>
      </c>
      <c r="C96" s="10" t="s">
        <v>1286</v>
      </c>
      <c r="D96" s="19">
        <v>6937.54</v>
      </c>
      <c r="E96" s="10" t="s">
        <v>112</v>
      </c>
      <c r="F96" s="10" t="s">
        <v>108</v>
      </c>
      <c r="G96" s="19">
        <f>IFERROR(INDEX(Orders!$H$2:$H$401,MATCH(B96,Orders!$A$2:$A$401,0)),"")</f>
        <v>6937.5355</v>
      </c>
      <c r="H96" s="10" t="str">
        <f t="shared" si="1"/>
        <v>2025-10</v>
      </c>
      <c r="I96" s="10" t="str">
        <f>IFERROR(INDEX(Orders!$F$2:$F$401,MATCH(B96,Orders!$A$2:$A$401,0)),"")</f>
        <v>Delivered</v>
      </c>
    </row>
    <row r="97" spans="1:9" ht="15" customHeight="1" x14ac:dyDescent="0.25">
      <c r="A97" s="10">
        <v>96</v>
      </c>
      <c r="B97" s="10">
        <v>116</v>
      </c>
      <c r="C97" s="10" t="s">
        <v>914</v>
      </c>
      <c r="D97" s="19">
        <v>8008.05</v>
      </c>
      <c r="E97" s="10" t="s">
        <v>109</v>
      </c>
      <c r="F97" s="10" t="s">
        <v>110</v>
      </c>
      <c r="G97" s="19">
        <f>IFERROR(INDEX(Orders!$H$2:$H$401,MATCH(B97,Orders!$A$2:$A$401,0)),"")</f>
        <v>8008.0439999999999</v>
      </c>
      <c r="H97" s="10" t="str">
        <f t="shared" si="1"/>
        <v>2023-07</v>
      </c>
      <c r="I97" s="10" t="str">
        <f>IFERROR(INDEX(Orders!$F$2:$F$401,MATCH(B97,Orders!$A$2:$A$401,0)),"")</f>
        <v>Returned</v>
      </c>
    </row>
    <row r="98" spans="1:9" ht="15" customHeight="1" x14ac:dyDescent="0.25">
      <c r="A98" s="10">
        <v>97</v>
      </c>
      <c r="B98" s="10">
        <v>117</v>
      </c>
      <c r="C98" s="10" t="s">
        <v>916</v>
      </c>
      <c r="D98" s="19">
        <v>6057.74</v>
      </c>
      <c r="E98" s="10" t="s">
        <v>112</v>
      </c>
      <c r="F98" s="10" t="s">
        <v>108</v>
      </c>
      <c r="G98" s="19">
        <f>IFERROR(INDEX(Orders!$H$2:$H$401,MATCH(B98,Orders!$A$2:$A$401,0)),"")</f>
        <v>6057.7394999999997</v>
      </c>
      <c r="H98" s="10" t="str">
        <f t="shared" si="1"/>
        <v>2023-02</v>
      </c>
      <c r="I98" s="10" t="str">
        <f>IFERROR(INDEX(Orders!$F$2:$F$401,MATCH(B98,Orders!$A$2:$A$401,0)),"")</f>
        <v>Delivered</v>
      </c>
    </row>
    <row r="99" spans="1:9" ht="15" customHeight="1" x14ac:dyDescent="0.25">
      <c r="A99" s="10">
        <v>98</v>
      </c>
      <c r="B99" s="10">
        <v>119</v>
      </c>
      <c r="C99" s="10" t="s">
        <v>1287</v>
      </c>
      <c r="D99" s="19">
        <v>4126.66</v>
      </c>
      <c r="E99" s="10" t="s">
        <v>109</v>
      </c>
      <c r="F99" s="10" t="s">
        <v>108</v>
      </c>
      <c r="G99" s="19">
        <f>IFERROR(INDEX(Orders!$H$2:$H$401,MATCH(B99,Orders!$A$2:$A$401,0)),"")</f>
        <v>4126.6570000000002</v>
      </c>
      <c r="H99" s="10" t="str">
        <f t="shared" si="1"/>
        <v>2023-06</v>
      </c>
      <c r="I99" s="10" t="str">
        <f>IFERROR(INDEX(Orders!$F$2:$F$401,MATCH(B99,Orders!$A$2:$A$401,0)),"")</f>
        <v>Delivered</v>
      </c>
    </row>
    <row r="100" spans="1:9" ht="15" customHeight="1" x14ac:dyDescent="0.25">
      <c r="A100" s="10">
        <v>99</v>
      </c>
      <c r="B100" s="10">
        <v>120</v>
      </c>
      <c r="C100" s="10" t="s">
        <v>920</v>
      </c>
      <c r="D100" s="19">
        <v>3641.94</v>
      </c>
      <c r="E100" s="10" t="s">
        <v>111</v>
      </c>
      <c r="F100" s="10" t="s">
        <v>108</v>
      </c>
      <c r="G100" s="19">
        <f>IFERROR(INDEX(Orders!$H$2:$H$401,MATCH(B100,Orders!$A$2:$A$401,0)),"")</f>
        <v>3641.94</v>
      </c>
      <c r="H100" s="10" t="str">
        <f t="shared" si="1"/>
        <v>2025-01</v>
      </c>
      <c r="I100" s="10" t="str">
        <f>IFERROR(INDEX(Orders!$F$2:$F$401,MATCH(B100,Orders!$A$2:$A$401,0)),"")</f>
        <v>Shipped</v>
      </c>
    </row>
    <row r="101" spans="1:9" ht="15" customHeight="1" x14ac:dyDescent="0.25">
      <c r="A101" s="10">
        <v>100</v>
      </c>
      <c r="B101" s="10">
        <v>121</v>
      </c>
      <c r="C101" s="10" t="s">
        <v>1288</v>
      </c>
      <c r="D101" s="19">
        <v>4883.18</v>
      </c>
      <c r="E101" s="10" t="s">
        <v>109</v>
      </c>
      <c r="F101" s="10" t="s">
        <v>108</v>
      </c>
      <c r="G101" s="19">
        <f>IFERROR(INDEX(Orders!$H$2:$H$401,MATCH(B101,Orders!$A$2:$A$401,0)),"")</f>
        <v>4883.1760000000004</v>
      </c>
      <c r="H101" s="10" t="str">
        <f t="shared" si="1"/>
        <v>2024-03</v>
      </c>
      <c r="I101" s="10" t="str">
        <f>IFERROR(INDEX(Orders!$F$2:$F$401,MATCH(B101,Orders!$A$2:$A$401,0)),"")</f>
        <v>Delivered</v>
      </c>
    </row>
    <row r="102" spans="1:9" ht="15" customHeight="1" x14ac:dyDescent="0.25">
      <c r="A102" s="10">
        <v>101</v>
      </c>
      <c r="B102" s="10">
        <v>122</v>
      </c>
      <c r="C102" s="10" t="s">
        <v>923</v>
      </c>
      <c r="D102" s="19">
        <v>6392.29</v>
      </c>
      <c r="E102" s="10" t="s">
        <v>109</v>
      </c>
      <c r="F102" s="10" t="s">
        <v>108</v>
      </c>
      <c r="G102" s="19">
        <f>IFERROR(INDEX(Orders!$H$2:$H$401,MATCH(B102,Orders!$A$2:$A$401,0)),"")</f>
        <v>6392.3019999999997</v>
      </c>
      <c r="H102" s="10" t="str">
        <f t="shared" si="1"/>
        <v>2023-02</v>
      </c>
      <c r="I102" s="10" t="str">
        <f>IFERROR(INDEX(Orders!$F$2:$F$401,MATCH(B102,Orders!$A$2:$A$401,0)),"")</f>
        <v>Shipped</v>
      </c>
    </row>
    <row r="103" spans="1:9" ht="15" customHeight="1" x14ac:dyDescent="0.25">
      <c r="A103" s="10">
        <v>102</v>
      </c>
      <c r="B103" s="10">
        <v>125</v>
      </c>
      <c r="C103" s="10" t="s">
        <v>1289</v>
      </c>
      <c r="D103" s="19">
        <v>7222.29</v>
      </c>
      <c r="E103" s="10" t="s">
        <v>109</v>
      </c>
      <c r="F103" s="10" t="s">
        <v>108</v>
      </c>
      <c r="G103" s="19">
        <f>IFERROR(INDEX(Orders!$H$2:$H$401,MATCH(B103,Orders!$A$2:$A$401,0)),"")</f>
        <v>7222.2860000000001</v>
      </c>
      <c r="H103" s="10" t="str">
        <f t="shared" si="1"/>
        <v>2024-07</v>
      </c>
      <c r="I103" s="10" t="str">
        <f>IFERROR(INDEX(Orders!$F$2:$F$401,MATCH(B103,Orders!$A$2:$A$401,0)),"")</f>
        <v>Delivered</v>
      </c>
    </row>
    <row r="104" spans="1:9" ht="15" customHeight="1" x14ac:dyDescent="0.25">
      <c r="A104" s="10">
        <v>103</v>
      </c>
      <c r="B104" s="10">
        <v>126</v>
      </c>
      <c r="C104" s="10" t="s">
        <v>792</v>
      </c>
      <c r="D104" s="19">
        <v>1691.26</v>
      </c>
      <c r="E104" s="10" t="s">
        <v>112</v>
      </c>
      <c r="F104" s="10" t="s">
        <v>108</v>
      </c>
      <c r="G104" s="19">
        <f>IFERROR(INDEX(Orders!$H$2:$H$401,MATCH(B104,Orders!$A$2:$A$401,0)),"")</f>
        <v>1691.2605000000001</v>
      </c>
      <c r="H104" s="10" t="str">
        <f t="shared" si="1"/>
        <v>2024-09</v>
      </c>
      <c r="I104" s="10" t="str">
        <f>IFERROR(INDEX(Orders!$F$2:$F$401,MATCH(B104,Orders!$A$2:$A$401,0)),"")</f>
        <v>Delivered</v>
      </c>
    </row>
    <row r="105" spans="1:9" ht="15" customHeight="1" x14ac:dyDescent="0.25">
      <c r="A105" s="10">
        <v>104</v>
      </c>
      <c r="B105" s="10">
        <v>127</v>
      </c>
      <c r="C105" s="10" t="s">
        <v>1175</v>
      </c>
      <c r="D105" s="19">
        <v>3109.71</v>
      </c>
      <c r="E105" s="10" t="s">
        <v>112</v>
      </c>
      <c r="F105" s="10" t="s">
        <v>108</v>
      </c>
      <c r="G105" s="19">
        <f>IFERROR(INDEX(Orders!$H$2:$H$401,MATCH(B105,Orders!$A$2:$A$401,0)),"")</f>
        <v>3109.7139999999995</v>
      </c>
      <c r="H105" s="10" t="str">
        <f t="shared" si="1"/>
        <v>2023-09</v>
      </c>
      <c r="I105" s="10" t="str">
        <f>IFERROR(INDEX(Orders!$F$2:$F$401,MATCH(B105,Orders!$A$2:$A$401,0)),"")</f>
        <v>Shipped</v>
      </c>
    </row>
    <row r="106" spans="1:9" ht="15" customHeight="1" x14ac:dyDescent="0.25">
      <c r="A106" s="10">
        <v>105</v>
      </c>
      <c r="B106" s="10">
        <v>128</v>
      </c>
      <c r="C106" s="10" t="s">
        <v>1206</v>
      </c>
      <c r="D106" s="19">
        <v>3899.87</v>
      </c>
      <c r="E106" s="10" t="s">
        <v>109</v>
      </c>
      <c r="F106" s="10" t="s">
        <v>108</v>
      </c>
      <c r="G106" s="19">
        <f>IFERROR(INDEX(Orders!$H$2:$H$401,MATCH(B106,Orders!$A$2:$A$401,0)),"")</f>
        <v>3899.8740000000003</v>
      </c>
      <c r="H106" s="10" t="str">
        <f t="shared" si="1"/>
        <v>2023-12</v>
      </c>
      <c r="I106" s="10" t="str">
        <f>IFERROR(INDEX(Orders!$F$2:$F$401,MATCH(B106,Orders!$A$2:$A$401,0)),"")</f>
        <v>Pending</v>
      </c>
    </row>
    <row r="107" spans="1:9" ht="15" customHeight="1" x14ac:dyDescent="0.25">
      <c r="A107" s="10">
        <v>106</v>
      </c>
      <c r="B107" s="10">
        <v>129</v>
      </c>
      <c r="C107" s="10" t="s">
        <v>886</v>
      </c>
      <c r="D107" s="19">
        <v>8330.4599999999991</v>
      </c>
      <c r="E107" s="10" t="s">
        <v>109</v>
      </c>
      <c r="F107" s="10" t="s">
        <v>108</v>
      </c>
      <c r="G107" s="19">
        <f>IFERROR(INDEX(Orders!$H$2:$H$401,MATCH(B107,Orders!$A$2:$A$401,0)),"")</f>
        <v>8330.4600000000009</v>
      </c>
      <c r="H107" s="10" t="str">
        <f t="shared" si="1"/>
        <v>2025-02</v>
      </c>
      <c r="I107" s="10" t="str">
        <f>IFERROR(INDEX(Orders!$F$2:$F$401,MATCH(B107,Orders!$A$2:$A$401,0)),"")</f>
        <v>Delivered</v>
      </c>
    </row>
    <row r="108" spans="1:9" ht="15" customHeight="1" x14ac:dyDescent="0.25">
      <c r="A108" s="10">
        <v>107</v>
      </c>
      <c r="B108" s="10">
        <v>130</v>
      </c>
      <c r="C108" s="10" t="s">
        <v>1290</v>
      </c>
      <c r="D108" s="19">
        <v>6631.36</v>
      </c>
      <c r="E108" s="10" t="s">
        <v>111</v>
      </c>
      <c r="F108" s="10" t="s">
        <v>108</v>
      </c>
      <c r="G108" s="19">
        <f>IFERROR(INDEX(Orders!$H$2:$H$401,MATCH(B108,Orders!$A$2:$A$401,0)),"")</f>
        <v>6631.3620000000001</v>
      </c>
      <c r="H108" s="10" t="str">
        <f t="shared" si="1"/>
        <v>2025-11</v>
      </c>
      <c r="I108" s="10" t="str">
        <f>IFERROR(INDEX(Orders!$F$2:$F$401,MATCH(B108,Orders!$A$2:$A$401,0)),"")</f>
        <v>Delivered</v>
      </c>
    </row>
    <row r="109" spans="1:9" ht="15" customHeight="1" x14ac:dyDescent="0.25">
      <c r="A109" s="10">
        <v>108</v>
      </c>
      <c r="B109" s="10">
        <v>131</v>
      </c>
      <c r="C109" s="10" t="s">
        <v>864</v>
      </c>
      <c r="D109" s="19">
        <v>5190.09</v>
      </c>
      <c r="E109" s="10" t="s">
        <v>109</v>
      </c>
      <c r="F109" s="10" t="s">
        <v>108</v>
      </c>
      <c r="G109" s="19">
        <f>IFERROR(INDEX(Orders!$H$2:$H$401,MATCH(B109,Orders!$A$2:$A$401,0)),"")</f>
        <v>5190.09</v>
      </c>
      <c r="H109" s="10" t="str">
        <f t="shared" si="1"/>
        <v>2025-10</v>
      </c>
      <c r="I109" s="10" t="str">
        <f>IFERROR(INDEX(Orders!$F$2:$F$401,MATCH(B109,Orders!$A$2:$A$401,0)),"")</f>
        <v>Delivered</v>
      </c>
    </row>
    <row r="110" spans="1:9" ht="15" customHeight="1" x14ac:dyDescent="0.25">
      <c r="A110" s="10">
        <v>109</v>
      </c>
      <c r="B110" s="10">
        <v>132</v>
      </c>
      <c r="C110" s="10" t="s">
        <v>933</v>
      </c>
      <c r="D110" s="19">
        <v>3945.7</v>
      </c>
      <c r="E110" s="10" t="s">
        <v>111</v>
      </c>
      <c r="F110" s="10" t="s">
        <v>108</v>
      </c>
      <c r="G110" s="19">
        <f>IFERROR(INDEX(Orders!$H$2:$H$401,MATCH(B110,Orders!$A$2:$A$401,0)),"")</f>
        <v>3945.7065000000002</v>
      </c>
      <c r="H110" s="10" t="str">
        <f t="shared" si="1"/>
        <v>2025-02</v>
      </c>
      <c r="I110" s="10" t="str">
        <f>IFERROR(INDEX(Orders!$F$2:$F$401,MATCH(B110,Orders!$A$2:$A$401,0)),"")</f>
        <v>Shipped</v>
      </c>
    </row>
    <row r="111" spans="1:9" ht="15" customHeight="1" x14ac:dyDescent="0.25">
      <c r="A111" s="10">
        <v>110</v>
      </c>
      <c r="B111" s="10">
        <v>133</v>
      </c>
      <c r="C111" s="10" t="s">
        <v>1097</v>
      </c>
      <c r="D111" s="19">
        <v>2723.76</v>
      </c>
      <c r="E111" s="10" t="s">
        <v>112</v>
      </c>
      <c r="F111" s="10" t="s">
        <v>108</v>
      </c>
      <c r="G111" s="19">
        <f>IFERROR(INDEX(Orders!$H$2:$H$401,MATCH(B111,Orders!$A$2:$A$401,0)),"")</f>
        <v>2723.7534999999998</v>
      </c>
      <c r="H111" s="10" t="str">
        <f t="shared" si="1"/>
        <v>2023-06</v>
      </c>
      <c r="I111" s="10" t="str">
        <f>IFERROR(INDEX(Orders!$F$2:$F$401,MATCH(B111,Orders!$A$2:$A$401,0)),"")</f>
        <v>Delivered</v>
      </c>
    </row>
    <row r="112" spans="1:9" ht="15" customHeight="1" x14ac:dyDescent="0.25">
      <c r="A112" s="10">
        <v>111</v>
      </c>
      <c r="B112" s="10">
        <v>134</v>
      </c>
      <c r="C112" s="10" t="s">
        <v>1291</v>
      </c>
      <c r="D112" s="19">
        <v>4122.6000000000004</v>
      </c>
      <c r="E112" s="10" t="s">
        <v>113</v>
      </c>
      <c r="F112" s="10" t="s">
        <v>108</v>
      </c>
      <c r="G112" s="19">
        <f>IFERROR(INDEX(Orders!$H$2:$H$401,MATCH(B112,Orders!$A$2:$A$401,0)),"")</f>
        <v>4122.6000000000004</v>
      </c>
      <c r="H112" s="10" t="str">
        <f t="shared" si="1"/>
        <v>2024-07</v>
      </c>
      <c r="I112" s="10" t="str">
        <f>IFERROR(INDEX(Orders!$F$2:$F$401,MATCH(B112,Orders!$A$2:$A$401,0)),"")</f>
        <v>Delivered</v>
      </c>
    </row>
    <row r="113" spans="1:9" ht="15" customHeight="1" x14ac:dyDescent="0.25">
      <c r="A113" s="10">
        <v>112</v>
      </c>
      <c r="B113" s="10">
        <v>135</v>
      </c>
      <c r="C113" s="10" t="s">
        <v>843</v>
      </c>
      <c r="D113" s="19">
        <v>3770.22</v>
      </c>
      <c r="E113" s="10" t="s">
        <v>112</v>
      </c>
      <c r="F113" s="10" t="s">
        <v>108</v>
      </c>
      <c r="G113" s="19">
        <f>IFERROR(INDEX(Orders!$H$2:$H$401,MATCH(B113,Orders!$A$2:$A$401,0)),"")</f>
        <v>3770.2200000000003</v>
      </c>
      <c r="H113" s="10" t="str">
        <f t="shared" si="1"/>
        <v>2025-04</v>
      </c>
      <c r="I113" s="10" t="str">
        <f>IFERROR(INDEX(Orders!$F$2:$F$401,MATCH(B113,Orders!$A$2:$A$401,0)),"")</f>
        <v>Delivered</v>
      </c>
    </row>
    <row r="114" spans="1:9" ht="15" customHeight="1" x14ac:dyDescent="0.25">
      <c r="A114" s="10">
        <v>113</v>
      </c>
      <c r="B114" s="10">
        <v>136</v>
      </c>
      <c r="C114" s="10" t="s">
        <v>1292</v>
      </c>
      <c r="D114" s="19">
        <v>1868.68</v>
      </c>
      <c r="E114" s="10" t="s">
        <v>109</v>
      </c>
      <c r="F114" s="10" t="s">
        <v>16</v>
      </c>
      <c r="G114" s="19">
        <f>IFERROR(INDEX(Orders!$H$2:$H$401,MATCH(B114,Orders!$A$2:$A$401,0)),"")</f>
        <v>1868.68</v>
      </c>
      <c r="H114" s="10" t="str">
        <f t="shared" si="1"/>
        <v>2024-03</v>
      </c>
      <c r="I114" s="10" t="str">
        <f>IFERROR(INDEX(Orders!$F$2:$F$401,MATCH(B114,Orders!$A$2:$A$401,0)),"")</f>
        <v>Pending</v>
      </c>
    </row>
    <row r="115" spans="1:9" ht="15" customHeight="1" x14ac:dyDescent="0.25">
      <c r="A115" s="10">
        <v>114</v>
      </c>
      <c r="B115" s="10">
        <v>137</v>
      </c>
      <c r="C115" s="10" t="s">
        <v>942</v>
      </c>
      <c r="D115" s="19">
        <v>2602.7399999999998</v>
      </c>
      <c r="E115" s="10" t="s">
        <v>111</v>
      </c>
      <c r="F115" s="10" t="s">
        <v>108</v>
      </c>
      <c r="G115" s="19">
        <f>IFERROR(INDEX(Orders!$H$2:$H$401,MATCH(B115,Orders!$A$2:$A$401,0)),"")</f>
        <v>2602.7420000000002</v>
      </c>
      <c r="H115" s="10" t="str">
        <f t="shared" si="1"/>
        <v>2024-06</v>
      </c>
      <c r="I115" s="10" t="str">
        <f>IFERROR(INDEX(Orders!$F$2:$F$401,MATCH(B115,Orders!$A$2:$A$401,0)),"")</f>
        <v>Delivered</v>
      </c>
    </row>
    <row r="116" spans="1:9" ht="15" customHeight="1" x14ac:dyDescent="0.25">
      <c r="A116" s="10">
        <v>115</v>
      </c>
      <c r="B116" s="10">
        <v>138</v>
      </c>
      <c r="C116" s="10" t="s">
        <v>1293</v>
      </c>
      <c r="D116" s="19">
        <v>2760.75</v>
      </c>
      <c r="E116" s="10" t="s">
        <v>109</v>
      </c>
      <c r="F116" s="10" t="s">
        <v>108</v>
      </c>
      <c r="G116" s="19">
        <f>IFERROR(INDEX(Orders!$H$2:$H$401,MATCH(B116,Orders!$A$2:$A$401,0)),"")</f>
        <v>2760.748</v>
      </c>
      <c r="H116" s="10" t="str">
        <f t="shared" si="1"/>
        <v>2025-02</v>
      </c>
      <c r="I116" s="10" t="str">
        <f>IFERROR(INDEX(Orders!$F$2:$F$401,MATCH(B116,Orders!$A$2:$A$401,0)),"")</f>
        <v>Delivered</v>
      </c>
    </row>
    <row r="117" spans="1:9" ht="15" customHeight="1" x14ac:dyDescent="0.25">
      <c r="A117" s="10">
        <v>116</v>
      </c>
      <c r="B117" s="10">
        <v>139</v>
      </c>
      <c r="C117" s="10" t="s">
        <v>1016</v>
      </c>
      <c r="D117" s="19">
        <v>5360.92</v>
      </c>
      <c r="E117" s="10" t="s">
        <v>109</v>
      </c>
      <c r="F117" s="10" t="s">
        <v>108</v>
      </c>
      <c r="G117" s="19">
        <f>IFERROR(INDEX(Orders!$H$2:$H$401,MATCH(B117,Orders!$A$2:$A$401,0)),"")</f>
        <v>5360.92</v>
      </c>
      <c r="H117" s="10" t="str">
        <f t="shared" si="1"/>
        <v>2023-04</v>
      </c>
      <c r="I117" s="10" t="str">
        <f>IFERROR(INDEX(Orders!$F$2:$F$401,MATCH(B117,Orders!$A$2:$A$401,0)),"")</f>
        <v>Delivered</v>
      </c>
    </row>
    <row r="118" spans="1:9" ht="15" customHeight="1" x14ac:dyDescent="0.25">
      <c r="A118" s="10">
        <v>117</v>
      </c>
      <c r="B118" s="10">
        <v>140</v>
      </c>
      <c r="C118" s="10" t="s">
        <v>242</v>
      </c>
      <c r="D118" s="19">
        <v>9151.0499999999993</v>
      </c>
      <c r="E118" s="10" t="s">
        <v>112</v>
      </c>
      <c r="F118" s="10" t="s">
        <v>108</v>
      </c>
      <c r="G118" s="19">
        <f>IFERROR(INDEX(Orders!$H$2:$H$401,MATCH(B118,Orders!$A$2:$A$401,0)),"")</f>
        <v>9151.0490000000009</v>
      </c>
      <c r="H118" s="10" t="str">
        <f t="shared" si="1"/>
        <v>2024-09</v>
      </c>
      <c r="I118" s="10" t="str">
        <f>IFERROR(INDEX(Orders!$F$2:$F$401,MATCH(B118,Orders!$A$2:$A$401,0)),"")</f>
        <v>Returned</v>
      </c>
    </row>
    <row r="119" spans="1:9" ht="15" customHeight="1" x14ac:dyDescent="0.25">
      <c r="A119" s="10">
        <v>118</v>
      </c>
      <c r="B119" s="10">
        <v>141</v>
      </c>
      <c r="C119" s="10" t="s">
        <v>1294</v>
      </c>
      <c r="D119" s="19">
        <v>3580.29</v>
      </c>
      <c r="E119" s="10" t="s">
        <v>112</v>
      </c>
      <c r="F119" s="10" t="s">
        <v>16</v>
      </c>
      <c r="G119" s="19">
        <f>IFERROR(INDEX(Orders!$H$2:$H$401,MATCH(B119,Orders!$A$2:$A$401,0)),"")</f>
        <v>3580.288</v>
      </c>
      <c r="H119" s="10" t="str">
        <f t="shared" si="1"/>
        <v>2024-12</v>
      </c>
      <c r="I119" s="10" t="str">
        <f>IFERROR(INDEX(Orders!$F$2:$F$401,MATCH(B119,Orders!$A$2:$A$401,0)),"")</f>
        <v>Pending</v>
      </c>
    </row>
    <row r="120" spans="1:9" ht="15" customHeight="1" x14ac:dyDescent="0.25">
      <c r="A120" s="10">
        <v>119</v>
      </c>
      <c r="B120" s="10">
        <v>142</v>
      </c>
      <c r="C120" s="10" t="s">
        <v>1295</v>
      </c>
      <c r="D120" s="19">
        <v>4694.3900000000003</v>
      </c>
      <c r="E120" s="10" t="s">
        <v>112</v>
      </c>
      <c r="F120" s="10" t="s">
        <v>108</v>
      </c>
      <c r="G120" s="19">
        <f>IFERROR(INDEX(Orders!$H$2:$H$401,MATCH(B120,Orders!$A$2:$A$401,0)),"")</f>
        <v>4694.3880000000008</v>
      </c>
      <c r="H120" s="10" t="str">
        <f t="shared" si="1"/>
        <v>2023-11</v>
      </c>
      <c r="I120" s="10" t="str">
        <f>IFERROR(INDEX(Orders!$F$2:$F$401,MATCH(B120,Orders!$A$2:$A$401,0)),"")</f>
        <v>Delivered</v>
      </c>
    </row>
    <row r="121" spans="1:9" ht="15" customHeight="1" x14ac:dyDescent="0.25">
      <c r="A121" s="10">
        <v>120</v>
      </c>
      <c r="B121" s="10">
        <v>143</v>
      </c>
      <c r="C121" s="10" t="s">
        <v>950</v>
      </c>
      <c r="D121" s="19">
        <v>6686.91</v>
      </c>
      <c r="E121" s="10" t="s">
        <v>112</v>
      </c>
      <c r="F121" s="10" t="s">
        <v>16</v>
      </c>
      <c r="G121" s="19">
        <f>IFERROR(INDEX(Orders!$H$2:$H$401,MATCH(B121,Orders!$A$2:$A$401,0)),"")</f>
        <v>6686.9099999999989</v>
      </c>
      <c r="H121" s="10" t="str">
        <f t="shared" si="1"/>
        <v>2023-02</v>
      </c>
      <c r="I121" s="10" t="str">
        <f>IFERROR(INDEX(Orders!$F$2:$F$401,MATCH(B121,Orders!$A$2:$A$401,0)),"")</f>
        <v>Pending</v>
      </c>
    </row>
    <row r="122" spans="1:9" ht="15" customHeight="1" x14ac:dyDescent="0.25">
      <c r="A122" s="10">
        <v>121</v>
      </c>
      <c r="B122" s="10">
        <v>144</v>
      </c>
      <c r="C122" s="10" t="s">
        <v>951</v>
      </c>
      <c r="D122" s="19">
        <v>4265.1400000000003</v>
      </c>
      <c r="E122" s="10" t="s">
        <v>112</v>
      </c>
      <c r="F122" s="10" t="s">
        <v>16</v>
      </c>
      <c r="G122" s="19">
        <f>IFERROR(INDEX(Orders!$H$2:$H$401,MATCH(B122,Orders!$A$2:$A$401,0)),"")</f>
        <v>4265.1459999999997</v>
      </c>
      <c r="H122" s="10" t="str">
        <f t="shared" si="1"/>
        <v>2023-09</v>
      </c>
      <c r="I122" s="10" t="str">
        <f>IFERROR(INDEX(Orders!$F$2:$F$401,MATCH(B122,Orders!$A$2:$A$401,0)),"")</f>
        <v>Pending</v>
      </c>
    </row>
    <row r="123" spans="1:9" ht="15" customHeight="1" x14ac:dyDescent="0.25">
      <c r="A123" s="10">
        <v>122</v>
      </c>
      <c r="B123" s="10">
        <v>145</v>
      </c>
      <c r="C123" s="10" t="s">
        <v>1296</v>
      </c>
      <c r="D123" s="19">
        <v>5338.12</v>
      </c>
      <c r="E123" s="10" t="s">
        <v>111</v>
      </c>
      <c r="F123" s="10" t="s">
        <v>16</v>
      </c>
      <c r="G123" s="19">
        <f>IFERROR(INDEX(Orders!$H$2:$H$401,MATCH(B123,Orders!$A$2:$A$401,0)),"")</f>
        <v>5338.116</v>
      </c>
      <c r="H123" s="10" t="str">
        <f t="shared" si="1"/>
        <v>2023-07</v>
      </c>
      <c r="I123" s="10" t="str">
        <f>IFERROR(INDEX(Orders!$F$2:$F$401,MATCH(B123,Orders!$A$2:$A$401,0)),"")</f>
        <v>Pending</v>
      </c>
    </row>
    <row r="124" spans="1:9" ht="15" customHeight="1" x14ac:dyDescent="0.25">
      <c r="A124" s="10">
        <v>123</v>
      </c>
      <c r="B124" s="10">
        <v>146</v>
      </c>
      <c r="C124" s="10" t="s">
        <v>953</v>
      </c>
      <c r="D124" s="19">
        <v>14704.68</v>
      </c>
      <c r="E124" s="10" t="s">
        <v>111</v>
      </c>
      <c r="F124" s="10" t="s">
        <v>108</v>
      </c>
      <c r="G124" s="19">
        <f>IFERROR(INDEX(Orders!$H$2:$H$401,MATCH(B124,Orders!$A$2:$A$401,0)),"")</f>
        <v>14704.682999999999</v>
      </c>
      <c r="H124" s="10" t="str">
        <f t="shared" si="1"/>
        <v>2024-08</v>
      </c>
      <c r="I124" s="10" t="str">
        <f>IFERROR(INDEX(Orders!$F$2:$F$401,MATCH(B124,Orders!$A$2:$A$401,0)),"")</f>
        <v>Delivered</v>
      </c>
    </row>
    <row r="125" spans="1:9" ht="15" customHeight="1" x14ac:dyDescent="0.25">
      <c r="A125" s="10">
        <v>124</v>
      </c>
      <c r="B125" s="10">
        <v>147</v>
      </c>
      <c r="C125" s="10" t="s">
        <v>1297</v>
      </c>
      <c r="D125" s="19">
        <v>1357</v>
      </c>
      <c r="E125" s="10" t="s">
        <v>109</v>
      </c>
      <c r="F125" s="10" t="s">
        <v>108</v>
      </c>
      <c r="G125" s="19">
        <f>IFERROR(INDEX(Orders!$H$2:$H$401,MATCH(B125,Orders!$A$2:$A$401,0)),"")</f>
        <v>1357</v>
      </c>
      <c r="H125" s="10" t="str">
        <f t="shared" si="1"/>
        <v>2023-12</v>
      </c>
      <c r="I125" s="10" t="str">
        <f>IFERROR(INDEX(Orders!$F$2:$F$401,MATCH(B125,Orders!$A$2:$A$401,0)),"")</f>
        <v>Delivered</v>
      </c>
    </row>
    <row r="126" spans="1:9" ht="15" customHeight="1" x14ac:dyDescent="0.25">
      <c r="A126" s="10">
        <v>125</v>
      </c>
      <c r="B126" s="10">
        <v>148</v>
      </c>
      <c r="C126" s="10" t="s">
        <v>1105</v>
      </c>
      <c r="D126" s="19">
        <v>9652.15</v>
      </c>
      <c r="E126" s="10" t="s">
        <v>111</v>
      </c>
      <c r="F126" s="10" t="s">
        <v>108</v>
      </c>
      <c r="G126" s="19">
        <f>IFERROR(INDEX(Orders!$H$2:$H$401,MATCH(B126,Orders!$A$2:$A$401,0)),"")</f>
        <v>9652.1540000000023</v>
      </c>
      <c r="H126" s="10" t="str">
        <f t="shared" si="1"/>
        <v>2023-08</v>
      </c>
      <c r="I126" s="10" t="str">
        <f>IFERROR(INDEX(Orders!$F$2:$F$401,MATCH(B126,Orders!$A$2:$A$401,0)),"")</f>
        <v>Delivered</v>
      </c>
    </row>
    <row r="127" spans="1:9" ht="15" customHeight="1" x14ac:dyDescent="0.25">
      <c r="A127" s="10">
        <v>126</v>
      </c>
      <c r="B127" s="10">
        <v>149</v>
      </c>
      <c r="C127" s="10" t="s">
        <v>958</v>
      </c>
      <c r="D127" s="19">
        <v>5143.5200000000004</v>
      </c>
      <c r="E127" s="10" t="s">
        <v>112</v>
      </c>
      <c r="F127" s="10" t="s">
        <v>108</v>
      </c>
      <c r="G127" s="19">
        <f>IFERROR(INDEX(Orders!$H$2:$H$401,MATCH(B127,Orders!$A$2:$A$401,0)),"")</f>
        <v>5143.5219999999999</v>
      </c>
      <c r="H127" s="10" t="str">
        <f t="shared" si="1"/>
        <v>2023-05</v>
      </c>
      <c r="I127" s="10" t="str">
        <f>IFERROR(INDEX(Orders!$F$2:$F$401,MATCH(B127,Orders!$A$2:$A$401,0)),"")</f>
        <v>Delivered</v>
      </c>
    </row>
    <row r="128" spans="1:9" ht="15" customHeight="1" x14ac:dyDescent="0.25">
      <c r="A128" s="10">
        <v>127</v>
      </c>
      <c r="B128" s="10">
        <v>152</v>
      </c>
      <c r="C128" s="10" t="s">
        <v>962</v>
      </c>
      <c r="D128" s="19">
        <v>3832.66</v>
      </c>
      <c r="E128" s="10" t="s">
        <v>112</v>
      </c>
      <c r="F128" s="10" t="s">
        <v>108</v>
      </c>
      <c r="G128" s="19">
        <f>IFERROR(INDEX(Orders!$H$2:$H$401,MATCH(B128,Orders!$A$2:$A$401,0)),"")</f>
        <v>3832.6644999999999</v>
      </c>
      <c r="H128" s="10" t="str">
        <f t="shared" si="1"/>
        <v>2023-06</v>
      </c>
      <c r="I128" s="10" t="str">
        <f>IFERROR(INDEX(Orders!$F$2:$F$401,MATCH(B128,Orders!$A$2:$A$401,0)),"")</f>
        <v>Returned</v>
      </c>
    </row>
    <row r="129" spans="1:9" ht="15" customHeight="1" x14ac:dyDescent="0.25">
      <c r="A129" s="10">
        <v>128</v>
      </c>
      <c r="B129" s="10">
        <v>153</v>
      </c>
      <c r="C129" s="10" t="s">
        <v>964</v>
      </c>
      <c r="D129" s="19">
        <v>632.29999999999995</v>
      </c>
      <c r="E129" s="10" t="s">
        <v>112</v>
      </c>
      <c r="F129" s="10" t="s">
        <v>108</v>
      </c>
      <c r="G129" s="19">
        <f>IFERROR(INDEX(Orders!$H$2:$H$401,MATCH(B129,Orders!$A$2:$A$401,0)),"")</f>
        <v>632.29999999999995</v>
      </c>
      <c r="H129" s="10" t="str">
        <f t="shared" si="1"/>
        <v>2024-06</v>
      </c>
      <c r="I129" s="10" t="str">
        <f>IFERROR(INDEX(Orders!$F$2:$F$401,MATCH(B129,Orders!$A$2:$A$401,0)),"")</f>
        <v>Delivered</v>
      </c>
    </row>
    <row r="130" spans="1:9" ht="15" customHeight="1" x14ac:dyDescent="0.25">
      <c r="A130" s="10">
        <v>129</v>
      </c>
      <c r="B130" s="10">
        <v>154</v>
      </c>
      <c r="C130" s="10" t="s">
        <v>1298</v>
      </c>
      <c r="D130" s="19">
        <v>3460.23</v>
      </c>
      <c r="E130" s="10" t="s">
        <v>111</v>
      </c>
      <c r="F130" s="10" t="s">
        <v>108</v>
      </c>
      <c r="G130" s="19">
        <f>IFERROR(INDEX(Orders!$H$2:$H$401,MATCH(B130,Orders!$A$2:$A$401,0)),"")</f>
        <v>3460.2360000000003</v>
      </c>
      <c r="H130" s="10" t="str">
        <f t="shared" ref="H130:H193" si="2">IF(C130="","",TEXT(C130,"YYYY-MM"))</f>
        <v>2024-04</v>
      </c>
      <c r="I130" s="10" t="str">
        <f>IFERROR(INDEX(Orders!$F$2:$F$401,MATCH(B130,Orders!$A$2:$A$401,0)),"")</f>
        <v>Delivered</v>
      </c>
    </row>
    <row r="131" spans="1:9" ht="15" customHeight="1" x14ac:dyDescent="0.25">
      <c r="A131" s="10">
        <v>130</v>
      </c>
      <c r="B131" s="10">
        <v>155</v>
      </c>
      <c r="C131" s="10" t="s">
        <v>1299</v>
      </c>
      <c r="D131" s="19">
        <v>3046.42</v>
      </c>
      <c r="E131" s="10" t="s">
        <v>111</v>
      </c>
      <c r="F131" s="10" t="s">
        <v>108</v>
      </c>
      <c r="G131" s="19">
        <f>IFERROR(INDEX(Orders!$H$2:$H$401,MATCH(B131,Orders!$A$2:$A$401,0)),"")</f>
        <v>3046.4209999999998</v>
      </c>
      <c r="H131" s="10" t="str">
        <f t="shared" si="2"/>
        <v>2023-12</v>
      </c>
      <c r="I131" s="10" t="str">
        <f>IFERROR(INDEX(Orders!$F$2:$F$401,MATCH(B131,Orders!$A$2:$A$401,0)),"")</f>
        <v>Delivered</v>
      </c>
    </row>
    <row r="132" spans="1:9" ht="15" customHeight="1" x14ac:dyDescent="0.25">
      <c r="A132" s="10">
        <v>131</v>
      </c>
      <c r="B132" s="10">
        <v>156</v>
      </c>
      <c r="C132" s="10" t="s">
        <v>1300</v>
      </c>
      <c r="D132" s="19">
        <v>10553.23</v>
      </c>
      <c r="E132" s="10" t="s">
        <v>111</v>
      </c>
      <c r="F132" s="10" t="s">
        <v>108</v>
      </c>
      <c r="G132" s="19">
        <f>IFERROR(INDEX(Orders!$H$2:$H$401,MATCH(B132,Orders!$A$2:$A$401,0)),"")</f>
        <v>10553.240000000002</v>
      </c>
      <c r="H132" s="10" t="str">
        <f t="shared" si="2"/>
        <v>2024-10</v>
      </c>
      <c r="I132" s="10" t="str">
        <f>IFERROR(INDEX(Orders!$F$2:$F$401,MATCH(B132,Orders!$A$2:$A$401,0)),"")</f>
        <v>Delivered</v>
      </c>
    </row>
    <row r="133" spans="1:9" ht="15" customHeight="1" x14ac:dyDescent="0.25">
      <c r="A133" s="10">
        <v>132</v>
      </c>
      <c r="B133" s="10">
        <v>157</v>
      </c>
      <c r="C133" s="10" t="s">
        <v>1301</v>
      </c>
      <c r="D133" s="19">
        <v>7478.73</v>
      </c>
      <c r="E133" s="10" t="s">
        <v>113</v>
      </c>
      <c r="F133" s="10" t="s">
        <v>108</v>
      </c>
      <c r="G133" s="19">
        <f>IFERROR(INDEX(Orders!$H$2:$H$401,MATCH(B133,Orders!$A$2:$A$401,0)),"")</f>
        <v>7478.7250000000004</v>
      </c>
      <c r="H133" s="10" t="str">
        <f t="shared" si="2"/>
        <v>2023-08</v>
      </c>
      <c r="I133" s="10" t="str">
        <f>IFERROR(INDEX(Orders!$F$2:$F$401,MATCH(B133,Orders!$A$2:$A$401,0)),"")</f>
        <v>Delivered</v>
      </c>
    </row>
    <row r="134" spans="1:9" ht="15" customHeight="1" x14ac:dyDescent="0.25">
      <c r="A134" s="10">
        <v>133</v>
      </c>
      <c r="B134" s="10">
        <v>159</v>
      </c>
      <c r="C134" s="10" t="s">
        <v>1159</v>
      </c>
      <c r="D134" s="19">
        <v>1443.82</v>
      </c>
      <c r="E134" s="10" t="s">
        <v>113</v>
      </c>
      <c r="F134" s="10" t="s">
        <v>108</v>
      </c>
      <c r="G134" s="19">
        <f>IFERROR(INDEX(Orders!$H$2:$H$401,MATCH(B134,Orders!$A$2:$A$401,0)),"")</f>
        <v>1443.8240000000001</v>
      </c>
      <c r="H134" s="10" t="str">
        <f t="shared" si="2"/>
        <v>2024-10</v>
      </c>
      <c r="I134" s="10" t="str">
        <f>IFERROR(INDEX(Orders!$F$2:$F$401,MATCH(B134,Orders!$A$2:$A$401,0)),"")</f>
        <v>Shipped</v>
      </c>
    </row>
    <row r="135" spans="1:9" ht="15" customHeight="1" x14ac:dyDescent="0.25">
      <c r="A135" s="10">
        <v>134</v>
      </c>
      <c r="B135" s="10">
        <v>160</v>
      </c>
      <c r="C135" s="10" t="s">
        <v>1150</v>
      </c>
      <c r="D135" s="19">
        <v>5293.78</v>
      </c>
      <c r="E135" s="10" t="s">
        <v>111</v>
      </c>
      <c r="F135" s="10" t="s">
        <v>110</v>
      </c>
      <c r="G135" s="19">
        <f>IFERROR(INDEX(Orders!$H$2:$H$401,MATCH(B135,Orders!$A$2:$A$401,0)),"")</f>
        <v>5293.7685000000001</v>
      </c>
      <c r="H135" s="10" t="str">
        <f t="shared" si="2"/>
        <v>2024-01</v>
      </c>
      <c r="I135" s="10" t="str">
        <f>IFERROR(INDEX(Orders!$F$2:$F$401,MATCH(B135,Orders!$A$2:$A$401,0)),"")</f>
        <v>Returned</v>
      </c>
    </row>
    <row r="136" spans="1:9" ht="15" customHeight="1" x14ac:dyDescent="0.25">
      <c r="A136" s="10">
        <v>135</v>
      </c>
      <c r="B136" s="10">
        <v>161</v>
      </c>
      <c r="C136" s="10" t="s">
        <v>1302</v>
      </c>
      <c r="D136" s="19">
        <v>386.04</v>
      </c>
      <c r="E136" s="10" t="s">
        <v>113</v>
      </c>
      <c r="F136" s="10" t="s">
        <v>108</v>
      </c>
      <c r="G136" s="19">
        <f>IFERROR(INDEX(Orders!$H$2:$H$401,MATCH(B136,Orders!$A$2:$A$401,0)),"")</f>
        <v>386.04</v>
      </c>
      <c r="H136" s="10" t="str">
        <f t="shared" si="2"/>
        <v>2023-05</v>
      </c>
      <c r="I136" s="10" t="str">
        <f>IFERROR(INDEX(Orders!$F$2:$F$401,MATCH(B136,Orders!$A$2:$A$401,0)),"")</f>
        <v>Delivered</v>
      </c>
    </row>
    <row r="137" spans="1:9" ht="15" customHeight="1" x14ac:dyDescent="0.25">
      <c r="A137" s="10">
        <v>136</v>
      </c>
      <c r="B137" s="10">
        <v>162</v>
      </c>
      <c r="C137" s="10" t="s">
        <v>1303</v>
      </c>
      <c r="D137" s="19">
        <v>5178.47</v>
      </c>
      <c r="E137" s="10" t="s">
        <v>109</v>
      </c>
      <c r="F137" s="10" t="s">
        <v>108</v>
      </c>
      <c r="G137" s="19">
        <f>IFERROR(INDEX(Orders!$H$2:$H$401,MATCH(B137,Orders!$A$2:$A$401,0)),"")</f>
        <v>5178.4740000000002</v>
      </c>
      <c r="H137" s="10" t="str">
        <f t="shared" si="2"/>
        <v>2023-09</v>
      </c>
      <c r="I137" s="10" t="str">
        <f>IFERROR(INDEX(Orders!$F$2:$F$401,MATCH(B137,Orders!$A$2:$A$401,0)),"")</f>
        <v>Delivered</v>
      </c>
    </row>
    <row r="138" spans="1:9" ht="15" customHeight="1" x14ac:dyDescent="0.25">
      <c r="A138" s="10">
        <v>137</v>
      </c>
      <c r="B138" s="10">
        <v>163</v>
      </c>
      <c r="C138" s="10" t="s">
        <v>1304</v>
      </c>
      <c r="D138" s="19">
        <v>971.33</v>
      </c>
      <c r="E138" s="10" t="s">
        <v>113</v>
      </c>
      <c r="F138" s="10" t="s">
        <v>108</v>
      </c>
      <c r="G138" s="19">
        <f>IFERROR(INDEX(Orders!$H$2:$H$401,MATCH(B138,Orders!$A$2:$A$401,0)),"")</f>
        <v>971.32799999999997</v>
      </c>
      <c r="H138" s="10" t="str">
        <f t="shared" si="2"/>
        <v>2025-03</v>
      </c>
      <c r="I138" s="10" t="str">
        <f>IFERROR(INDEX(Orders!$F$2:$F$401,MATCH(B138,Orders!$A$2:$A$401,0)),"")</f>
        <v>Delivered</v>
      </c>
    </row>
    <row r="139" spans="1:9" ht="15" customHeight="1" x14ac:dyDescent="0.25">
      <c r="A139" s="10">
        <v>138</v>
      </c>
      <c r="B139" s="10">
        <v>164</v>
      </c>
      <c r="C139" s="10" t="s">
        <v>981</v>
      </c>
      <c r="D139" s="19">
        <v>8218.33</v>
      </c>
      <c r="E139" s="10" t="s">
        <v>112</v>
      </c>
      <c r="F139" s="10" t="s">
        <v>110</v>
      </c>
      <c r="G139" s="19">
        <f>IFERROR(INDEX(Orders!$H$2:$H$401,MATCH(B139,Orders!$A$2:$A$401,0)),"")</f>
        <v>8218.334499999999</v>
      </c>
      <c r="H139" s="10" t="str">
        <f t="shared" si="2"/>
        <v>2023-01</v>
      </c>
      <c r="I139" s="10" t="str">
        <f>IFERROR(INDEX(Orders!$F$2:$F$401,MATCH(B139,Orders!$A$2:$A$401,0)),"")</f>
        <v>Returned</v>
      </c>
    </row>
    <row r="140" spans="1:9" ht="15" customHeight="1" x14ac:dyDescent="0.25">
      <c r="A140" s="10">
        <v>139</v>
      </c>
      <c r="B140" s="10">
        <v>165</v>
      </c>
      <c r="C140" s="10" t="s">
        <v>881</v>
      </c>
      <c r="D140" s="19">
        <v>5316.55</v>
      </c>
      <c r="E140" s="10" t="s">
        <v>109</v>
      </c>
      <c r="F140" s="10" t="s">
        <v>108</v>
      </c>
      <c r="G140" s="19">
        <f>IFERROR(INDEX(Orders!$H$2:$H$401,MATCH(B140,Orders!$A$2:$A$401,0)),"")</f>
        <v>5316.55</v>
      </c>
      <c r="H140" s="10" t="str">
        <f t="shared" si="2"/>
        <v>2024-09</v>
      </c>
      <c r="I140" s="10" t="str">
        <f>IFERROR(INDEX(Orders!$F$2:$F$401,MATCH(B140,Orders!$A$2:$A$401,0)),"")</f>
        <v>Delivered</v>
      </c>
    </row>
    <row r="141" spans="1:9" ht="15" customHeight="1" x14ac:dyDescent="0.25">
      <c r="A141" s="10">
        <v>140</v>
      </c>
      <c r="B141" s="10">
        <v>166</v>
      </c>
      <c r="C141" s="10" t="s">
        <v>984</v>
      </c>
      <c r="D141" s="19">
        <v>6132.32</v>
      </c>
      <c r="E141" s="10" t="s">
        <v>112</v>
      </c>
      <c r="F141" s="10" t="s">
        <v>108</v>
      </c>
      <c r="G141" s="19">
        <f>IFERROR(INDEX(Orders!$H$2:$H$401,MATCH(B141,Orders!$A$2:$A$401,0)),"")</f>
        <v>6132.3215</v>
      </c>
      <c r="H141" s="10" t="str">
        <f t="shared" si="2"/>
        <v>2024-10</v>
      </c>
      <c r="I141" s="10" t="str">
        <f>IFERROR(INDEX(Orders!$F$2:$F$401,MATCH(B141,Orders!$A$2:$A$401,0)),"")</f>
        <v>Delivered</v>
      </c>
    </row>
    <row r="142" spans="1:9" ht="15" customHeight="1" x14ac:dyDescent="0.25">
      <c r="A142" s="10">
        <v>141</v>
      </c>
      <c r="B142" s="10">
        <v>167</v>
      </c>
      <c r="C142" s="10" t="s">
        <v>1305</v>
      </c>
      <c r="D142" s="19">
        <v>2586.36</v>
      </c>
      <c r="E142" s="10" t="s">
        <v>112</v>
      </c>
      <c r="F142" s="10" t="s">
        <v>110</v>
      </c>
      <c r="G142" s="19">
        <f>IFERROR(INDEX(Orders!$H$2:$H$401,MATCH(B142,Orders!$A$2:$A$401,0)),"")</f>
        <v>2586.3539999999998</v>
      </c>
      <c r="H142" s="10" t="str">
        <f t="shared" si="2"/>
        <v>2026-01</v>
      </c>
      <c r="I142" s="10" t="str">
        <f>IFERROR(INDEX(Orders!$F$2:$F$401,MATCH(B142,Orders!$A$2:$A$401,0)),"")</f>
        <v>Returned</v>
      </c>
    </row>
    <row r="143" spans="1:9" ht="15" customHeight="1" x14ac:dyDescent="0.25">
      <c r="A143" s="10">
        <v>142</v>
      </c>
      <c r="B143" s="10">
        <v>168</v>
      </c>
      <c r="C143" s="10" t="s">
        <v>1306</v>
      </c>
      <c r="D143" s="19">
        <v>2381.5500000000002</v>
      </c>
      <c r="E143" s="10" t="s">
        <v>109</v>
      </c>
      <c r="F143" s="10" t="s">
        <v>108</v>
      </c>
      <c r="G143" s="19">
        <f>IFERROR(INDEX(Orders!$H$2:$H$401,MATCH(B143,Orders!$A$2:$A$401,0)),"")</f>
        <v>2381.5465000000004</v>
      </c>
      <c r="H143" s="10" t="str">
        <f t="shared" si="2"/>
        <v>2024-04</v>
      </c>
      <c r="I143" s="10" t="str">
        <f>IFERROR(INDEX(Orders!$F$2:$F$401,MATCH(B143,Orders!$A$2:$A$401,0)),"")</f>
        <v>Pending</v>
      </c>
    </row>
    <row r="144" spans="1:9" ht="15" customHeight="1" x14ac:dyDescent="0.25">
      <c r="A144" s="10">
        <v>143</v>
      </c>
      <c r="B144" s="10">
        <v>169</v>
      </c>
      <c r="C144" s="10" t="s">
        <v>831</v>
      </c>
      <c r="D144" s="19">
        <v>5465.89</v>
      </c>
      <c r="E144" s="10" t="s">
        <v>112</v>
      </c>
      <c r="F144" s="10" t="s">
        <v>108</v>
      </c>
      <c r="G144" s="19">
        <f>IFERROR(INDEX(Orders!$H$2:$H$401,MATCH(B144,Orders!$A$2:$A$401,0)),"")</f>
        <v>5465.896999999999</v>
      </c>
      <c r="H144" s="10" t="str">
        <f t="shared" si="2"/>
        <v>2025-10</v>
      </c>
      <c r="I144" s="10" t="str">
        <f>IFERROR(INDEX(Orders!$F$2:$F$401,MATCH(B144,Orders!$A$2:$A$401,0)),"")</f>
        <v>Delivered</v>
      </c>
    </row>
    <row r="145" spans="1:9" ht="15" customHeight="1" x14ac:dyDescent="0.25">
      <c r="A145" s="10">
        <v>144</v>
      </c>
      <c r="B145" s="10">
        <v>170</v>
      </c>
      <c r="C145" s="10" t="s">
        <v>988</v>
      </c>
      <c r="D145" s="19">
        <v>5500.88</v>
      </c>
      <c r="E145" s="10" t="s">
        <v>111</v>
      </c>
      <c r="F145" s="10" t="s">
        <v>108</v>
      </c>
      <c r="G145" s="19">
        <f>IFERROR(INDEX(Orders!$H$2:$H$401,MATCH(B145,Orders!$A$2:$A$401,0)),"")</f>
        <v>5500.8829999999998</v>
      </c>
      <c r="H145" s="10" t="str">
        <f t="shared" si="2"/>
        <v>2023-06</v>
      </c>
      <c r="I145" s="10" t="str">
        <f>IFERROR(INDEX(Orders!$F$2:$F$401,MATCH(B145,Orders!$A$2:$A$401,0)),"")</f>
        <v>Returned</v>
      </c>
    </row>
    <row r="146" spans="1:9" ht="15" customHeight="1" x14ac:dyDescent="0.25">
      <c r="A146" s="10">
        <v>145</v>
      </c>
      <c r="B146" s="10">
        <v>172</v>
      </c>
      <c r="C146" s="10" t="s">
        <v>991</v>
      </c>
      <c r="D146" s="19">
        <v>4828.45</v>
      </c>
      <c r="E146" s="10" t="s">
        <v>109</v>
      </c>
      <c r="F146" s="10" t="s">
        <v>108</v>
      </c>
      <c r="G146" s="19">
        <f>IFERROR(INDEX(Orders!$H$2:$H$401,MATCH(B146,Orders!$A$2:$A$401,0)),"")</f>
        <v>4828.4470000000001</v>
      </c>
      <c r="H146" s="10" t="str">
        <f t="shared" si="2"/>
        <v>2024-05</v>
      </c>
      <c r="I146" s="10" t="str">
        <f>IFERROR(INDEX(Orders!$F$2:$F$401,MATCH(B146,Orders!$A$2:$A$401,0)),"")</f>
        <v>Delivered</v>
      </c>
    </row>
    <row r="147" spans="1:9" ht="15" customHeight="1" x14ac:dyDescent="0.25">
      <c r="A147" s="10">
        <v>146</v>
      </c>
      <c r="B147" s="10">
        <v>173</v>
      </c>
      <c r="C147" s="10" t="s">
        <v>992</v>
      </c>
      <c r="D147" s="19">
        <v>616.91999999999996</v>
      </c>
      <c r="E147" s="10" t="s">
        <v>111</v>
      </c>
      <c r="F147" s="10" t="s">
        <v>16</v>
      </c>
      <c r="G147" s="19">
        <f>IFERROR(INDEX(Orders!$H$2:$H$401,MATCH(B147,Orders!$A$2:$A$401,0)),"")</f>
        <v>616.92000000000007</v>
      </c>
      <c r="H147" s="10" t="str">
        <f t="shared" si="2"/>
        <v>2025-07</v>
      </c>
      <c r="I147" s="10" t="str">
        <f>IFERROR(INDEX(Orders!$F$2:$F$401,MATCH(B147,Orders!$A$2:$A$401,0)),"")</f>
        <v>Pending</v>
      </c>
    </row>
    <row r="148" spans="1:9" ht="15" customHeight="1" x14ac:dyDescent="0.25">
      <c r="A148" s="10">
        <v>147</v>
      </c>
      <c r="B148" s="10">
        <v>174</v>
      </c>
      <c r="C148" s="10" t="s">
        <v>922</v>
      </c>
      <c r="D148" s="19">
        <v>714.19</v>
      </c>
      <c r="E148" s="10" t="s">
        <v>109</v>
      </c>
      <c r="F148" s="10" t="s">
        <v>108</v>
      </c>
      <c r="G148" s="19">
        <f>IFERROR(INDEX(Orders!$H$2:$H$401,MATCH(B148,Orders!$A$2:$A$401,0)),"")</f>
        <v>714.18900000000008</v>
      </c>
      <c r="H148" s="10" t="str">
        <f t="shared" si="2"/>
        <v>2024-03</v>
      </c>
      <c r="I148" s="10" t="str">
        <f>IFERROR(INDEX(Orders!$F$2:$F$401,MATCH(B148,Orders!$A$2:$A$401,0)),"")</f>
        <v>Delivered</v>
      </c>
    </row>
    <row r="149" spans="1:9" ht="15" customHeight="1" x14ac:dyDescent="0.25">
      <c r="A149" s="10">
        <v>148</v>
      </c>
      <c r="B149" s="10">
        <v>175</v>
      </c>
      <c r="C149" s="10" t="s">
        <v>956</v>
      </c>
      <c r="D149" s="19">
        <v>3493.71</v>
      </c>
      <c r="E149" s="10" t="s">
        <v>112</v>
      </c>
      <c r="F149" s="10" t="s">
        <v>108</v>
      </c>
      <c r="G149" s="19">
        <f>IFERROR(INDEX(Orders!$H$2:$H$401,MATCH(B149,Orders!$A$2:$A$401,0)),"")</f>
        <v>3493.7084999999997</v>
      </c>
      <c r="H149" s="10" t="str">
        <f t="shared" si="2"/>
        <v>2023-08</v>
      </c>
      <c r="I149" s="10" t="str">
        <f>IFERROR(INDEX(Orders!$F$2:$F$401,MATCH(B149,Orders!$A$2:$A$401,0)),"")</f>
        <v>Delivered</v>
      </c>
    </row>
    <row r="150" spans="1:9" ht="15" customHeight="1" x14ac:dyDescent="0.25">
      <c r="A150" s="10">
        <v>149</v>
      </c>
      <c r="B150" s="10">
        <v>176</v>
      </c>
      <c r="C150" s="10" t="s">
        <v>774</v>
      </c>
      <c r="D150" s="19">
        <v>420.78</v>
      </c>
      <c r="E150" s="10" t="s">
        <v>113</v>
      </c>
      <c r="F150" s="10" t="s">
        <v>108</v>
      </c>
      <c r="G150" s="19">
        <f>IFERROR(INDEX(Orders!$H$2:$H$401,MATCH(B150,Orders!$A$2:$A$401,0)),"")</f>
        <v>420.78400000000005</v>
      </c>
      <c r="H150" s="10" t="str">
        <f t="shared" si="2"/>
        <v>2025-05</v>
      </c>
      <c r="I150" s="10" t="str">
        <f>IFERROR(INDEX(Orders!$F$2:$F$401,MATCH(B150,Orders!$A$2:$A$401,0)),"")</f>
        <v>Delivered</v>
      </c>
    </row>
    <row r="151" spans="1:9" ht="15" customHeight="1" x14ac:dyDescent="0.25">
      <c r="A151" s="10">
        <v>150</v>
      </c>
      <c r="B151" s="10">
        <v>177</v>
      </c>
      <c r="C151" s="10" t="s">
        <v>995</v>
      </c>
      <c r="D151" s="19">
        <v>5658.16</v>
      </c>
      <c r="E151" s="10" t="s">
        <v>109</v>
      </c>
      <c r="F151" s="10" t="s">
        <v>108</v>
      </c>
      <c r="G151" s="19">
        <f>IFERROR(INDEX(Orders!$H$2:$H$401,MATCH(B151,Orders!$A$2:$A$401,0)),"")</f>
        <v>5658.16</v>
      </c>
      <c r="H151" s="10" t="str">
        <f t="shared" si="2"/>
        <v>2024-06</v>
      </c>
      <c r="I151" s="10" t="str">
        <f>IFERROR(INDEX(Orders!$F$2:$F$401,MATCH(B151,Orders!$A$2:$A$401,0)),"")</f>
        <v>Delivered</v>
      </c>
    </row>
    <row r="152" spans="1:9" ht="15" customHeight="1" x14ac:dyDescent="0.25">
      <c r="A152" s="10">
        <v>151</v>
      </c>
      <c r="B152" s="10">
        <v>178</v>
      </c>
      <c r="C152" s="10" t="s">
        <v>1191</v>
      </c>
      <c r="D152" s="19">
        <v>576.79999999999995</v>
      </c>
      <c r="E152" s="10" t="s">
        <v>111</v>
      </c>
      <c r="F152" s="10" t="s">
        <v>108</v>
      </c>
      <c r="G152" s="19">
        <f>IFERROR(INDEX(Orders!$H$2:$H$401,MATCH(B152,Orders!$A$2:$A$401,0)),"")</f>
        <v>576.79999999999995</v>
      </c>
      <c r="H152" s="10" t="str">
        <f t="shared" si="2"/>
        <v>2025-10</v>
      </c>
      <c r="I152" s="10" t="str">
        <f>IFERROR(INDEX(Orders!$F$2:$F$401,MATCH(B152,Orders!$A$2:$A$401,0)),"")</f>
        <v>Delivered</v>
      </c>
    </row>
    <row r="153" spans="1:9" ht="15" customHeight="1" x14ac:dyDescent="0.25">
      <c r="A153" s="10">
        <v>152</v>
      </c>
      <c r="B153" s="10">
        <v>179</v>
      </c>
      <c r="C153" s="10" t="s">
        <v>998</v>
      </c>
      <c r="D153" s="19">
        <v>1962.7</v>
      </c>
      <c r="E153" s="10" t="s">
        <v>109</v>
      </c>
      <c r="F153" s="10" t="s">
        <v>110</v>
      </c>
      <c r="G153" s="19">
        <f>IFERROR(INDEX(Orders!$H$2:$H$401,MATCH(B153,Orders!$A$2:$A$401,0)),"")</f>
        <v>1962.7079999999999</v>
      </c>
      <c r="H153" s="10" t="str">
        <f t="shared" si="2"/>
        <v>2024-06</v>
      </c>
      <c r="I153" s="10" t="str">
        <f>IFERROR(INDEX(Orders!$F$2:$F$401,MATCH(B153,Orders!$A$2:$A$401,0)),"")</f>
        <v>Returned</v>
      </c>
    </row>
    <row r="154" spans="1:9" ht="15" customHeight="1" x14ac:dyDescent="0.25">
      <c r="A154" s="10">
        <v>153</v>
      </c>
      <c r="B154" s="10">
        <v>180</v>
      </c>
      <c r="C154" s="10" t="s">
        <v>1307</v>
      </c>
      <c r="D154" s="19">
        <v>4747.24</v>
      </c>
      <c r="E154" s="10" t="s">
        <v>113</v>
      </c>
      <c r="F154" s="10" t="s">
        <v>16</v>
      </c>
      <c r="G154" s="19">
        <f>IFERROR(INDEX(Orders!$H$2:$H$401,MATCH(B154,Orders!$A$2:$A$401,0)),"")</f>
        <v>4747.2365</v>
      </c>
      <c r="H154" s="10" t="str">
        <f t="shared" si="2"/>
        <v>2023-12</v>
      </c>
      <c r="I154" s="10" t="str">
        <f>IFERROR(INDEX(Orders!$F$2:$F$401,MATCH(B154,Orders!$A$2:$A$401,0)),"")</f>
        <v>Pending</v>
      </c>
    </row>
    <row r="155" spans="1:9" ht="15" customHeight="1" x14ac:dyDescent="0.25">
      <c r="A155" s="10">
        <v>154</v>
      </c>
      <c r="B155" s="10">
        <v>181</v>
      </c>
      <c r="C155" s="10" t="s">
        <v>1000</v>
      </c>
      <c r="D155" s="19">
        <v>6636.87</v>
      </c>
      <c r="E155" s="10" t="s">
        <v>111</v>
      </c>
      <c r="F155" s="10" t="s">
        <v>108</v>
      </c>
      <c r="G155" s="19">
        <f>IFERROR(INDEX(Orders!$H$2:$H$401,MATCH(B155,Orders!$A$2:$A$401,0)),"")</f>
        <v>6636.875</v>
      </c>
      <c r="H155" s="10" t="str">
        <f t="shared" si="2"/>
        <v>2023-12</v>
      </c>
      <c r="I155" s="10" t="str">
        <f>IFERROR(INDEX(Orders!$F$2:$F$401,MATCH(B155,Orders!$A$2:$A$401,0)),"")</f>
        <v>Delivered</v>
      </c>
    </row>
    <row r="156" spans="1:9" ht="15" customHeight="1" x14ac:dyDescent="0.25">
      <c r="A156" s="10">
        <v>155</v>
      </c>
      <c r="B156" s="10">
        <v>182</v>
      </c>
      <c r="C156" s="10" t="s">
        <v>1183</v>
      </c>
      <c r="D156" s="19">
        <v>8547.58</v>
      </c>
      <c r="E156" s="10" t="s">
        <v>111</v>
      </c>
      <c r="F156" s="10" t="s">
        <v>108</v>
      </c>
      <c r="G156" s="19">
        <f>IFERROR(INDEX(Orders!$H$2:$H$401,MATCH(B156,Orders!$A$2:$A$401,0)),"")</f>
        <v>8547.5789999999997</v>
      </c>
      <c r="H156" s="10" t="str">
        <f t="shared" si="2"/>
        <v>2025-01</v>
      </c>
      <c r="I156" s="10" t="str">
        <f>IFERROR(INDEX(Orders!$F$2:$F$401,MATCH(B156,Orders!$A$2:$A$401,0)),"")</f>
        <v>Delivered</v>
      </c>
    </row>
    <row r="157" spans="1:9" ht="15" customHeight="1" x14ac:dyDescent="0.25">
      <c r="A157" s="10">
        <v>156</v>
      </c>
      <c r="B157" s="10">
        <v>183</v>
      </c>
      <c r="C157" s="10" t="s">
        <v>1085</v>
      </c>
      <c r="D157" s="19">
        <v>3363.57</v>
      </c>
      <c r="E157" s="10" t="s">
        <v>113</v>
      </c>
      <c r="F157" s="10" t="s">
        <v>108</v>
      </c>
      <c r="G157" s="19">
        <f>IFERROR(INDEX(Orders!$H$2:$H$401,MATCH(B157,Orders!$A$2:$A$401,0)),"")</f>
        <v>3363.5739999999996</v>
      </c>
      <c r="H157" s="10" t="str">
        <f t="shared" si="2"/>
        <v>2025-12</v>
      </c>
      <c r="I157" s="10" t="str">
        <f>IFERROR(INDEX(Orders!$F$2:$F$401,MATCH(B157,Orders!$A$2:$A$401,0)),"")</f>
        <v>Delivered</v>
      </c>
    </row>
    <row r="158" spans="1:9" ht="15" customHeight="1" x14ac:dyDescent="0.25">
      <c r="A158" s="10">
        <v>157</v>
      </c>
      <c r="B158" s="10">
        <v>184</v>
      </c>
      <c r="C158" s="10" t="s">
        <v>811</v>
      </c>
      <c r="D158" s="19">
        <v>3374.61</v>
      </c>
      <c r="E158" s="10" t="s">
        <v>113</v>
      </c>
      <c r="F158" s="10" t="s">
        <v>108</v>
      </c>
      <c r="G158" s="19">
        <f>IFERROR(INDEX(Orders!$H$2:$H$401,MATCH(B158,Orders!$A$2:$A$401,0)),"")</f>
        <v>3374.616</v>
      </c>
      <c r="H158" s="10" t="str">
        <f t="shared" si="2"/>
        <v>2023-06</v>
      </c>
      <c r="I158" s="10" t="str">
        <f>IFERROR(INDEX(Orders!$F$2:$F$401,MATCH(B158,Orders!$A$2:$A$401,0)),"")</f>
        <v>Returned</v>
      </c>
    </row>
    <row r="159" spans="1:9" ht="15" customHeight="1" x14ac:dyDescent="0.25">
      <c r="A159" s="10">
        <v>158</v>
      </c>
      <c r="B159" s="10">
        <v>185</v>
      </c>
      <c r="C159" s="10" t="s">
        <v>885</v>
      </c>
      <c r="D159" s="19">
        <v>3469.7</v>
      </c>
      <c r="E159" s="10" t="s">
        <v>111</v>
      </c>
      <c r="F159" s="10" t="s">
        <v>16</v>
      </c>
      <c r="G159" s="19">
        <f>IFERROR(INDEX(Orders!$H$2:$H$401,MATCH(B159,Orders!$A$2:$A$401,0)),"")</f>
        <v>3469.7000000000003</v>
      </c>
      <c r="H159" s="10" t="str">
        <f t="shared" si="2"/>
        <v>2025-07</v>
      </c>
      <c r="I159" s="10" t="str">
        <f>IFERROR(INDEX(Orders!$F$2:$F$401,MATCH(B159,Orders!$A$2:$A$401,0)),"")</f>
        <v>Pending</v>
      </c>
    </row>
    <row r="160" spans="1:9" ht="15" customHeight="1" x14ac:dyDescent="0.25">
      <c r="A160" s="10">
        <v>159</v>
      </c>
      <c r="B160" s="10">
        <v>186</v>
      </c>
      <c r="C160" s="10" t="s">
        <v>1217</v>
      </c>
      <c r="D160" s="19">
        <v>868.77</v>
      </c>
      <c r="E160" s="10" t="s">
        <v>112</v>
      </c>
      <c r="F160" s="10" t="s">
        <v>16</v>
      </c>
      <c r="G160" s="19">
        <f>IFERROR(INDEX(Orders!$H$2:$H$401,MATCH(B160,Orders!$A$2:$A$401,0)),"")</f>
        <v>868.77</v>
      </c>
      <c r="H160" s="10" t="str">
        <f t="shared" si="2"/>
        <v>2024-12</v>
      </c>
      <c r="I160" s="10" t="str">
        <f>IFERROR(INDEX(Orders!$F$2:$F$401,MATCH(B160,Orders!$A$2:$A$401,0)),"")</f>
        <v>Pending</v>
      </c>
    </row>
    <row r="161" spans="1:9" ht="15" customHeight="1" x14ac:dyDescent="0.25">
      <c r="A161" s="10">
        <v>160</v>
      </c>
      <c r="B161" s="10">
        <v>187</v>
      </c>
      <c r="C161" s="10" t="s">
        <v>1143</v>
      </c>
      <c r="D161" s="19">
        <v>3299.19</v>
      </c>
      <c r="E161" s="10" t="s">
        <v>113</v>
      </c>
      <c r="F161" s="10" t="s">
        <v>108</v>
      </c>
      <c r="G161" s="19">
        <f>IFERROR(INDEX(Orders!$H$2:$H$401,MATCH(B161,Orders!$A$2:$A$401,0)),"")</f>
        <v>3299.1950000000002</v>
      </c>
      <c r="H161" s="10" t="str">
        <f t="shared" si="2"/>
        <v>2023-08</v>
      </c>
      <c r="I161" s="10" t="str">
        <f>IFERROR(INDEX(Orders!$F$2:$F$401,MATCH(B161,Orders!$A$2:$A$401,0)),"")</f>
        <v>Delivered</v>
      </c>
    </row>
    <row r="162" spans="1:9" ht="15" customHeight="1" x14ac:dyDescent="0.25">
      <c r="A162" s="10">
        <v>161</v>
      </c>
      <c r="B162" s="10">
        <v>188</v>
      </c>
      <c r="C162" s="10" t="s">
        <v>956</v>
      </c>
      <c r="D162" s="19">
        <v>2796.46</v>
      </c>
      <c r="E162" s="10" t="s">
        <v>109</v>
      </c>
      <c r="F162" s="10" t="s">
        <v>108</v>
      </c>
      <c r="G162" s="19">
        <f>IFERROR(INDEX(Orders!$H$2:$H$401,MATCH(B162,Orders!$A$2:$A$401,0)),"")</f>
        <v>2796.4580000000001</v>
      </c>
      <c r="H162" s="10" t="str">
        <f t="shared" si="2"/>
        <v>2023-08</v>
      </c>
      <c r="I162" s="10" t="str">
        <f>IFERROR(INDEX(Orders!$F$2:$F$401,MATCH(B162,Orders!$A$2:$A$401,0)),"")</f>
        <v>Shipped</v>
      </c>
    </row>
    <row r="163" spans="1:9" ht="15" customHeight="1" x14ac:dyDescent="0.25">
      <c r="A163" s="10">
        <v>162</v>
      </c>
      <c r="B163" s="10">
        <v>189</v>
      </c>
      <c r="C163" s="10" t="s">
        <v>1308</v>
      </c>
      <c r="D163" s="19">
        <v>7169.07</v>
      </c>
      <c r="E163" s="10" t="s">
        <v>111</v>
      </c>
      <c r="F163" s="10" t="s">
        <v>108</v>
      </c>
      <c r="G163" s="19">
        <f>IFERROR(INDEX(Orders!$H$2:$H$401,MATCH(B163,Orders!$A$2:$A$401,0)),"")</f>
        <v>7169.0630000000001</v>
      </c>
      <c r="H163" s="10" t="str">
        <f t="shared" si="2"/>
        <v>2023-04</v>
      </c>
      <c r="I163" s="10" t="str">
        <f>IFERROR(INDEX(Orders!$F$2:$F$401,MATCH(B163,Orders!$A$2:$A$401,0)),"")</f>
        <v>Delivered</v>
      </c>
    </row>
    <row r="164" spans="1:9" ht="15" customHeight="1" x14ac:dyDescent="0.25">
      <c r="A164" s="10">
        <v>163</v>
      </c>
      <c r="B164" s="10">
        <v>191</v>
      </c>
      <c r="C164" s="10" t="s">
        <v>973</v>
      </c>
      <c r="D164" s="19">
        <v>4052.92</v>
      </c>
      <c r="E164" s="10" t="s">
        <v>113</v>
      </c>
      <c r="F164" s="10" t="s">
        <v>108</v>
      </c>
      <c r="G164" s="19">
        <f>IFERROR(INDEX(Orders!$H$2:$H$401,MATCH(B164,Orders!$A$2:$A$401,0)),"")</f>
        <v>4052.9295000000006</v>
      </c>
      <c r="H164" s="10" t="str">
        <f t="shared" si="2"/>
        <v>2024-10</v>
      </c>
      <c r="I164" s="10" t="str">
        <f>IFERROR(INDEX(Orders!$F$2:$F$401,MATCH(B164,Orders!$A$2:$A$401,0)),"")</f>
        <v>Delivered</v>
      </c>
    </row>
    <row r="165" spans="1:9" ht="15" customHeight="1" x14ac:dyDescent="0.25">
      <c r="A165" s="10">
        <v>164</v>
      </c>
      <c r="B165" s="10">
        <v>192</v>
      </c>
      <c r="C165" s="10" t="s">
        <v>1309</v>
      </c>
      <c r="D165" s="19">
        <v>3700.38</v>
      </c>
      <c r="E165" s="10" t="s">
        <v>111</v>
      </c>
      <c r="F165" s="10" t="s">
        <v>108</v>
      </c>
      <c r="G165" s="19">
        <f>IFERROR(INDEX(Orders!$H$2:$H$401,MATCH(B165,Orders!$A$2:$A$401,0)),"")</f>
        <v>3700.3760000000002</v>
      </c>
      <c r="H165" s="10" t="str">
        <f t="shared" si="2"/>
        <v>2025-12</v>
      </c>
      <c r="I165" s="10" t="str">
        <f>IFERROR(INDEX(Orders!$F$2:$F$401,MATCH(B165,Orders!$A$2:$A$401,0)),"")</f>
        <v>Shipped</v>
      </c>
    </row>
    <row r="166" spans="1:9" ht="15" customHeight="1" x14ac:dyDescent="0.25">
      <c r="A166" s="10">
        <v>165</v>
      </c>
      <c r="B166" s="10">
        <v>193</v>
      </c>
      <c r="C166" s="10" t="s">
        <v>1199</v>
      </c>
      <c r="D166" s="19">
        <v>7512.39</v>
      </c>
      <c r="E166" s="10" t="s">
        <v>112</v>
      </c>
      <c r="F166" s="10" t="s">
        <v>110</v>
      </c>
      <c r="G166" s="19">
        <f>IFERROR(INDEX(Orders!$H$2:$H$401,MATCH(B166,Orders!$A$2:$A$401,0)),"")</f>
        <v>7512.3875000000007</v>
      </c>
      <c r="H166" s="10" t="str">
        <f t="shared" si="2"/>
        <v>2025-01</v>
      </c>
      <c r="I166" s="10" t="str">
        <f>IFERROR(INDEX(Orders!$F$2:$F$401,MATCH(B166,Orders!$A$2:$A$401,0)),"")</f>
        <v>Returned</v>
      </c>
    </row>
    <row r="167" spans="1:9" ht="15" customHeight="1" x14ac:dyDescent="0.25">
      <c r="A167" s="10">
        <v>166</v>
      </c>
      <c r="B167" s="10">
        <v>194</v>
      </c>
      <c r="C167" s="10" t="s">
        <v>746</v>
      </c>
      <c r="D167" s="19">
        <v>6926.15</v>
      </c>
      <c r="E167" s="10" t="s">
        <v>113</v>
      </c>
      <c r="F167" s="10" t="s">
        <v>16</v>
      </c>
      <c r="G167" s="19">
        <f>IFERROR(INDEX(Orders!$H$2:$H$401,MATCH(B167,Orders!$A$2:$A$401,0)),"")</f>
        <v>6926.152</v>
      </c>
      <c r="H167" s="10" t="str">
        <f t="shared" si="2"/>
        <v>2024-04</v>
      </c>
      <c r="I167" s="10" t="str">
        <f>IFERROR(INDEX(Orders!$F$2:$F$401,MATCH(B167,Orders!$A$2:$A$401,0)),"")</f>
        <v>Pending</v>
      </c>
    </row>
    <row r="168" spans="1:9" ht="15" customHeight="1" x14ac:dyDescent="0.25">
      <c r="A168" s="10">
        <v>167</v>
      </c>
      <c r="B168" s="10">
        <v>195</v>
      </c>
      <c r="C168" s="10" t="s">
        <v>951</v>
      </c>
      <c r="D168" s="19">
        <v>286.48</v>
      </c>
      <c r="E168" s="10" t="s">
        <v>109</v>
      </c>
      <c r="F168" s="10" t="s">
        <v>108</v>
      </c>
      <c r="G168" s="19">
        <f>IFERROR(INDEX(Orders!$H$2:$H$401,MATCH(B168,Orders!$A$2:$A$401,0)),"")</f>
        <v>286.48400000000004</v>
      </c>
      <c r="H168" s="10" t="str">
        <f t="shared" si="2"/>
        <v>2023-09</v>
      </c>
      <c r="I168" s="10" t="str">
        <f>IFERROR(INDEX(Orders!$F$2:$F$401,MATCH(B168,Orders!$A$2:$A$401,0)),"")</f>
        <v>Delivered</v>
      </c>
    </row>
    <row r="169" spans="1:9" ht="15" customHeight="1" x14ac:dyDescent="0.25">
      <c r="A169" s="10">
        <v>168</v>
      </c>
      <c r="B169" s="10">
        <v>196</v>
      </c>
      <c r="C169" s="10" t="s">
        <v>1016</v>
      </c>
      <c r="D169" s="19">
        <v>10091.42</v>
      </c>
      <c r="E169" s="10" t="s">
        <v>112</v>
      </c>
      <c r="F169" s="10" t="s">
        <v>108</v>
      </c>
      <c r="G169" s="19">
        <f>IFERROR(INDEX(Orders!$H$2:$H$401,MATCH(B169,Orders!$A$2:$A$401,0)),"")</f>
        <v>10091.420999999998</v>
      </c>
      <c r="H169" s="10" t="str">
        <f t="shared" si="2"/>
        <v>2023-04</v>
      </c>
      <c r="I169" s="10" t="str">
        <f>IFERROR(INDEX(Orders!$F$2:$F$401,MATCH(B169,Orders!$A$2:$A$401,0)),"")</f>
        <v>Shipped</v>
      </c>
    </row>
    <row r="170" spans="1:9" ht="15" customHeight="1" x14ac:dyDescent="0.25">
      <c r="A170" s="10">
        <v>169</v>
      </c>
      <c r="B170" s="10">
        <v>197</v>
      </c>
      <c r="C170" s="10" t="s">
        <v>753</v>
      </c>
      <c r="D170" s="19">
        <v>2162.27</v>
      </c>
      <c r="E170" s="10" t="s">
        <v>111</v>
      </c>
      <c r="F170" s="10" t="s">
        <v>16</v>
      </c>
      <c r="G170" s="19">
        <f>IFERROR(INDEX(Orders!$H$2:$H$401,MATCH(B170,Orders!$A$2:$A$401,0)),"")</f>
        <v>2162.2695000000003</v>
      </c>
      <c r="H170" s="10" t="str">
        <f t="shared" si="2"/>
        <v>2024-11</v>
      </c>
      <c r="I170" s="10" t="str">
        <f>IFERROR(INDEX(Orders!$F$2:$F$401,MATCH(B170,Orders!$A$2:$A$401,0)),"")</f>
        <v>Pending</v>
      </c>
    </row>
    <row r="171" spans="1:9" ht="15" customHeight="1" x14ac:dyDescent="0.25">
      <c r="A171" s="10">
        <v>170</v>
      </c>
      <c r="B171" s="10">
        <v>198</v>
      </c>
      <c r="C171" s="10" t="s">
        <v>1019</v>
      </c>
      <c r="D171" s="19">
        <v>1849.73</v>
      </c>
      <c r="E171" s="10" t="s">
        <v>112</v>
      </c>
      <c r="F171" s="10" t="s">
        <v>16</v>
      </c>
      <c r="G171" s="19">
        <f>IFERROR(INDEX(Orders!$H$2:$H$401,MATCH(B171,Orders!$A$2:$A$401,0)),"")</f>
        <v>1849.7250000000001</v>
      </c>
      <c r="H171" s="10" t="str">
        <f t="shared" si="2"/>
        <v>2023-03</v>
      </c>
      <c r="I171" s="10" t="str">
        <f>IFERROR(INDEX(Orders!$F$2:$F$401,MATCH(B171,Orders!$A$2:$A$401,0)),"")</f>
        <v>Pending</v>
      </c>
    </row>
    <row r="172" spans="1:9" ht="15" customHeight="1" x14ac:dyDescent="0.25">
      <c r="A172" s="10">
        <v>171</v>
      </c>
      <c r="B172" s="10">
        <v>199</v>
      </c>
      <c r="C172" s="10" t="s">
        <v>1020</v>
      </c>
      <c r="D172" s="19">
        <v>4058.87</v>
      </c>
      <c r="E172" s="10" t="s">
        <v>111</v>
      </c>
      <c r="F172" s="10" t="s">
        <v>108</v>
      </c>
      <c r="G172" s="19">
        <f>IFERROR(INDEX(Orders!$H$2:$H$401,MATCH(B172,Orders!$A$2:$A$401,0)),"")</f>
        <v>4058.8685000000005</v>
      </c>
      <c r="H172" s="10" t="str">
        <f t="shared" si="2"/>
        <v>2025-09</v>
      </c>
      <c r="I172" s="10" t="str">
        <f>IFERROR(INDEX(Orders!$F$2:$F$401,MATCH(B172,Orders!$A$2:$A$401,0)),"")</f>
        <v>Delivered</v>
      </c>
    </row>
    <row r="173" spans="1:9" ht="15" customHeight="1" x14ac:dyDescent="0.25">
      <c r="A173" s="10">
        <v>172</v>
      </c>
      <c r="B173" s="10">
        <v>200</v>
      </c>
      <c r="C173" s="10" t="s">
        <v>767</v>
      </c>
      <c r="D173" s="19">
        <v>5004.24</v>
      </c>
      <c r="E173" s="10" t="s">
        <v>111</v>
      </c>
      <c r="F173" s="10" t="s">
        <v>108</v>
      </c>
      <c r="G173" s="19">
        <f>IFERROR(INDEX(Orders!$H$2:$H$401,MATCH(B173,Orders!$A$2:$A$401,0)),"")</f>
        <v>5004.2420000000011</v>
      </c>
      <c r="H173" s="10" t="str">
        <f t="shared" si="2"/>
        <v>2025-05</v>
      </c>
      <c r="I173" s="10" t="str">
        <f>IFERROR(INDEX(Orders!$F$2:$F$401,MATCH(B173,Orders!$A$2:$A$401,0)),"")</f>
        <v>Delivered</v>
      </c>
    </row>
    <row r="174" spans="1:9" ht="15" customHeight="1" x14ac:dyDescent="0.25">
      <c r="A174" s="10">
        <v>173</v>
      </c>
      <c r="B174" s="10">
        <v>201</v>
      </c>
      <c r="C174" s="10" t="s">
        <v>1023</v>
      </c>
      <c r="D174" s="19">
        <v>6698.13</v>
      </c>
      <c r="E174" s="10" t="s">
        <v>109</v>
      </c>
      <c r="F174" s="10" t="s">
        <v>108</v>
      </c>
      <c r="G174" s="19">
        <f>IFERROR(INDEX(Orders!$H$2:$H$401,MATCH(B174,Orders!$A$2:$A$401,0)),"")</f>
        <v>6698.1385000000009</v>
      </c>
      <c r="H174" s="10" t="str">
        <f t="shared" si="2"/>
        <v>2023-05</v>
      </c>
      <c r="I174" s="10" t="str">
        <f>IFERROR(INDEX(Orders!$F$2:$F$401,MATCH(B174,Orders!$A$2:$A$401,0)),"")</f>
        <v>Delivered</v>
      </c>
    </row>
    <row r="175" spans="1:9" ht="15" customHeight="1" x14ac:dyDescent="0.25">
      <c r="A175" s="10">
        <v>174</v>
      </c>
      <c r="B175" s="10">
        <v>202</v>
      </c>
      <c r="C175" s="10" t="s">
        <v>958</v>
      </c>
      <c r="D175" s="19">
        <v>661.14</v>
      </c>
      <c r="E175" s="10" t="s">
        <v>113</v>
      </c>
      <c r="F175" s="10" t="s">
        <v>108</v>
      </c>
      <c r="G175" s="19">
        <f>IFERROR(INDEX(Orders!$H$2:$H$401,MATCH(B175,Orders!$A$2:$A$401,0)),"")</f>
        <v>661.14</v>
      </c>
      <c r="H175" s="10" t="str">
        <f t="shared" si="2"/>
        <v>2023-05</v>
      </c>
      <c r="I175" s="10" t="str">
        <f>IFERROR(INDEX(Orders!$F$2:$F$401,MATCH(B175,Orders!$A$2:$A$401,0)),"")</f>
        <v>Pending</v>
      </c>
    </row>
    <row r="176" spans="1:9" ht="15" customHeight="1" x14ac:dyDescent="0.25">
      <c r="A176" s="10">
        <v>175</v>
      </c>
      <c r="B176" s="10">
        <v>203</v>
      </c>
      <c r="C176" s="10" t="s">
        <v>1310</v>
      </c>
      <c r="D176" s="19">
        <v>3441.02</v>
      </c>
      <c r="E176" s="10" t="s">
        <v>112</v>
      </c>
      <c r="F176" s="10" t="s">
        <v>108</v>
      </c>
      <c r="G176" s="19">
        <f>IFERROR(INDEX(Orders!$H$2:$H$401,MATCH(B176,Orders!$A$2:$A$401,0)),"")</f>
        <v>3441.0160000000005</v>
      </c>
      <c r="H176" s="10" t="str">
        <f t="shared" si="2"/>
        <v>2023-03</v>
      </c>
      <c r="I176" s="10" t="str">
        <f>IFERROR(INDEX(Orders!$F$2:$F$401,MATCH(B176,Orders!$A$2:$A$401,0)),"")</f>
        <v>Returned</v>
      </c>
    </row>
    <row r="177" spans="1:9" ht="15" customHeight="1" x14ac:dyDescent="0.25">
      <c r="A177" s="10">
        <v>176</v>
      </c>
      <c r="B177" s="10">
        <v>204</v>
      </c>
      <c r="C177" s="10" t="s">
        <v>977</v>
      </c>
      <c r="D177" s="19">
        <v>8720.23</v>
      </c>
      <c r="E177" s="10" t="s">
        <v>112</v>
      </c>
      <c r="F177" s="10" t="s">
        <v>108</v>
      </c>
      <c r="G177" s="19">
        <f>IFERROR(INDEX(Orders!$H$2:$H$401,MATCH(B177,Orders!$A$2:$A$401,0)),"")</f>
        <v>8720.2279999999992</v>
      </c>
      <c r="H177" s="10" t="str">
        <f t="shared" si="2"/>
        <v>2023-09</v>
      </c>
      <c r="I177" s="10" t="str">
        <f>IFERROR(INDEX(Orders!$F$2:$F$401,MATCH(B177,Orders!$A$2:$A$401,0)),"")</f>
        <v>Delivered</v>
      </c>
    </row>
    <row r="178" spans="1:9" ht="15" customHeight="1" x14ac:dyDescent="0.25">
      <c r="A178" s="10">
        <v>177</v>
      </c>
      <c r="B178" s="10">
        <v>205</v>
      </c>
      <c r="C178" s="10" t="s">
        <v>1045</v>
      </c>
      <c r="D178" s="19">
        <v>4980.99</v>
      </c>
      <c r="E178" s="10" t="s">
        <v>109</v>
      </c>
      <c r="F178" s="10" t="s">
        <v>108</v>
      </c>
      <c r="G178" s="19">
        <f>IFERROR(INDEX(Orders!$H$2:$H$401,MATCH(B178,Orders!$A$2:$A$401,0)),"")</f>
        <v>4980.9889999999996</v>
      </c>
      <c r="H178" s="10" t="str">
        <f t="shared" si="2"/>
        <v>2024-01</v>
      </c>
      <c r="I178" s="10" t="str">
        <f>IFERROR(INDEX(Orders!$F$2:$F$401,MATCH(B178,Orders!$A$2:$A$401,0)),"")</f>
        <v>Delivered</v>
      </c>
    </row>
    <row r="179" spans="1:9" ht="15" customHeight="1" x14ac:dyDescent="0.25">
      <c r="A179" s="10">
        <v>178</v>
      </c>
      <c r="B179" s="10">
        <v>206</v>
      </c>
      <c r="C179" s="10" t="s">
        <v>1311</v>
      </c>
      <c r="D179" s="19">
        <v>8687.52</v>
      </c>
      <c r="E179" s="10" t="s">
        <v>112</v>
      </c>
      <c r="F179" s="10" t="s">
        <v>108</v>
      </c>
      <c r="G179" s="19">
        <f>IFERROR(INDEX(Orders!$H$2:$H$401,MATCH(B179,Orders!$A$2:$A$401,0)),"")</f>
        <v>8687.52</v>
      </c>
      <c r="H179" s="10" t="str">
        <f t="shared" si="2"/>
        <v>2024-10</v>
      </c>
      <c r="I179" s="10" t="str">
        <f>IFERROR(INDEX(Orders!$F$2:$F$401,MATCH(B179,Orders!$A$2:$A$401,0)),"")</f>
        <v>Returned</v>
      </c>
    </row>
    <row r="180" spans="1:9" ht="15" customHeight="1" x14ac:dyDescent="0.25">
      <c r="A180" s="10">
        <v>179</v>
      </c>
      <c r="B180" s="10">
        <v>207</v>
      </c>
      <c r="C180" s="10" t="s">
        <v>1074</v>
      </c>
      <c r="D180" s="19">
        <v>3705.76</v>
      </c>
      <c r="E180" s="10" t="s">
        <v>109</v>
      </c>
      <c r="F180" s="10" t="s">
        <v>110</v>
      </c>
      <c r="G180" s="19">
        <f>IFERROR(INDEX(Orders!$H$2:$H$401,MATCH(B180,Orders!$A$2:$A$401,0)),"")</f>
        <v>3705.7644999999998</v>
      </c>
      <c r="H180" s="10" t="str">
        <f t="shared" si="2"/>
        <v>2025-09</v>
      </c>
      <c r="I180" s="10" t="str">
        <f>IFERROR(INDEX(Orders!$F$2:$F$401,MATCH(B180,Orders!$A$2:$A$401,0)),"")</f>
        <v>Returned</v>
      </c>
    </row>
    <row r="181" spans="1:9" ht="15" customHeight="1" x14ac:dyDescent="0.25">
      <c r="A181" s="10">
        <v>180</v>
      </c>
      <c r="B181" s="10">
        <v>208</v>
      </c>
      <c r="C181" s="10" t="s">
        <v>875</v>
      </c>
      <c r="D181" s="19">
        <v>8078.64</v>
      </c>
      <c r="E181" s="10" t="s">
        <v>111</v>
      </c>
      <c r="F181" s="10" t="s">
        <v>108</v>
      </c>
      <c r="G181" s="19">
        <f>IFERROR(INDEX(Orders!$H$2:$H$401,MATCH(B181,Orders!$A$2:$A$401,0)),"")</f>
        <v>8078.6399999999994</v>
      </c>
      <c r="H181" s="10" t="str">
        <f t="shared" si="2"/>
        <v>2023-02</v>
      </c>
      <c r="I181" s="10" t="str">
        <f>IFERROR(INDEX(Orders!$F$2:$F$401,MATCH(B181,Orders!$A$2:$A$401,0)),"")</f>
        <v>Delivered</v>
      </c>
    </row>
    <row r="182" spans="1:9" ht="15" customHeight="1" x14ac:dyDescent="0.25">
      <c r="A182" s="10">
        <v>181</v>
      </c>
      <c r="B182" s="10">
        <v>209</v>
      </c>
      <c r="C182" s="10" t="s">
        <v>1312</v>
      </c>
      <c r="D182" s="19">
        <v>2356.7199999999998</v>
      </c>
      <c r="E182" s="10" t="s">
        <v>111</v>
      </c>
      <c r="F182" s="10" t="s">
        <v>110</v>
      </c>
      <c r="G182" s="19">
        <f>IFERROR(INDEX(Orders!$H$2:$H$401,MATCH(B182,Orders!$A$2:$A$401,0)),"")</f>
        <v>2356.7220000000002</v>
      </c>
      <c r="H182" s="10" t="str">
        <f t="shared" si="2"/>
        <v>2023-10</v>
      </c>
      <c r="I182" s="10" t="str">
        <f>IFERROR(INDEX(Orders!$F$2:$F$401,MATCH(B182,Orders!$A$2:$A$401,0)),"")</f>
        <v>Returned</v>
      </c>
    </row>
    <row r="183" spans="1:9" ht="15" customHeight="1" x14ac:dyDescent="0.25">
      <c r="A183" s="10">
        <v>182</v>
      </c>
      <c r="B183" s="10">
        <v>210</v>
      </c>
      <c r="C183" s="10" t="s">
        <v>1035</v>
      </c>
      <c r="D183" s="19">
        <v>8225.99</v>
      </c>
      <c r="E183" s="10" t="s">
        <v>111</v>
      </c>
      <c r="F183" s="10" t="s">
        <v>108</v>
      </c>
      <c r="G183" s="19">
        <f>IFERROR(INDEX(Orders!$H$2:$H$401,MATCH(B183,Orders!$A$2:$A$401,0)),"")</f>
        <v>8225.9880000000012</v>
      </c>
      <c r="H183" s="10" t="str">
        <f t="shared" si="2"/>
        <v>2025-07</v>
      </c>
      <c r="I183" s="10" t="str">
        <f>IFERROR(INDEX(Orders!$F$2:$F$401,MATCH(B183,Orders!$A$2:$A$401,0)),"")</f>
        <v>Delivered</v>
      </c>
    </row>
    <row r="184" spans="1:9" ht="15" customHeight="1" x14ac:dyDescent="0.25">
      <c r="A184" s="10">
        <v>183</v>
      </c>
      <c r="B184" s="10">
        <v>211</v>
      </c>
      <c r="C184" s="10" t="s">
        <v>1313</v>
      </c>
      <c r="D184" s="19">
        <v>1548</v>
      </c>
      <c r="E184" s="10" t="s">
        <v>111</v>
      </c>
      <c r="F184" s="10" t="s">
        <v>108</v>
      </c>
      <c r="G184" s="19">
        <f>IFERROR(INDEX(Orders!$H$2:$H$401,MATCH(B184,Orders!$A$2:$A$401,0)),"")</f>
        <v>1548</v>
      </c>
      <c r="H184" s="10" t="str">
        <f t="shared" si="2"/>
        <v>2025-03</v>
      </c>
      <c r="I184" s="10" t="str">
        <f>IFERROR(INDEX(Orders!$F$2:$F$401,MATCH(B184,Orders!$A$2:$A$401,0)),"")</f>
        <v>Returned</v>
      </c>
    </row>
    <row r="185" spans="1:9" ht="15" customHeight="1" x14ac:dyDescent="0.25">
      <c r="A185" s="10">
        <v>184</v>
      </c>
      <c r="B185" s="10">
        <v>212</v>
      </c>
      <c r="C185" s="10" t="s">
        <v>756</v>
      </c>
      <c r="D185" s="19">
        <v>2515.59</v>
      </c>
      <c r="E185" s="10" t="s">
        <v>111</v>
      </c>
      <c r="F185" s="10" t="s">
        <v>108</v>
      </c>
      <c r="G185" s="19">
        <f>IFERROR(INDEX(Orders!$H$2:$H$401,MATCH(B185,Orders!$A$2:$A$401,0)),"")</f>
        <v>2515.5855000000001</v>
      </c>
      <c r="H185" s="10" t="str">
        <f t="shared" si="2"/>
        <v>2025-01</v>
      </c>
      <c r="I185" s="10" t="str">
        <f>IFERROR(INDEX(Orders!$F$2:$F$401,MATCH(B185,Orders!$A$2:$A$401,0)),"")</f>
        <v>Delivered</v>
      </c>
    </row>
    <row r="186" spans="1:9" ht="15" customHeight="1" x14ac:dyDescent="0.25">
      <c r="A186" s="10">
        <v>185</v>
      </c>
      <c r="B186" s="10">
        <v>213</v>
      </c>
      <c r="C186" s="10" t="s">
        <v>1288</v>
      </c>
      <c r="D186" s="19">
        <v>3717.59</v>
      </c>
      <c r="E186" s="10" t="s">
        <v>113</v>
      </c>
      <c r="F186" s="10" t="s">
        <v>108</v>
      </c>
      <c r="G186" s="19">
        <f>IFERROR(INDEX(Orders!$H$2:$H$401,MATCH(B186,Orders!$A$2:$A$401,0)),"")</f>
        <v>3717.5829999999996</v>
      </c>
      <c r="H186" s="10" t="str">
        <f t="shared" si="2"/>
        <v>2024-03</v>
      </c>
      <c r="I186" s="10" t="str">
        <f>IFERROR(INDEX(Orders!$F$2:$F$401,MATCH(B186,Orders!$A$2:$A$401,0)),"")</f>
        <v>Delivered</v>
      </c>
    </row>
    <row r="187" spans="1:9" ht="15" customHeight="1" x14ac:dyDescent="0.25">
      <c r="A187" s="10">
        <v>186</v>
      </c>
      <c r="B187" s="10">
        <v>215</v>
      </c>
      <c r="C187" s="10" t="s">
        <v>1314</v>
      </c>
      <c r="D187" s="19">
        <v>1483.34</v>
      </c>
      <c r="E187" s="10" t="s">
        <v>112</v>
      </c>
      <c r="F187" s="10" t="s">
        <v>108</v>
      </c>
      <c r="G187" s="19">
        <f>IFERROR(INDEX(Orders!$H$2:$H$401,MATCH(B187,Orders!$A$2:$A$401,0)),"")</f>
        <v>1483.3354999999999</v>
      </c>
      <c r="H187" s="10" t="str">
        <f t="shared" si="2"/>
        <v>2023-11</v>
      </c>
      <c r="I187" s="10" t="str">
        <f>IFERROR(INDEX(Orders!$F$2:$F$401,MATCH(B187,Orders!$A$2:$A$401,0)),"")</f>
        <v>Delivered</v>
      </c>
    </row>
    <row r="188" spans="1:9" ht="15" customHeight="1" x14ac:dyDescent="0.25">
      <c r="A188" s="10">
        <v>187</v>
      </c>
      <c r="B188" s="10">
        <v>216</v>
      </c>
      <c r="C188" s="10" t="s">
        <v>850</v>
      </c>
      <c r="D188" s="19">
        <v>1979.04</v>
      </c>
      <c r="E188" s="10" t="s">
        <v>112</v>
      </c>
      <c r="F188" s="10" t="s">
        <v>108</v>
      </c>
      <c r="G188" s="19">
        <f>IFERROR(INDEX(Orders!$H$2:$H$401,MATCH(B188,Orders!$A$2:$A$401,0)),"")</f>
        <v>1979.0400000000002</v>
      </c>
      <c r="H188" s="10" t="str">
        <f t="shared" si="2"/>
        <v>2025-07</v>
      </c>
      <c r="I188" s="10" t="str">
        <f>IFERROR(INDEX(Orders!$F$2:$F$401,MATCH(B188,Orders!$A$2:$A$401,0)),"")</f>
        <v>Returned</v>
      </c>
    </row>
    <row r="189" spans="1:9" ht="15" customHeight="1" x14ac:dyDescent="0.25">
      <c r="A189" s="10">
        <v>188</v>
      </c>
      <c r="B189" s="10">
        <v>217</v>
      </c>
      <c r="C189" s="10" t="s">
        <v>1315</v>
      </c>
      <c r="D189" s="19">
        <v>2011.15</v>
      </c>
      <c r="E189" s="10" t="s">
        <v>111</v>
      </c>
      <c r="F189" s="10" t="s">
        <v>108</v>
      </c>
      <c r="G189" s="19">
        <f>IFERROR(INDEX(Orders!$H$2:$H$401,MATCH(B189,Orders!$A$2:$A$401,0)),"")</f>
        <v>2011.1490000000001</v>
      </c>
      <c r="H189" s="10" t="str">
        <f t="shared" si="2"/>
        <v>2023-05</v>
      </c>
      <c r="I189" s="10" t="str">
        <f>IFERROR(INDEX(Orders!$F$2:$F$401,MATCH(B189,Orders!$A$2:$A$401,0)),"")</f>
        <v>Delivered</v>
      </c>
    </row>
    <row r="190" spans="1:9" ht="15" customHeight="1" x14ac:dyDescent="0.25">
      <c r="A190" s="10">
        <v>189</v>
      </c>
      <c r="B190" s="10">
        <v>218</v>
      </c>
      <c r="C190" s="10" t="s">
        <v>1121</v>
      </c>
      <c r="D190" s="19">
        <v>1356.34</v>
      </c>
      <c r="E190" s="10" t="s">
        <v>111</v>
      </c>
      <c r="F190" s="10" t="s">
        <v>110</v>
      </c>
      <c r="G190" s="19">
        <f>IFERROR(INDEX(Orders!$H$2:$H$401,MATCH(B190,Orders!$A$2:$A$401,0)),"")</f>
        <v>1356.3360000000002</v>
      </c>
      <c r="H190" s="10" t="str">
        <f t="shared" si="2"/>
        <v>2024-01</v>
      </c>
      <c r="I190" s="10" t="str">
        <f>IFERROR(INDEX(Orders!$F$2:$F$401,MATCH(B190,Orders!$A$2:$A$401,0)),"")</f>
        <v>Returned</v>
      </c>
    </row>
    <row r="191" spans="1:9" ht="15" customHeight="1" x14ac:dyDescent="0.25">
      <c r="A191" s="10">
        <v>190</v>
      </c>
      <c r="B191" s="10">
        <v>220</v>
      </c>
      <c r="C191" s="10" t="s">
        <v>931</v>
      </c>
      <c r="D191" s="19">
        <v>7893.11</v>
      </c>
      <c r="E191" s="10" t="s">
        <v>109</v>
      </c>
      <c r="F191" s="10" t="s">
        <v>108</v>
      </c>
      <c r="G191" s="19">
        <f>IFERROR(INDEX(Orders!$H$2:$H$401,MATCH(B191,Orders!$A$2:$A$401,0)),"")</f>
        <v>7893.1080000000002</v>
      </c>
      <c r="H191" s="10" t="str">
        <f t="shared" si="2"/>
        <v>2025-02</v>
      </c>
      <c r="I191" s="10" t="str">
        <f>IFERROR(INDEX(Orders!$F$2:$F$401,MATCH(B191,Orders!$A$2:$A$401,0)),"")</f>
        <v>Pending</v>
      </c>
    </row>
    <row r="192" spans="1:9" ht="15" customHeight="1" x14ac:dyDescent="0.25">
      <c r="A192" s="10">
        <v>191</v>
      </c>
      <c r="B192" s="10">
        <v>221</v>
      </c>
      <c r="C192" s="10" t="s">
        <v>934</v>
      </c>
      <c r="D192" s="19">
        <v>7922.51</v>
      </c>
      <c r="E192" s="10" t="s">
        <v>112</v>
      </c>
      <c r="F192" s="10" t="s">
        <v>108</v>
      </c>
      <c r="G192" s="19">
        <f>IFERROR(INDEX(Orders!$H$2:$H$401,MATCH(B192,Orders!$A$2:$A$401,0)),"")</f>
        <v>7922.5084999999999</v>
      </c>
      <c r="H192" s="10" t="str">
        <f t="shared" si="2"/>
        <v>2025-02</v>
      </c>
      <c r="I192" s="10" t="str">
        <f>IFERROR(INDEX(Orders!$F$2:$F$401,MATCH(B192,Orders!$A$2:$A$401,0)),"")</f>
        <v>Delivered</v>
      </c>
    </row>
    <row r="193" spans="1:9" ht="15" customHeight="1" x14ac:dyDescent="0.25">
      <c r="A193" s="10">
        <v>192</v>
      </c>
      <c r="B193" s="10">
        <v>222</v>
      </c>
      <c r="C193" s="10" t="s">
        <v>1100</v>
      </c>
      <c r="D193" s="19">
        <v>6328.66</v>
      </c>
      <c r="E193" s="10" t="s">
        <v>113</v>
      </c>
      <c r="F193" s="10" t="s">
        <v>108</v>
      </c>
      <c r="G193" s="19">
        <f>IFERROR(INDEX(Orders!$H$2:$H$401,MATCH(B193,Orders!$A$2:$A$401,0)),"")</f>
        <v>6328.6524999999992</v>
      </c>
      <c r="H193" s="10" t="str">
        <f t="shared" si="2"/>
        <v>2025-03</v>
      </c>
      <c r="I193" s="10" t="str">
        <f>IFERROR(INDEX(Orders!$F$2:$F$401,MATCH(B193,Orders!$A$2:$A$401,0)),"")</f>
        <v>Delivered</v>
      </c>
    </row>
    <row r="194" spans="1:9" ht="15" customHeight="1" x14ac:dyDescent="0.25">
      <c r="A194" s="10">
        <v>193</v>
      </c>
      <c r="B194" s="10">
        <v>223</v>
      </c>
      <c r="C194" s="10" t="s">
        <v>1050</v>
      </c>
      <c r="D194" s="19">
        <v>2469.27</v>
      </c>
      <c r="E194" s="10" t="s">
        <v>111</v>
      </c>
      <c r="F194" s="10" t="s">
        <v>108</v>
      </c>
      <c r="G194" s="19">
        <f>IFERROR(INDEX(Orders!$H$2:$H$401,MATCH(B194,Orders!$A$2:$A$401,0)),"")</f>
        <v>2469.2689999999998</v>
      </c>
      <c r="H194" s="10" t="str">
        <f t="shared" ref="H194:H257" si="3">IF(C194="","",TEXT(C194,"YYYY-MM"))</f>
        <v>2023-07</v>
      </c>
      <c r="I194" s="10" t="str">
        <f>IFERROR(INDEX(Orders!$F$2:$F$401,MATCH(B194,Orders!$A$2:$A$401,0)),"")</f>
        <v>Delivered</v>
      </c>
    </row>
    <row r="195" spans="1:9" ht="15" customHeight="1" x14ac:dyDescent="0.25">
      <c r="A195" s="10">
        <v>194</v>
      </c>
      <c r="B195" s="10">
        <v>224</v>
      </c>
      <c r="C195" s="10" t="s">
        <v>1052</v>
      </c>
      <c r="D195" s="19">
        <v>7082.09</v>
      </c>
      <c r="E195" s="10" t="s">
        <v>109</v>
      </c>
      <c r="F195" s="10" t="s">
        <v>108</v>
      </c>
      <c r="G195" s="19">
        <f>IFERROR(INDEX(Orders!$H$2:$H$401,MATCH(B195,Orders!$A$2:$A$401,0)),"")</f>
        <v>7082.08</v>
      </c>
      <c r="H195" s="10" t="str">
        <f t="shared" si="3"/>
        <v>2023-07</v>
      </c>
      <c r="I195" s="10" t="str">
        <f>IFERROR(INDEX(Orders!$F$2:$F$401,MATCH(B195,Orders!$A$2:$A$401,0)),"")</f>
        <v>Delivered</v>
      </c>
    </row>
    <row r="196" spans="1:9" ht="15" customHeight="1" x14ac:dyDescent="0.25">
      <c r="A196" s="10">
        <v>195</v>
      </c>
      <c r="B196" s="10">
        <v>225</v>
      </c>
      <c r="C196" s="10" t="s">
        <v>913</v>
      </c>
      <c r="D196" s="19">
        <v>4625.5200000000004</v>
      </c>
      <c r="E196" s="10" t="s">
        <v>112</v>
      </c>
      <c r="F196" s="10" t="s">
        <v>110</v>
      </c>
      <c r="G196" s="19">
        <f>IFERROR(INDEX(Orders!$H$2:$H$401,MATCH(B196,Orders!$A$2:$A$401,0)),"")</f>
        <v>4625.5244999999995</v>
      </c>
      <c r="H196" s="10" t="str">
        <f t="shared" si="3"/>
        <v>2025-10</v>
      </c>
      <c r="I196" s="10" t="str">
        <f>IFERROR(INDEX(Orders!$F$2:$F$401,MATCH(B196,Orders!$A$2:$A$401,0)),"")</f>
        <v>Returned</v>
      </c>
    </row>
    <row r="197" spans="1:9" ht="15" customHeight="1" x14ac:dyDescent="0.25">
      <c r="A197" s="10">
        <v>196</v>
      </c>
      <c r="B197" s="10">
        <v>228</v>
      </c>
      <c r="C197" s="10" t="s">
        <v>1316</v>
      </c>
      <c r="D197" s="19">
        <v>8497.2099999999991</v>
      </c>
      <c r="E197" s="10" t="s">
        <v>109</v>
      </c>
      <c r="F197" s="10" t="s">
        <v>108</v>
      </c>
      <c r="G197" s="19">
        <f>IFERROR(INDEX(Orders!$H$2:$H$401,MATCH(B197,Orders!$A$2:$A$401,0)),"")</f>
        <v>8497.2070000000003</v>
      </c>
      <c r="H197" s="10" t="str">
        <f t="shared" si="3"/>
        <v>2023-06</v>
      </c>
      <c r="I197" s="10" t="str">
        <f>IFERROR(INDEX(Orders!$F$2:$F$401,MATCH(B197,Orders!$A$2:$A$401,0)),"")</f>
        <v>Shipped</v>
      </c>
    </row>
    <row r="198" spans="1:9" ht="15" customHeight="1" x14ac:dyDescent="0.25">
      <c r="A198" s="10">
        <v>197</v>
      </c>
      <c r="B198" s="10">
        <v>229</v>
      </c>
      <c r="C198" s="10" t="s">
        <v>942</v>
      </c>
      <c r="D198" s="19">
        <v>6595.88</v>
      </c>
      <c r="E198" s="10" t="s">
        <v>112</v>
      </c>
      <c r="F198" s="10" t="s">
        <v>108</v>
      </c>
      <c r="G198" s="19">
        <f>IFERROR(INDEX(Orders!$H$2:$H$401,MATCH(B198,Orders!$A$2:$A$401,0)),"")</f>
        <v>6595.884</v>
      </c>
      <c r="H198" s="10" t="str">
        <f t="shared" si="3"/>
        <v>2024-06</v>
      </c>
      <c r="I198" s="10" t="str">
        <f>IFERROR(INDEX(Orders!$F$2:$F$401,MATCH(B198,Orders!$A$2:$A$401,0)),"")</f>
        <v>Delivered</v>
      </c>
    </row>
    <row r="199" spans="1:9" ht="15" customHeight="1" x14ac:dyDescent="0.25">
      <c r="A199" s="10">
        <v>198</v>
      </c>
      <c r="B199" s="10">
        <v>231</v>
      </c>
      <c r="C199" s="10" t="s">
        <v>1317</v>
      </c>
      <c r="D199" s="19">
        <v>6107.86</v>
      </c>
      <c r="E199" s="10" t="s">
        <v>109</v>
      </c>
      <c r="F199" s="10" t="s">
        <v>108</v>
      </c>
      <c r="G199" s="19">
        <f>IFERROR(INDEX(Orders!$H$2:$H$401,MATCH(B199,Orders!$A$2:$A$401,0)),"")</f>
        <v>6107.86</v>
      </c>
      <c r="H199" s="10" t="str">
        <f t="shared" si="3"/>
        <v>2024-03</v>
      </c>
      <c r="I199" s="10" t="str">
        <f>IFERROR(INDEX(Orders!$F$2:$F$401,MATCH(B199,Orders!$A$2:$A$401,0)),"")</f>
        <v>Shipped</v>
      </c>
    </row>
    <row r="200" spans="1:9" ht="15" customHeight="1" x14ac:dyDescent="0.25">
      <c r="A200" s="10">
        <v>199</v>
      </c>
      <c r="B200" s="10">
        <v>232</v>
      </c>
      <c r="C200" s="10" t="s">
        <v>996</v>
      </c>
      <c r="D200" s="19">
        <v>6213.72</v>
      </c>
      <c r="E200" s="10" t="s">
        <v>111</v>
      </c>
      <c r="F200" s="10" t="s">
        <v>108</v>
      </c>
      <c r="G200" s="19">
        <f>IFERROR(INDEX(Orders!$H$2:$H$401,MATCH(B200,Orders!$A$2:$A$401,0)),"")</f>
        <v>6213.7214999999997</v>
      </c>
      <c r="H200" s="10" t="str">
        <f t="shared" si="3"/>
        <v>2025-10</v>
      </c>
      <c r="I200" s="10" t="str">
        <f>IFERROR(INDEX(Orders!$F$2:$F$401,MATCH(B200,Orders!$A$2:$A$401,0)),"")</f>
        <v>Delivered</v>
      </c>
    </row>
    <row r="201" spans="1:9" ht="15" customHeight="1" x14ac:dyDescent="0.25">
      <c r="A201" s="10">
        <v>200</v>
      </c>
      <c r="B201" s="10">
        <v>234</v>
      </c>
      <c r="C201" s="10" t="s">
        <v>1079</v>
      </c>
      <c r="D201" s="19">
        <v>5984.95</v>
      </c>
      <c r="E201" s="10" t="s">
        <v>112</v>
      </c>
      <c r="F201" s="10" t="s">
        <v>108</v>
      </c>
      <c r="G201" s="19">
        <f>IFERROR(INDEX(Orders!$H$2:$H$401,MATCH(B201,Orders!$A$2:$A$401,0)),"")</f>
        <v>5984.9519999999993</v>
      </c>
      <c r="H201" s="10" t="str">
        <f t="shared" si="3"/>
        <v>2025-02</v>
      </c>
      <c r="I201" s="10" t="str">
        <f>IFERROR(INDEX(Orders!$F$2:$F$401,MATCH(B201,Orders!$A$2:$A$401,0)),"")</f>
        <v>Delivered</v>
      </c>
    </row>
    <row r="202" spans="1:9" ht="15" customHeight="1" x14ac:dyDescent="0.25">
      <c r="A202" s="10">
        <v>201</v>
      </c>
      <c r="B202" s="10">
        <v>235</v>
      </c>
      <c r="C202" s="10" t="s">
        <v>1318</v>
      </c>
      <c r="D202" s="19">
        <v>959.19</v>
      </c>
      <c r="E202" s="10" t="s">
        <v>113</v>
      </c>
      <c r="F202" s="10" t="s">
        <v>110</v>
      </c>
      <c r="G202" s="19">
        <f>IFERROR(INDEX(Orders!$H$2:$H$401,MATCH(B202,Orders!$A$2:$A$401,0)),"")</f>
        <v>959.1880000000001</v>
      </c>
      <c r="H202" s="10" t="str">
        <f t="shared" si="3"/>
        <v>2024-07</v>
      </c>
      <c r="I202" s="10" t="str">
        <f>IFERROR(INDEX(Orders!$F$2:$F$401,MATCH(B202,Orders!$A$2:$A$401,0)),"")</f>
        <v>Returned</v>
      </c>
    </row>
    <row r="203" spans="1:9" ht="15" customHeight="1" x14ac:dyDescent="0.25">
      <c r="A203" s="10">
        <v>202</v>
      </c>
      <c r="B203" s="10">
        <v>236</v>
      </c>
      <c r="C203" s="10" t="s">
        <v>1177</v>
      </c>
      <c r="D203" s="19">
        <v>2302.3000000000002</v>
      </c>
      <c r="E203" s="10" t="s">
        <v>112</v>
      </c>
      <c r="F203" s="10" t="s">
        <v>108</v>
      </c>
      <c r="G203" s="19">
        <f>IFERROR(INDEX(Orders!$H$2:$H$401,MATCH(B203,Orders!$A$2:$A$401,0)),"")</f>
        <v>2302.2964999999999</v>
      </c>
      <c r="H203" s="10" t="str">
        <f t="shared" si="3"/>
        <v>2024-02</v>
      </c>
      <c r="I203" s="10" t="str">
        <f>IFERROR(INDEX(Orders!$F$2:$F$401,MATCH(B203,Orders!$A$2:$A$401,0)),"")</f>
        <v>Delivered</v>
      </c>
    </row>
    <row r="204" spans="1:9" ht="15" customHeight="1" x14ac:dyDescent="0.25">
      <c r="A204" s="10">
        <v>203</v>
      </c>
      <c r="B204" s="10">
        <v>237</v>
      </c>
      <c r="C204" s="10" t="s">
        <v>1319</v>
      </c>
      <c r="D204" s="19">
        <v>741.93</v>
      </c>
      <c r="E204" s="10" t="s">
        <v>109</v>
      </c>
      <c r="F204" s="10" t="s">
        <v>108</v>
      </c>
      <c r="G204" s="19">
        <f>IFERROR(INDEX(Orders!$H$2:$H$401,MATCH(B204,Orders!$A$2:$A$401,0)),"")</f>
        <v>741.93100000000004</v>
      </c>
      <c r="H204" s="10" t="str">
        <f t="shared" si="3"/>
        <v>2024-09</v>
      </c>
      <c r="I204" s="10" t="str">
        <f>IFERROR(INDEX(Orders!$F$2:$F$401,MATCH(B204,Orders!$A$2:$A$401,0)),"")</f>
        <v>Shipped</v>
      </c>
    </row>
    <row r="205" spans="1:9" ht="15" customHeight="1" x14ac:dyDescent="0.25">
      <c r="A205" s="10">
        <v>204</v>
      </c>
      <c r="B205" s="10">
        <v>238</v>
      </c>
      <c r="C205" s="10" t="s">
        <v>1320</v>
      </c>
      <c r="D205" s="19">
        <v>6339.8</v>
      </c>
      <c r="E205" s="10" t="s">
        <v>111</v>
      </c>
      <c r="F205" s="10" t="s">
        <v>108</v>
      </c>
      <c r="G205" s="19">
        <f>IFERROR(INDEX(Orders!$H$2:$H$401,MATCH(B205,Orders!$A$2:$A$401,0)),"")</f>
        <v>6339.8000000000011</v>
      </c>
      <c r="H205" s="10" t="str">
        <f t="shared" si="3"/>
        <v>2025-09</v>
      </c>
      <c r="I205" s="10" t="str">
        <f>IFERROR(INDEX(Orders!$F$2:$F$401,MATCH(B205,Orders!$A$2:$A$401,0)),"")</f>
        <v>Delivered</v>
      </c>
    </row>
    <row r="206" spans="1:9" ht="15" customHeight="1" x14ac:dyDescent="0.25">
      <c r="A206" s="10">
        <v>205</v>
      </c>
      <c r="B206" s="10">
        <v>239</v>
      </c>
      <c r="C206" s="10" t="s">
        <v>1070</v>
      </c>
      <c r="D206" s="19">
        <v>5931.25</v>
      </c>
      <c r="E206" s="10" t="s">
        <v>109</v>
      </c>
      <c r="F206" s="10" t="s">
        <v>16</v>
      </c>
      <c r="G206" s="19">
        <f>IFERROR(INDEX(Orders!$H$2:$H$401,MATCH(B206,Orders!$A$2:$A$401,0)),"")</f>
        <v>5931.2535000000007</v>
      </c>
      <c r="H206" s="10" t="str">
        <f t="shared" si="3"/>
        <v>2024-08</v>
      </c>
      <c r="I206" s="10" t="str">
        <f>IFERROR(INDEX(Orders!$F$2:$F$401,MATCH(B206,Orders!$A$2:$A$401,0)),"")</f>
        <v>Pending</v>
      </c>
    </row>
    <row r="207" spans="1:9" ht="15" customHeight="1" x14ac:dyDescent="0.25">
      <c r="A207" s="10">
        <v>206</v>
      </c>
      <c r="B207" s="10">
        <v>240</v>
      </c>
      <c r="C207" s="10" t="s">
        <v>1321</v>
      </c>
      <c r="D207" s="19">
        <v>3556.67</v>
      </c>
      <c r="E207" s="10" t="s">
        <v>111</v>
      </c>
      <c r="F207" s="10" t="s">
        <v>16</v>
      </c>
      <c r="G207" s="19">
        <f>IFERROR(INDEX(Orders!$H$2:$H$401,MATCH(B207,Orders!$A$2:$A$401,0)),"")</f>
        <v>3556.6690000000003</v>
      </c>
      <c r="H207" s="10" t="str">
        <f t="shared" si="3"/>
        <v>2024-04</v>
      </c>
      <c r="I207" s="10" t="str">
        <f>IFERROR(INDEX(Orders!$F$2:$F$401,MATCH(B207,Orders!$A$2:$A$401,0)),"")</f>
        <v>Pending</v>
      </c>
    </row>
    <row r="208" spans="1:9" ht="15" customHeight="1" x14ac:dyDescent="0.25">
      <c r="A208" s="10">
        <v>207</v>
      </c>
      <c r="B208" s="10">
        <v>241</v>
      </c>
      <c r="C208" s="10" t="s">
        <v>1322</v>
      </c>
      <c r="D208" s="19">
        <v>1323.4</v>
      </c>
      <c r="E208" s="10" t="s">
        <v>109</v>
      </c>
      <c r="F208" s="10" t="s">
        <v>108</v>
      </c>
      <c r="G208" s="19">
        <f>IFERROR(INDEX(Orders!$H$2:$H$401,MATCH(B208,Orders!$A$2:$A$401,0)),"")</f>
        <v>1323.3969999999999</v>
      </c>
      <c r="H208" s="10" t="str">
        <f t="shared" si="3"/>
        <v>2023-09</v>
      </c>
      <c r="I208" s="10" t="str">
        <f>IFERROR(INDEX(Orders!$F$2:$F$401,MATCH(B208,Orders!$A$2:$A$401,0)),"")</f>
        <v>Delivered</v>
      </c>
    </row>
    <row r="209" spans="1:9" ht="15" customHeight="1" x14ac:dyDescent="0.25">
      <c r="A209" s="10">
        <v>208</v>
      </c>
      <c r="B209" s="10">
        <v>242</v>
      </c>
      <c r="C209" s="10" t="s">
        <v>876</v>
      </c>
      <c r="D209" s="19">
        <v>7972.11</v>
      </c>
      <c r="E209" s="10" t="s">
        <v>112</v>
      </c>
      <c r="F209" s="10" t="s">
        <v>108</v>
      </c>
      <c r="G209" s="19">
        <f>IFERROR(INDEX(Orders!$H$2:$H$401,MATCH(B209,Orders!$A$2:$A$401,0)),"")</f>
        <v>7972.1149999999998</v>
      </c>
      <c r="H209" s="10" t="str">
        <f t="shared" si="3"/>
        <v>2025-12</v>
      </c>
      <c r="I209" s="10" t="str">
        <f>IFERROR(INDEX(Orders!$F$2:$F$401,MATCH(B209,Orders!$A$2:$A$401,0)),"")</f>
        <v>Delivered</v>
      </c>
    </row>
    <row r="210" spans="1:9" ht="15" customHeight="1" x14ac:dyDescent="0.25">
      <c r="A210" s="10">
        <v>209</v>
      </c>
      <c r="B210" s="10">
        <v>243</v>
      </c>
      <c r="C210" s="10" t="s">
        <v>1166</v>
      </c>
      <c r="D210" s="19">
        <v>9216.32</v>
      </c>
      <c r="E210" s="10" t="s">
        <v>111</v>
      </c>
      <c r="F210" s="10" t="s">
        <v>108</v>
      </c>
      <c r="G210" s="19">
        <f>IFERROR(INDEX(Orders!$H$2:$H$401,MATCH(B210,Orders!$A$2:$A$401,0)),"")</f>
        <v>9216.3244999999988</v>
      </c>
      <c r="H210" s="10" t="str">
        <f t="shared" si="3"/>
        <v>2025-09</v>
      </c>
      <c r="I210" s="10" t="str">
        <f>IFERROR(INDEX(Orders!$F$2:$F$401,MATCH(B210,Orders!$A$2:$A$401,0)),"")</f>
        <v>Returned</v>
      </c>
    </row>
    <row r="211" spans="1:9" ht="15" customHeight="1" x14ac:dyDescent="0.25">
      <c r="A211" s="10">
        <v>210</v>
      </c>
      <c r="B211" s="10">
        <v>244</v>
      </c>
      <c r="C211" s="10" t="s">
        <v>1137</v>
      </c>
      <c r="D211" s="19">
        <v>1773.06</v>
      </c>
      <c r="E211" s="10" t="s">
        <v>109</v>
      </c>
      <c r="F211" s="10" t="s">
        <v>108</v>
      </c>
      <c r="G211" s="19">
        <f>IFERROR(INDEX(Orders!$H$2:$H$401,MATCH(B211,Orders!$A$2:$A$401,0)),"")</f>
        <v>1773.0624999999998</v>
      </c>
      <c r="H211" s="10" t="str">
        <f t="shared" si="3"/>
        <v>2025-06</v>
      </c>
      <c r="I211" s="10" t="str">
        <f>IFERROR(INDEX(Orders!$F$2:$F$401,MATCH(B211,Orders!$A$2:$A$401,0)),"")</f>
        <v>Shipped</v>
      </c>
    </row>
    <row r="212" spans="1:9" ht="15" customHeight="1" x14ac:dyDescent="0.25">
      <c r="A212" s="10">
        <v>211</v>
      </c>
      <c r="B212" s="10">
        <v>245</v>
      </c>
      <c r="C212" s="10" t="s">
        <v>1320</v>
      </c>
      <c r="D212" s="19">
        <v>5872.75</v>
      </c>
      <c r="E212" s="10" t="s">
        <v>111</v>
      </c>
      <c r="F212" s="10" t="s">
        <v>108</v>
      </c>
      <c r="G212" s="19">
        <f>IFERROR(INDEX(Orders!$H$2:$H$401,MATCH(B212,Orders!$A$2:$A$401,0)),"")</f>
        <v>5872.7534999999989</v>
      </c>
      <c r="H212" s="10" t="str">
        <f t="shared" si="3"/>
        <v>2025-09</v>
      </c>
      <c r="I212" s="10" t="str">
        <f>IFERROR(INDEX(Orders!$F$2:$F$401,MATCH(B212,Orders!$A$2:$A$401,0)),"")</f>
        <v>Shipped</v>
      </c>
    </row>
    <row r="213" spans="1:9" ht="15" customHeight="1" x14ac:dyDescent="0.25">
      <c r="A213" s="10">
        <v>212</v>
      </c>
      <c r="B213" s="10">
        <v>246</v>
      </c>
      <c r="C213" s="10" t="s">
        <v>1122</v>
      </c>
      <c r="D213" s="19">
        <v>5886.34</v>
      </c>
      <c r="E213" s="10" t="s">
        <v>109</v>
      </c>
      <c r="F213" s="10" t="s">
        <v>108</v>
      </c>
      <c r="G213" s="19">
        <f>IFERROR(INDEX(Orders!$H$2:$H$401,MATCH(B213,Orders!$A$2:$A$401,0)),"")</f>
        <v>5886.3360000000002</v>
      </c>
      <c r="H213" s="10" t="str">
        <f t="shared" si="3"/>
        <v>2025-02</v>
      </c>
      <c r="I213" s="10" t="str">
        <f>IFERROR(INDEX(Orders!$F$2:$F$401,MATCH(B213,Orders!$A$2:$A$401,0)),"")</f>
        <v>Delivered</v>
      </c>
    </row>
    <row r="214" spans="1:9" ht="15" customHeight="1" x14ac:dyDescent="0.25">
      <c r="A214" s="10">
        <v>213</v>
      </c>
      <c r="B214" s="10">
        <v>247</v>
      </c>
      <c r="C214" s="10" t="s">
        <v>1080</v>
      </c>
      <c r="D214" s="19">
        <v>1198.5</v>
      </c>
      <c r="E214" s="10" t="s">
        <v>112</v>
      </c>
      <c r="F214" s="10" t="s">
        <v>108</v>
      </c>
      <c r="G214" s="19">
        <f>IFERROR(INDEX(Orders!$H$2:$H$401,MATCH(B214,Orders!$A$2:$A$401,0)),"")</f>
        <v>1198.5050000000001</v>
      </c>
      <c r="H214" s="10" t="str">
        <f t="shared" si="3"/>
        <v>2024-08</v>
      </c>
      <c r="I214" s="10" t="str">
        <f>IFERROR(INDEX(Orders!$F$2:$F$401,MATCH(B214,Orders!$A$2:$A$401,0)),"")</f>
        <v>Delivered</v>
      </c>
    </row>
    <row r="215" spans="1:9" ht="15" customHeight="1" x14ac:dyDescent="0.25">
      <c r="A215" s="10">
        <v>214</v>
      </c>
      <c r="B215" s="10">
        <v>248</v>
      </c>
      <c r="C215" s="10" t="s">
        <v>1278</v>
      </c>
      <c r="D215" s="19">
        <v>3003.03</v>
      </c>
      <c r="E215" s="10" t="s">
        <v>112</v>
      </c>
      <c r="F215" s="10" t="s">
        <v>108</v>
      </c>
      <c r="G215" s="19">
        <f>IFERROR(INDEX(Orders!$H$2:$H$401,MATCH(B215,Orders!$A$2:$A$401,0)),"")</f>
        <v>3003.0299999999997</v>
      </c>
      <c r="H215" s="10" t="str">
        <f t="shared" si="3"/>
        <v>2025-06</v>
      </c>
      <c r="I215" s="10" t="str">
        <f>IFERROR(INDEX(Orders!$F$2:$F$401,MATCH(B215,Orders!$A$2:$A$401,0)),"")</f>
        <v>Delivered</v>
      </c>
    </row>
    <row r="216" spans="1:9" ht="15" customHeight="1" x14ac:dyDescent="0.25">
      <c r="A216" s="10">
        <v>215</v>
      </c>
      <c r="B216" s="10">
        <v>249</v>
      </c>
      <c r="C216" s="10" t="s">
        <v>1018</v>
      </c>
      <c r="D216" s="19">
        <v>5570.16</v>
      </c>
      <c r="E216" s="10" t="s">
        <v>109</v>
      </c>
      <c r="F216" s="10" t="s">
        <v>108</v>
      </c>
      <c r="G216" s="19">
        <f>IFERROR(INDEX(Orders!$H$2:$H$401,MATCH(B216,Orders!$A$2:$A$401,0)),"")</f>
        <v>5570.1620000000003</v>
      </c>
      <c r="H216" s="10" t="str">
        <f t="shared" si="3"/>
        <v>2024-11</v>
      </c>
      <c r="I216" s="10" t="str">
        <f>IFERROR(INDEX(Orders!$F$2:$F$401,MATCH(B216,Orders!$A$2:$A$401,0)),"")</f>
        <v>Delivered</v>
      </c>
    </row>
    <row r="217" spans="1:9" ht="15" customHeight="1" x14ac:dyDescent="0.25">
      <c r="A217" s="10">
        <v>216</v>
      </c>
      <c r="B217" s="10">
        <v>250</v>
      </c>
      <c r="C217" s="10" t="s">
        <v>1277</v>
      </c>
      <c r="D217" s="19">
        <v>1621.73</v>
      </c>
      <c r="E217" s="10" t="s">
        <v>111</v>
      </c>
      <c r="F217" s="10" t="s">
        <v>108</v>
      </c>
      <c r="G217" s="19">
        <f>IFERROR(INDEX(Orders!$H$2:$H$401,MATCH(B217,Orders!$A$2:$A$401,0)),"")</f>
        <v>1621.7280000000001</v>
      </c>
      <c r="H217" s="10" t="str">
        <f t="shared" si="3"/>
        <v>2025-03</v>
      </c>
      <c r="I217" s="10" t="str">
        <f>IFERROR(INDEX(Orders!$F$2:$F$401,MATCH(B217,Orders!$A$2:$A$401,0)),"")</f>
        <v>Returned</v>
      </c>
    </row>
    <row r="218" spans="1:9" ht="15" customHeight="1" x14ac:dyDescent="0.25">
      <c r="A218" s="10">
        <v>217</v>
      </c>
      <c r="B218" s="10">
        <v>251</v>
      </c>
      <c r="C218" s="10" t="s">
        <v>1085</v>
      </c>
      <c r="D218" s="19">
        <v>2433.17</v>
      </c>
      <c r="E218" s="10" t="s">
        <v>111</v>
      </c>
      <c r="F218" s="10" t="s">
        <v>108</v>
      </c>
      <c r="G218" s="19">
        <f>IFERROR(INDEX(Orders!$H$2:$H$401,MATCH(B218,Orders!$A$2:$A$401,0)),"")</f>
        <v>2433.174</v>
      </c>
      <c r="H218" s="10" t="str">
        <f t="shared" si="3"/>
        <v>2025-12</v>
      </c>
      <c r="I218" s="10" t="str">
        <f>IFERROR(INDEX(Orders!$F$2:$F$401,MATCH(B218,Orders!$A$2:$A$401,0)),"")</f>
        <v>Delivered</v>
      </c>
    </row>
    <row r="219" spans="1:9" ht="15" customHeight="1" x14ac:dyDescent="0.25">
      <c r="A219" s="10">
        <v>218</v>
      </c>
      <c r="B219" s="10">
        <v>253</v>
      </c>
      <c r="C219" s="10" t="s">
        <v>1088</v>
      </c>
      <c r="D219" s="19">
        <v>3262.12</v>
      </c>
      <c r="E219" s="10" t="s">
        <v>112</v>
      </c>
      <c r="F219" s="10" t="s">
        <v>108</v>
      </c>
      <c r="G219" s="19">
        <f>IFERROR(INDEX(Orders!$H$2:$H$401,MATCH(B219,Orders!$A$2:$A$401,0)),"")</f>
        <v>3262.12</v>
      </c>
      <c r="H219" s="10" t="str">
        <f t="shared" si="3"/>
        <v>2023-11</v>
      </c>
      <c r="I219" s="10" t="str">
        <f>IFERROR(INDEX(Orders!$F$2:$F$401,MATCH(B219,Orders!$A$2:$A$401,0)),"")</f>
        <v>Pending</v>
      </c>
    </row>
    <row r="220" spans="1:9" ht="15" customHeight="1" x14ac:dyDescent="0.25">
      <c r="A220" s="10">
        <v>219</v>
      </c>
      <c r="B220" s="10">
        <v>254</v>
      </c>
      <c r="C220" s="10" t="s">
        <v>1149</v>
      </c>
      <c r="D220" s="19">
        <v>3624.17</v>
      </c>
      <c r="E220" s="10" t="s">
        <v>113</v>
      </c>
      <c r="F220" s="10" t="s">
        <v>108</v>
      </c>
      <c r="G220" s="19">
        <f>IFERROR(INDEX(Orders!$H$2:$H$401,MATCH(B220,Orders!$A$2:$A$401,0)),"")</f>
        <v>3624.1720000000005</v>
      </c>
      <c r="H220" s="10" t="str">
        <f t="shared" si="3"/>
        <v>2023-08</v>
      </c>
      <c r="I220" s="10" t="str">
        <f>IFERROR(INDEX(Orders!$F$2:$F$401,MATCH(B220,Orders!$A$2:$A$401,0)),"")</f>
        <v>Delivered</v>
      </c>
    </row>
    <row r="221" spans="1:9" ht="15" customHeight="1" x14ac:dyDescent="0.25">
      <c r="A221" s="10">
        <v>220</v>
      </c>
      <c r="B221" s="10">
        <v>255</v>
      </c>
      <c r="C221" s="10" t="s">
        <v>1323</v>
      </c>
      <c r="D221" s="19">
        <v>5911.65</v>
      </c>
      <c r="E221" s="10" t="s">
        <v>111</v>
      </c>
      <c r="F221" s="10" t="s">
        <v>108</v>
      </c>
      <c r="G221" s="19">
        <f>IFERROR(INDEX(Orders!$H$2:$H$401,MATCH(B221,Orders!$A$2:$A$401,0)),"")</f>
        <v>5911.6450000000004</v>
      </c>
      <c r="H221" s="10" t="str">
        <f t="shared" si="3"/>
        <v>2024-06</v>
      </c>
      <c r="I221" s="10" t="str">
        <f>IFERROR(INDEX(Orders!$F$2:$F$401,MATCH(B221,Orders!$A$2:$A$401,0)),"")</f>
        <v>Delivered</v>
      </c>
    </row>
    <row r="222" spans="1:9" ht="15" customHeight="1" x14ac:dyDescent="0.25">
      <c r="A222" s="10">
        <v>221</v>
      </c>
      <c r="B222" s="10">
        <v>256</v>
      </c>
      <c r="C222" s="10" t="s">
        <v>1324</v>
      </c>
      <c r="D222" s="19">
        <v>4241.1899999999996</v>
      </c>
      <c r="E222" s="10" t="s">
        <v>111</v>
      </c>
      <c r="F222" s="10" t="s">
        <v>108</v>
      </c>
      <c r="G222" s="19">
        <f>IFERROR(INDEX(Orders!$H$2:$H$401,MATCH(B222,Orders!$A$2:$A$401,0)),"")</f>
        <v>4241.1900000000005</v>
      </c>
      <c r="H222" s="10" t="str">
        <f t="shared" si="3"/>
        <v>2025-07</v>
      </c>
      <c r="I222" s="10" t="str">
        <f>IFERROR(INDEX(Orders!$F$2:$F$401,MATCH(B222,Orders!$A$2:$A$401,0)),"")</f>
        <v>Shipped</v>
      </c>
    </row>
    <row r="223" spans="1:9" ht="15" customHeight="1" x14ac:dyDescent="0.25">
      <c r="A223" s="10">
        <v>222</v>
      </c>
      <c r="B223" s="10">
        <v>257</v>
      </c>
      <c r="C223" s="10" t="s">
        <v>887</v>
      </c>
      <c r="D223" s="19">
        <v>4732.5600000000004</v>
      </c>
      <c r="E223" s="10" t="s">
        <v>113</v>
      </c>
      <c r="F223" s="10" t="s">
        <v>108</v>
      </c>
      <c r="G223" s="19">
        <f>IFERROR(INDEX(Orders!$H$2:$H$401,MATCH(B223,Orders!$A$2:$A$401,0)),"")</f>
        <v>4732.5560000000005</v>
      </c>
      <c r="H223" s="10" t="str">
        <f t="shared" si="3"/>
        <v>2025-03</v>
      </c>
      <c r="I223" s="10" t="str">
        <f>IFERROR(INDEX(Orders!$F$2:$F$401,MATCH(B223,Orders!$A$2:$A$401,0)),"")</f>
        <v>Delivered</v>
      </c>
    </row>
    <row r="224" spans="1:9" ht="15" customHeight="1" x14ac:dyDescent="0.25">
      <c r="A224" s="10">
        <v>223</v>
      </c>
      <c r="B224" s="10">
        <v>259</v>
      </c>
      <c r="C224" s="10" t="s">
        <v>1325</v>
      </c>
      <c r="D224" s="19">
        <v>3594.37</v>
      </c>
      <c r="E224" s="10" t="s">
        <v>109</v>
      </c>
      <c r="F224" s="10" t="s">
        <v>108</v>
      </c>
      <c r="G224" s="19">
        <f>IFERROR(INDEX(Orders!$H$2:$H$401,MATCH(B224,Orders!$A$2:$A$401,0)),"")</f>
        <v>3594.3695000000002</v>
      </c>
      <c r="H224" s="10" t="str">
        <f t="shared" si="3"/>
        <v>2023-05</v>
      </c>
      <c r="I224" s="10" t="str">
        <f>IFERROR(INDEX(Orders!$F$2:$F$401,MATCH(B224,Orders!$A$2:$A$401,0)),"")</f>
        <v>Pending</v>
      </c>
    </row>
    <row r="225" spans="1:9" ht="15" customHeight="1" x14ac:dyDescent="0.25">
      <c r="A225" s="10">
        <v>224</v>
      </c>
      <c r="B225" s="10">
        <v>261</v>
      </c>
      <c r="C225" s="10" t="s">
        <v>1301</v>
      </c>
      <c r="D225" s="19">
        <v>6016.22</v>
      </c>
      <c r="E225" s="10" t="s">
        <v>112</v>
      </c>
      <c r="F225" s="10" t="s">
        <v>16</v>
      </c>
      <c r="G225" s="19">
        <f>IFERROR(INDEX(Orders!$H$2:$H$401,MATCH(B225,Orders!$A$2:$A$401,0)),"")</f>
        <v>6016.2209999999995</v>
      </c>
      <c r="H225" s="10" t="str">
        <f t="shared" si="3"/>
        <v>2023-08</v>
      </c>
      <c r="I225" s="10" t="str">
        <f>IFERROR(INDEX(Orders!$F$2:$F$401,MATCH(B225,Orders!$A$2:$A$401,0)),"")</f>
        <v>Pending</v>
      </c>
    </row>
    <row r="226" spans="1:9" ht="15" customHeight="1" x14ac:dyDescent="0.25">
      <c r="A226" s="10">
        <v>225</v>
      </c>
      <c r="B226" s="10">
        <v>263</v>
      </c>
      <c r="C226" s="10" t="s">
        <v>1326</v>
      </c>
      <c r="D226" s="19">
        <v>3481.72</v>
      </c>
      <c r="E226" s="10" t="s">
        <v>111</v>
      </c>
      <c r="F226" s="10" t="s">
        <v>108</v>
      </c>
      <c r="G226" s="19">
        <f>IFERROR(INDEX(Orders!$H$2:$H$401,MATCH(B226,Orders!$A$2:$A$401,0)),"")</f>
        <v>3481.7070000000003</v>
      </c>
      <c r="H226" s="10" t="str">
        <f t="shared" si="3"/>
        <v>2025-11</v>
      </c>
      <c r="I226" s="10" t="str">
        <f>IFERROR(INDEX(Orders!$F$2:$F$401,MATCH(B226,Orders!$A$2:$A$401,0)),"")</f>
        <v>Delivered</v>
      </c>
    </row>
    <row r="227" spans="1:9" ht="15" customHeight="1" x14ac:dyDescent="0.25">
      <c r="A227" s="10">
        <v>226</v>
      </c>
      <c r="B227" s="10">
        <v>264</v>
      </c>
      <c r="C227" s="10" t="s">
        <v>1096</v>
      </c>
      <c r="D227" s="19">
        <v>3778.54</v>
      </c>
      <c r="E227" s="10" t="s">
        <v>113</v>
      </c>
      <c r="F227" s="10" t="s">
        <v>16</v>
      </c>
      <c r="G227" s="19">
        <f>IFERROR(INDEX(Orders!$H$2:$H$401,MATCH(B227,Orders!$A$2:$A$401,0)),"")</f>
        <v>3778.54</v>
      </c>
      <c r="H227" s="10" t="str">
        <f t="shared" si="3"/>
        <v>2025-07</v>
      </c>
      <c r="I227" s="10" t="str">
        <f>IFERROR(INDEX(Orders!$F$2:$F$401,MATCH(B227,Orders!$A$2:$A$401,0)),"")</f>
        <v>Pending</v>
      </c>
    </row>
    <row r="228" spans="1:9" ht="15" customHeight="1" x14ac:dyDescent="0.25">
      <c r="A228" s="10">
        <v>227</v>
      </c>
      <c r="B228" s="10">
        <v>265</v>
      </c>
      <c r="C228" s="10" t="s">
        <v>1097</v>
      </c>
      <c r="D228" s="19">
        <v>724.49</v>
      </c>
      <c r="E228" s="10" t="s">
        <v>113</v>
      </c>
      <c r="F228" s="10" t="s">
        <v>16</v>
      </c>
      <c r="G228" s="19">
        <f>IFERROR(INDEX(Orders!$H$2:$H$401,MATCH(B228,Orders!$A$2:$A$401,0)),"")</f>
        <v>724.48799999999994</v>
      </c>
      <c r="H228" s="10" t="str">
        <f t="shared" si="3"/>
        <v>2023-06</v>
      </c>
      <c r="I228" s="10" t="str">
        <f>IFERROR(INDEX(Orders!$F$2:$F$401,MATCH(B228,Orders!$A$2:$A$401,0)),"")</f>
        <v>Pending</v>
      </c>
    </row>
    <row r="229" spans="1:9" ht="15" customHeight="1" x14ac:dyDescent="0.25">
      <c r="A229" s="10">
        <v>228</v>
      </c>
      <c r="B229" s="10">
        <v>266</v>
      </c>
      <c r="C229" s="10" t="s">
        <v>1327</v>
      </c>
      <c r="D229" s="19">
        <v>8163.23</v>
      </c>
      <c r="E229" s="10" t="s">
        <v>111</v>
      </c>
      <c r="F229" s="10" t="s">
        <v>108</v>
      </c>
      <c r="G229" s="19">
        <f>IFERROR(INDEX(Orders!$H$2:$H$401,MATCH(B229,Orders!$A$2:$A$401,0)),"")</f>
        <v>8163.2300000000005</v>
      </c>
      <c r="H229" s="10" t="str">
        <f t="shared" si="3"/>
        <v>2024-11</v>
      </c>
      <c r="I229" s="10" t="str">
        <f>IFERROR(INDEX(Orders!$F$2:$F$401,MATCH(B229,Orders!$A$2:$A$401,0)),"")</f>
        <v>Pending</v>
      </c>
    </row>
    <row r="230" spans="1:9" ht="15" customHeight="1" x14ac:dyDescent="0.25">
      <c r="A230" s="10">
        <v>229</v>
      </c>
      <c r="B230" s="10">
        <v>267</v>
      </c>
      <c r="C230" s="10" t="s">
        <v>1140</v>
      </c>
      <c r="D230" s="19">
        <v>7930.35</v>
      </c>
      <c r="E230" s="10" t="s">
        <v>113</v>
      </c>
      <c r="F230" s="10" t="s">
        <v>108</v>
      </c>
      <c r="G230" s="19">
        <f>IFERROR(INDEX(Orders!$H$2:$H$401,MATCH(B230,Orders!$A$2:$A$401,0)),"")</f>
        <v>7930.3520000000008</v>
      </c>
      <c r="H230" s="10" t="str">
        <f t="shared" si="3"/>
        <v>2025-03</v>
      </c>
      <c r="I230" s="10" t="str">
        <f>IFERROR(INDEX(Orders!$F$2:$F$401,MATCH(B230,Orders!$A$2:$A$401,0)),"")</f>
        <v>Returned</v>
      </c>
    </row>
    <row r="231" spans="1:9" ht="15" customHeight="1" x14ac:dyDescent="0.25">
      <c r="A231" s="10">
        <v>230</v>
      </c>
      <c r="B231" s="10">
        <v>268</v>
      </c>
      <c r="C231" s="10" t="s">
        <v>1328</v>
      </c>
      <c r="D231" s="19">
        <v>7704.12</v>
      </c>
      <c r="E231" s="10" t="s">
        <v>109</v>
      </c>
      <c r="F231" s="10" t="s">
        <v>108</v>
      </c>
      <c r="G231" s="19">
        <f>IFERROR(INDEX(Orders!$H$2:$H$401,MATCH(B231,Orders!$A$2:$A$401,0)),"")</f>
        <v>7704.1230000000005</v>
      </c>
      <c r="H231" s="10" t="str">
        <f t="shared" si="3"/>
        <v>2023-10</v>
      </c>
      <c r="I231" s="10" t="str">
        <f>IFERROR(INDEX(Orders!$F$2:$F$401,MATCH(B231,Orders!$A$2:$A$401,0)),"")</f>
        <v>Returned</v>
      </c>
    </row>
    <row r="232" spans="1:9" ht="15" customHeight="1" x14ac:dyDescent="0.25">
      <c r="A232" s="10">
        <v>231</v>
      </c>
      <c r="B232" s="10">
        <v>269</v>
      </c>
      <c r="C232" s="10" t="s">
        <v>767</v>
      </c>
      <c r="D232" s="19">
        <v>3203.3</v>
      </c>
      <c r="E232" s="10" t="s">
        <v>112</v>
      </c>
      <c r="F232" s="10" t="s">
        <v>16</v>
      </c>
      <c r="G232" s="19">
        <f>IFERROR(INDEX(Orders!$H$2:$H$401,MATCH(B232,Orders!$A$2:$A$401,0)),"")</f>
        <v>3203.3040000000001</v>
      </c>
      <c r="H232" s="10" t="str">
        <f t="shared" si="3"/>
        <v>2025-05</v>
      </c>
      <c r="I232" s="10" t="str">
        <f>IFERROR(INDEX(Orders!$F$2:$F$401,MATCH(B232,Orders!$A$2:$A$401,0)),"")</f>
        <v>Pending</v>
      </c>
    </row>
    <row r="233" spans="1:9" ht="15" customHeight="1" x14ac:dyDescent="0.25">
      <c r="A233" s="10">
        <v>232</v>
      </c>
      <c r="B233" s="10">
        <v>270</v>
      </c>
      <c r="C233" s="10" t="s">
        <v>834</v>
      </c>
      <c r="D233" s="19">
        <v>862.28</v>
      </c>
      <c r="E233" s="10" t="s">
        <v>111</v>
      </c>
      <c r="F233" s="10" t="s">
        <v>110</v>
      </c>
      <c r="G233" s="19">
        <f>IFERROR(INDEX(Orders!$H$2:$H$401,MATCH(B233,Orders!$A$2:$A$401,0)),"")</f>
        <v>862.28400000000011</v>
      </c>
      <c r="H233" s="10" t="str">
        <f t="shared" si="3"/>
        <v>2023-10</v>
      </c>
      <c r="I233" s="10" t="str">
        <f>IFERROR(INDEX(Orders!$F$2:$F$401,MATCH(B233,Orders!$A$2:$A$401,0)),"")</f>
        <v>Returned</v>
      </c>
    </row>
    <row r="234" spans="1:9" ht="15" customHeight="1" x14ac:dyDescent="0.25">
      <c r="A234" s="10">
        <v>233</v>
      </c>
      <c r="B234" s="10">
        <v>271</v>
      </c>
      <c r="C234" s="10" t="s">
        <v>874</v>
      </c>
      <c r="D234" s="19">
        <v>5305.91</v>
      </c>
      <c r="E234" s="10" t="s">
        <v>113</v>
      </c>
      <c r="F234" s="10" t="s">
        <v>16</v>
      </c>
      <c r="G234" s="19">
        <f>IFERROR(INDEX(Orders!$H$2:$H$401,MATCH(B234,Orders!$A$2:$A$401,0)),"")</f>
        <v>5305.9080000000004</v>
      </c>
      <c r="H234" s="10" t="str">
        <f t="shared" si="3"/>
        <v>2023-02</v>
      </c>
      <c r="I234" s="10" t="str">
        <f>IFERROR(INDEX(Orders!$F$2:$F$401,MATCH(B234,Orders!$A$2:$A$401,0)),"")</f>
        <v>Pending</v>
      </c>
    </row>
    <row r="235" spans="1:9" ht="15" customHeight="1" x14ac:dyDescent="0.25">
      <c r="A235" s="10">
        <v>234</v>
      </c>
      <c r="B235" s="10">
        <v>273</v>
      </c>
      <c r="C235" s="10" t="s">
        <v>1149</v>
      </c>
      <c r="D235" s="19">
        <v>1058.83</v>
      </c>
      <c r="E235" s="10" t="s">
        <v>109</v>
      </c>
      <c r="F235" s="10" t="s">
        <v>108</v>
      </c>
      <c r="G235" s="19">
        <f>IFERROR(INDEX(Orders!$H$2:$H$401,MATCH(B235,Orders!$A$2:$A$401,0)),"")</f>
        <v>1058.8320000000001</v>
      </c>
      <c r="H235" s="10" t="str">
        <f t="shared" si="3"/>
        <v>2023-08</v>
      </c>
      <c r="I235" s="10" t="str">
        <f>IFERROR(INDEX(Orders!$F$2:$F$401,MATCH(B235,Orders!$A$2:$A$401,0)),"")</f>
        <v>Delivered</v>
      </c>
    </row>
    <row r="236" spans="1:9" ht="15" customHeight="1" x14ac:dyDescent="0.25">
      <c r="A236" s="10">
        <v>235</v>
      </c>
      <c r="B236" s="10">
        <v>274</v>
      </c>
      <c r="C236" s="10" t="s">
        <v>1266</v>
      </c>
      <c r="D236" s="19">
        <v>4408.38</v>
      </c>
      <c r="E236" s="10" t="s">
        <v>111</v>
      </c>
      <c r="F236" s="10" t="s">
        <v>108</v>
      </c>
      <c r="G236" s="19">
        <f>IFERROR(INDEX(Orders!$H$2:$H$401,MATCH(B236,Orders!$A$2:$A$401,0)),"")</f>
        <v>4408.38</v>
      </c>
      <c r="H236" s="10" t="str">
        <f t="shared" si="3"/>
        <v>2025-10</v>
      </c>
      <c r="I236" s="10" t="str">
        <f>IFERROR(INDEX(Orders!$F$2:$F$401,MATCH(B236,Orders!$A$2:$A$401,0)),"")</f>
        <v>Returned</v>
      </c>
    </row>
    <row r="237" spans="1:9" ht="15" customHeight="1" x14ac:dyDescent="0.25">
      <c r="A237" s="10">
        <v>236</v>
      </c>
      <c r="B237" s="10">
        <v>275</v>
      </c>
      <c r="C237" s="10" t="s">
        <v>1256</v>
      </c>
      <c r="D237" s="19">
        <v>2387.77</v>
      </c>
      <c r="E237" s="10" t="s">
        <v>112</v>
      </c>
      <c r="F237" s="10" t="s">
        <v>108</v>
      </c>
      <c r="G237" s="19">
        <f>IFERROR(INDEX(Orders!$H$2:$H$401,MATCH(B237,Orders!$A$2:$A$401,0)),"")</f>
        <v>2387.7689999999998</v>
      </c>
      <c r="H237" s="10" t="str">
        <f t="shared" si="3"/>
        <v>2024-12</v>
      </c>
      <c r="I237" s="10" t="str">
        <f>IFERROR(INDEX(Orders!$F$2:$F$401,MATCH(B237,Orders!$A$2:$A$401,0)),"")</f>
        <v>Pending</v>
      </c>
    </row>
    <row r="238" spans="1:9" ht="15" customHeight="1" x14ac:dyDescent="0.25">
      <c r="A238" s="10">
        <v>237</v>
      </c>
      <c r="B238" s="10">
        <v>277</v>
      </c>
      <c r="C238" s="10" t="s">
        <v>773</v>
      </c>
      <c r="D238" s="19">
        <v>6671.62</v>
      </c>
      <c r="E238" s="10" t="s">
        <v>111</v>
      </c>
      <c r="F238" s="10" t="s">
        <v>108</v>
      </c>
      <c r="G238" s="19">
        <f>IFERROR(INDEX(Orders!$H$2:$H$401,MATCH(B238,Orders!$A$2:$A$401,0)),"")</f>
        <v>6671.6225000000004</v>
      </c>
      <c r="H238" s="10" t="str">
        <f t="shared" si="3"/>
        <v>2025-05</v>
      </c>
      <c r="I238" s="10" t="str">
        <f>IFERROR(INDEX(Orders!$F$2:$F$401,MATCH(B238,Orders!$A$2:$A$401,0)),"")</f>
        <v>Delivered</v>
      </c>
    </row>
    <row r="239" spans="1:9" ht="15" customHeight="1" x14ac:dyDescent="0.25">
      <c r="A239" s="10">
        <v>238</v>
      </c>
      <c r="B239" s="10">
        <v>278</v>
      </c>
      <c r="C239" s="10" t="s">
        <v>1109</v>
      </c>
      <c r="D239" s="19">
        <v>3518.89</v>
      </c>
      <c r="E239" s="10" t="s">
        <v>112</v>
      </c>
      <c r="F239" s="10" t="s">
        <v>108</v>
      </c>
      <c r="G239" s="19">
        <f>IFERROR(INDEX(Orders!$H$2:$H$401,MATCH(B239,Orders!$A$2:$A$401,0)),"")</f>
        <v>3518.8890000000006</v>
      </c>
      <c r="H239" s="10" t="str">
        <f t="shared" si="3"/>
        <v>2025-05</v>
      </c>
      <c r="I239" s="10" t="str">
        <f>IFERROR(INDEX(Orders!$F$2:$F$401,MATCH(B239,Orders!$A$2:$A$401,0)),"")</f>
        <v>Delivered</v>
      </c>
    </row>
    <row r="240" spans="1:9" ht="15" customHeight="1" x14ac:dyDescent="0.25">
      <c r="A240" s="10">
        <v>239</v>
      </c>
      <c r="B240" s="10">
        <v>279</v>
      </c>
      <c r="C240" s="10" t="s">
        <v>1329</v>
      </c>
      <c r="D240" s="19">
        <v>1631.82</v>
      </c>
      <c r="E240" s="10" t="s">
        <v>112</v>
      </c>
      <c r="F240" s="10" t="s">
        <v>108</v>
      </c>
      <c r="G240" s="19">
        <f>IFERROR(INDEX(Orders!$H$2:$H$401,MATCH(B240,Orders!$A$2:$A$401,0)),"")</f>
        <v>1631.8200000000002</v>
      </c>
      <c r="H240" s="10" t="str">
        <f t="shared" si="3"/>
        <v>2025-04</v>
      </c>
      <c r="I240" s="10" t="str">
        <f>IFERROR(INDEX(Orders!$F$2:$F$401,MATCH(B240,Orders!$A$2:$A$401,0)),"")</f>
        <v>Shipped</v>
      </c>
    </row>
    <row r="241" spans="1:9" ht="15" customHeight="1" x14ac:dyDescent="0.25">
      <c r="A241" s="10">
        <v>240</v>
      </c>
      <c r="B241" s="10">
        <v>280</v>
      </c>
      <c r="C241" s="10" t="s">
        <v>1330</v>
      </c>
      <c r="D241" s="19">
        <v>2502.08</v>
      </c>
      <c r="E241" s="10" t="s">
        <v>113</v>
      </c>
      <c r="F241" s="10" t="s">
        <v>108</v>
      </c>
      <c r="G241" s="19">
        <f>IFERROR(INDEX(Orders!$H$2:$H$401,MATCH(B241,Orders!$A$2:$A$401,0)),"")</f>
        <v>2502.08</v>
      </c>
      <c r="H241" s="10" t="str">
        <f t="shared" si="3"/>
        <v>2024-04</v>
      </c>
      <c r="I241" s="10" t="str">
        <f>IFERROR(INDEX(Orders!$F$2:$F$401,MATCH(B241,Orders!$A$2:$A$401,0)),"")</f>
        <v>Delivered</v>
      </c>
    </row>
    <row r="242" spans="1:9" ht="15" customHeight="1" x14ac:dyDescent="0.25">
      <c r="A242" s="10">
        <v>241</v>
      </c>
      <c r="B242" s="10">
        <v>282</v>
      </c>
      <c r="C242" s="10" t="s">
        <v>1121</v>
      </c>
      <c r="D242" s="19">
        <v>3072.35</v>
      </c>
      <c r="E242" s="10" t="s">
        <v>109</v>
      </c>
      <c r="F242" s="10" t="s">
        <v>108</v>
      </c>
      <c r="G242" s="19">
        <f>IFERROR(INDEX(Orders!$H$2:$H$401,MATCH(B242,Orders!$A$2:$A$401,0)),"")</f>
        <v>3072.3444999999997</v>
      </c>
      <c r="H242" s="10" t="str">
        <f t="shared" si="3"/>
        <v>2024-01</v>
      </c>
      <c r="I242" s="10" t="str">
        <f>IFERROR(INDEX(Orders!$F$2:$F$401,MATCH(B242,Orders!$A$2:$A$401,0)),"")</f>
        <v>Returned</v>
      </c>
    </row>
    <row r="243" spans="1:9" ht="15" customHeight="1" x14ac:dyDescent="0.25">
      <c r="A243" s="10">
        <v>242</v>
      </c>
      <c r="B243" s="10">
        <v>283</v>
      </c>
      <c r="C243" s="10" t="s">
        <v>782</v>
      </c>
      <c r="D243" s="19">
        <v>7640.21</v>
      </c>
      <c r="E243" s="10" t="s">
        <v>109</v>
      </c>
      <c r="F243" s="10" t="s">
        <v>108</v>
      </c>
      <c r="G243" s="19">
        <f>IFERROR(INDEX(Orders!$H$2:$H$401,MATCH(B243,Orders!$A$2:$A$401,0)),"")</f>
        <v>7640.2190000000001</v>
      </c>
      <c r="H243" s="10" t="str">
        <f t="shared" si="3"/>
        <v>2025-07</v>
      </c>
      <c r="I243" s="10" t="str">
        <f>IFERROR(INDEX(Orders!$F$2:$F$401,MATCH(B243,Orders!$A$2:$A$401,0)),"")</f>
        <v>Returned</v>
      </c>
    </row>
    <row r="244" spans="1:9" ht="15" customHeight="1" x14ac:dyDescent="0.25">
      <c r="A244" s="10">
        <v>243</v>
      </c>
      <c r="B244" s="10">
        <v>284</v>
      </c>
      <c r="C244" s="10" t="s">
        <v>1257</v>
      </c>
      <c r="D244" s="19">
        <v>1349.2</v>
      </c>
      <c r="E244" s="10" t="s">
        <v>112</v>
      </c>
      <c r="F244" s="10" t="s">
        <v>108</v>
      </c>
      <c r="G244" s="19">
        <f>IFERROR(INDEX(Orders!$H$2:$H$401,MATCH(B244,Orders!$A$2:$A$401,0)),"")</f>
        <v>1349.2049999999999</v>
      </c>
      <c r="H244" s="10" t="str">
        <f t="shared" si="3"/>
        <v>2025-08</v>
      </c>
      <c r="I244" s="10" t="str">
        <f>IFERROR(INDEX(Orders!$F$2:$F$401,MATCH(B244,Orders!$A$2:$A$401,0)),"")</f>
        <v>Returned</v>
      </c>
    </row>
    <row r="245" spans="1:9" ht="15" customHeight="1" x14ac:dyDescent="0.25">
      <c r="A245" s="10">
        <v>244</v>
      </c>
      <c r="B245" s="10">
        <v>285</v>
      </c>
      <c r="C245" s="10" t="s">
        <v>1331</v>
      </c>
      <c r="D245" s="19">
        <v>4178.6000000000004</v>
      </c>
      <c r="E245" s="10" t="s">
        <v>113</v>
      </c>
      <c r="F245" s="10" t="s">
        <v>110</v>
      </c>
      <c r="G245" s="19">
        <f>IFERROR(INDEX(Orders!$H$2:$H$401,MATCH(B245,Orders!$A$2:$A$401,0)),"")</f>
        <v>4178.5985000000001</v>
      </c>
      <c r="H245" s="10" t="str">
        <f t="shared" si="3"/>
        <v>2024-01</v>
      </c>
      <c r="I245" s="10" t="str">
        <f>IFERROR(INDEX(Orders!$F$2:$F$401,MATCH(B245,Orders!$A$2:$A$401,0)),"")</f>
        <v>Returned</v>
      </c>
    </row>
    <row r="246" spans="1:9" ht="15" customHeight="1" x14ac:dyDescent="0.25">
      <c r="A246" s="10">
        <v>245</v>
      </c>
      <c r="B246" s="10">
        <v>287</v>
      </c>
      <c r="C246" s="10" t="s">
        <v>1332</v>
      </c>
      <c r="D246" s="19">
        <v>3456.96</v>
      </c>
      <c r="E246" s="10" t="s">
        <v>113</v>
      </c>
      <c r="F246" s="10" t="s">
        <v>108</v>
      </c>
      <c r="G246" s="19">
        <f>IFERROR(INDEX(Orders!$H$2:$H$401,MATCH(B246,Orders!$A$2:$A$401,0)),"")</f>
        <v>3456.9570000000003</v>
      </c>
      <c r="H246" s="10" t="str">
        <f t="shared" si="3"/>
        <v>2025-05</v>
      </c>
      <c r="I246" s="10" t="str">
        <f>IFERROR(INDEX(Orders!$F$2:$F$401,MATCH(B246,Orders!$A$2:$A$401,0)),"")</f>
        <v>Shipped</v>
      </c>
    </row>
    <row r="247" spans="1:9" ht="15" customHeight="1" x14ac:dyDescent="0.25">
      <c r="A247" s="10">
        <v>246</v>
      </c>
      <c r="B247" s="10">
        <v>288</v>
      </c>
      <c r="C247" s="10" t="s">
        <v>1129</v>
      </c>
      <c r="D247" s="19">
        <v>8593.7199999999993</v>
      </c>
      <c r="E247" s="10" t="s">
        <v>111</v>
      </c>
      <c r="F247" s="10" t="s">
        <v>110</v>
      </c>
      <c r="G247" s="19">
        <f>IFERROR(INDEX(Orders!$H$2:$H$401,MATCH(B247,Orders!$A$2:$A$401,0)),"")</f>
        <v>8593.7220000000016</v>
      </c>
      <c r="H247" s="10" t="str">
        <f t="shared" si="3"/>
        <v>2023-01</v>
      </c>
      <c r="I247" s="10" t="str">
        <f>IFERROR(INDEX(Orders!$F$2:$F$401,MATCH(B247,Orders!$A$2:$A$401,0)),"")</f>
        <v>Returned</v>
      </c>
    </row>
    <row r="248" spans="1:9" ht="15" customHeight="1" x14ac:dyDescent="0.25">
      <c r="A248" s="10">
        <v>247</v>
      </c>
      <c r="B248" s="10">
        <v>289</v>
      </c>
      <c r="C248" s="10" t="s">
        <v>796</v>
      </c>
      <c r="D248" s="19">
        <v>5830.48</v>
      </c>
      <c r="E248" s="10" t="s">
        <v>112</v>
      </c>
      <c r="F248" s="10" t="s">
        <v>108</v>
      </c>
      <c r="G248" s="19">
        <f>IFERROR(INDEX(Orders!$H$2:$H$401,MATCH(B248,Orders!$A$2:$A$401,0)),"")</f>
        <v>5830.4765000000007</v>
      </c>
      <c r="H248" s="10" t="str">
        <f t="shared" si="3"/>
        <v>2023-03</v>
      </c>
      <c r="I248" s="10" t="str">
        <f>IFERROR(INDEX(Orders!$F$2:$F$401,MATCH(B248,Orders!$A$2:$A$401,0)),"")</f>
        <v>Delivered</v>
      </c>
    </row>
    <row r="249" spans="1:9" ht="15" customHeight="1" x14ac:dyDescent="0.25">
      <c r="A249" s="10">
        <v>248</v>
      </c>
      <c r="B249" s="10">
        <v>290</v>
      </c>
      <c r="C249" s="10" t="s">
        <v>1333</v>
      </c>
      <c r="D249" s="19">
        <v>2835.66</v>
      </c>
      <c r="E249" s="10" t="s">
        <v>113</v>
      </c>
      <c r="F249" s="10" t="s">
        <v>108</v>
      </c>
      <c r="G249" s="19">
        <f>IFERROR(INDEX(Orders!$H$2:$H$401,MATCH(B249,Orders!$A$2:$A$401,0)),"")</f>
        <v>2835.6589999999997</v>
      </c>
      <c r="H249" s="10" t="str">
        <f t="shared" si="3"/>
        <v>2023-07</v>
      </c>
      <c r="I249" s="10" t="str">
        <f>IFERROR(INDEX(Orders!$F$2:$F$401,MATCH(B249,Orders!$A$2:$A$401,0)),"")</f>
        <v>Shipped</v>
      </c>
    </row>
    <row r="250" spans="1:9" ht="15" customHeight="1" x14ac:dyDescent="0.25">
      <c r="A250" s="10">
        <v>249</v>
      </c>
      <c r="B250" s="10">
        <v>291</v>
      </c>
      <c r="C250" s="10" t="s">
        <v>1334</v>
      </c>
      <c r="D250" s="19">
        <v>9664.6299999999992</v>
      </c>
      <c r="E250" s="10" t="s">
        <v>113</v>
      </c>
      <c r="F250" s="10" t="s">
        <v>108</v>
      </c>
      <c r="G250" s="19">
        <f>IFERROR(INDEX(Orders!$H$2:$H$401,MATCH(B250,Orders!$A$2:$A$401,0)),"")</f>
        <v>9664.6285000000007</v>
      </c>
      <c r="H250" s="10" t="str">
        <f t="shared" si="3"/>
        <v>2024-03</v>
      </c>
      <c r="I250" s="10" t="str">
        <f>IFERROR(INDEX(Orders!$F$2:$F$401,MATCH(B250,Orders!$A$2:$A$401,0)),"")</f>
        <v>Delivered</v>
      </c>
    </row>
    <row r="251" spans="1:9" ht="15" customHeight="1" x14ac:dyDescent="0.25">
      <c r="A251" s="10">
        <v>250</v>
      </c>
      <c r="B251" s="10">
        <v>292</v>
      </c>
      <c r="C251" s="10" t="s">
        <v>913</v>
      </c>
      <c r="D251" s="19">
        <v>2076.52</v>
      </c>
      <c r="E251" s="10" t="s">
        <v>113</v>
      </c>
      <c r="F251" s="10" t="s">
        <v>108</v>
      </c>
      <c r="G251" s="19">
        <f>IFERROR(INDEX(Orders!$H$2:$H$401,MATCH(B251,Orders!$A$2:$A$401,0)),"")</f>
        <v>2076.5280000000002</v>
      </c>
      <c r="H251" s="10" t="str">
        <f t="shared" si="3"/>
        <v>2025-10</v>
      </c>
      <c r="I251" s="10" t="str">
        <f>IFERROR(INDEX(Orders!$F$2:$F$401,MATCH(B251,Orders!$A$2:$A$401,0)),"")</f>
        <v>Delivered</v>
      </c>
    </row>
    <row r="252" spans="1:9" ht="15" customHeight="1" x14ac:dyDescent="0.25">
      <c r="A252" s="10">
        <v>251</v>
      </c>
      <c r="B252" s="10">
        <v>293</v>
      </c>
      <c r="C252" s="10" t="s">
        <v>1335</v>
      </c>
      <c r="D252" s="19">
        <v>2928.04</v>
      </c>
      <c r="E252" s="10" t="s">
        <v>112</v>
      </c>
      <c r="F252" s="10" t="s">
        <v>108</v>
      </c>
      <c r="G252" s="19">
        <f>IFERROR(INDEX(Orders!$H$2:$H$401,MATCH(B252,Orders!$A$2:$A$401,0)),"")</f>
        <v>2928.038</v>
      </c>
      <c r="H252" s="10" t="str">
        <f t="shared" si="3"/>
        <v>2024-11</v>
      </c>
      <c r="I252" s="10" t="str">
        <f>IFERROR(INDEX(Orders!$F$2:$F$401,MATCH(B252,Orders!$A$2:$A$401,0)),"")</f>
        <v>Pending</v>
      </c>
    </row>
    <row r="253" spans="1:9" ht="15" customHeight="1" x14ac:dyDescent="0.25">
      <c r="A253" s="10">
        <v>252</v>
      </c>
      <c r="B253" s="10">
        <v>294</v>
      </c>
      <c r="C253" s="10" t="s">
        <v>1129</v>
      </c>
      <c r="D253" s="19">
        <v>7743.54</v>
      </c>
      <c r="E253" s="10" t="s">
        <v>111</v>
      </c>
      <c r="F253" s="10" t="s">
        <v>108</v>
      </c>
      <c r="G253" s="19">
        <f>IFERROR(INDEX(Orders!$H$2:$H$401,MATCH(B253,Orders!$A$2:$A$401,0)),"")</f>
        <v>7743.5340000000006</v>
      </c>
      <c r="H253" s="10" t="str">
        <f t="shared" si="3"/>
        <v>2023-01</v>
      </c>
      <c r="I253" s="10" t="str">
        <f>IFERROR(INDEX(Orders!$F$2:$F$401,MATCH(B253,Orders!$A$2:$A$401,0)),"")</f>
        <v>Delivered</v>
      </c>
    </row>
    <row r="254" spans="1:9" ht="15" customHeight="1" x14ac:dyDescent="0.25">
      <c r="A254" s="10">
        <v>253</v>
      </c>
      <c r="B254" s="10">
        <v>295</v>
      </c>
      <c r="C254" s="10" t="s">
        <v>1336</v>
      </c>
      <c r="D254" s="19">
        <v>5761.96</v>
      </c>
      <c r="E254" s="10" t="s">
        <v>109</v>
      </c>
      <c r="F254" s="10" t="s">
        <v>16</v>
      </c>
      <c r="G254" s="19">
        <f>IFERROR(INDEX(Orders!$H$2:$H$401,MATCH(B254,Orders!$A$2:$A$401,0)),"")</f>
        <v>5761.9639999999999</v>
      </c>
      <c r="H254" s="10" t="str">
        <f t="shared" si="3"/>
        <v>2025-08</v>
      </c>
      <c r="I254" s="10" t="str">
        <f>IFERROR(INDEX(Orders!$F$2:$F$401,MATCH(B254,Orders!$A$2:$A$401,0)),"")</f>
        <v>Pending</v>
      </c>
    </row>
    <row r="255" spans="1:9" ht="15" customHeight="1" x14ac:dyDescent="0.25">
      <c r="A255" s="10">
        <v>254</v>
      </c>
      <c r="B255" s="10">
        <v>296</v>
      </c>
      <c r="C255" s="10" t="s">
        <v>258</v>
      </c>
      <c r="D255" s="19">
        <v>5752.61</v>
      </c>
      <c r="E255" s="10" t="s">
        <v>112</v>
      </c>
      <c r="F255" s="10" t="s">
        <v>16</v>
      </c>
      <c r="G255" s="19">
        <f>IFERROR(INDEX(Orders!$H$2:$H$401,MATCH(B255,Orders!$A$2:$A$401,0)),"")</f>
        <v>5752.6109999999999</v>
      </c>
      <c r="H255" s="10" t="str">
        <f t="shared" si="3"/>
        <v>2023-03</v>
      </c>
      <c r="I255" s="10" t="str">
        <f>IFERROR(INDEX(Orders!$F$2:$F$401,MATCH(B255,Orders!$A$2:$A$401,0)),"")</f>
        <v>Pending</v>
      </c>
    </row>
    <row r="256" spans="1:9" ht="15" customHeight="1" x14ac:dyDescent="0.25">
      <c r="A256" s="10">
        <v>255</v>
      </c>
      <c r="B256" s="10">
        <v>297</v>
      </c>
      <c r="C256" s="10" t="s">
        <v>548</v>
      </c>
      <c r="D256" s="19">
        <v>5296.98</v>
      </c>
      <c r="E256" s="10" t="s">
        <v>111</v>
      </c>
      <c r="F256" s="10" t="s">
        <v>108</v>
      </c>
      <c r="G256" s="19">
        <f>IFERROR(INDEX(Orders!$H$2:$H$401,MATCH(B256,Orders!$A$2:$A$401,0)),"")</f>
        <v>5296.9740000000002</v>
      </c>
      <c r="H256" s="10" t="str">
        <f t="shared" si="3"/>
        <v>2024-03</v>
      </c>
      <c r="I256" s="10" t="str">
        <f>IFERROR(INDEX(Orders!$F$2:$F$401,MATCH(B256,Orders!$A$2:$A$401,0)),"")</f>
        <v>Shipped</v>
      </c>
    </row>
    <row r="257" spans="1:9" ht="15" customHeight="1" x14ac:dyDescent="0.25">
      <c r="A257" s="10">
        <v>256</v>
      </c>
      <c r="B257" s="10">
        <v>298</v>
      </c>
      <c r="C257" s="10" t="s">
        <v>877</v>
      </c>
      <c r="D257" s="19">
        <v>361.44</v>
      </c>
      <c r="E257" s="10" t="s">
        <v>109</v>
      </c>
      <c r="F257" s="10" t="s">
        <v>108</v>
      </c>
      <c r="G257" s="19">
        <f>IFERROR(INDEX(Orders!$H$2:$H$401,MATCH(B257,Orders!$A$2:$A$401,0)),"")</f>
        <v>361.44</v>
      </c>
      <c r="H257" s="10" t="str">
        <f t="shared" si="3"/>
        <v>2025-12</v>
      </c>
      <c r="I257" s="10" t="str">
        <f>IFERROR(INDEX(Orders!$F$2:$F$401,MATCH(B257,Orders!$A$2:$A$401,0)),"")</f>
        <v>Shipped</v>
      </c>
    </row>
    <row r="258" spans="1:9" ht="15" customHeight="1" x14ac:dyDescent="0.25">
      <c r="A258" s="10">
        <v>257</v>
      </c>
      <c r="B258" s="10">
        <v>299</v>
      </c>
      <c r="C258" s="10" t="s">
        <v>1134</v>
      </c>
      <c r="D258" s="19">
        <v>1506.88</v>
      </c>
      <c r="E258" s="10" t="s">
        <v>112</v>
      </c>
      <c r="F258" s="10" t="s">
        <v>108</v>
      </c>
      <c r="G258" s="19">
        <f>IFERROR(INDEX(Orders!$H$2:$H$401,MATCH(B258,Orders!$A$2:$A$401,0)),"")</f>
        <v>1506.88</v>
      </c>
      <c r="H258" s="10" t="str">
        <f t="shared" ref="H258:H321" si="4">IF(C258="","",TEXT(C258,"YYYY-MM"))</f>
        <v>2025-12</v>
      </c>
      <c r="I258" s="10" t="str">
        <f>IFERROR(INDEX(Orders!$F$2:$F$401,MATCH(B258,Orders!$A$2:$A$401,0)),"")</f>
        <v>Delivered</v>
      </c>
    </row>
    <row r="259" spans="1:9" ht="15" customHeight="1" x14ac:dyDescent="0.25">
      <c r="A259" s="10">
        <v>258</v>
      </c>
      <c r="B259" s="10">
        <v>300</v>
      </c>
      <c r="C259" s="10" t="s">
        <v>1051</v>
      </c>
      <c r="D259" s="19">
        <v>6212.61</v>
      </c>
      <c r="E259" s="10" t="s">
        <v>109</v>
      </c>
      <c r="F259" s="10" t="s">
        <v>108</v>
      </c>
      <c r="G259" s="19">
        <f>IFERROR(INDEX(Orders!$H$2:$H$401,MATCH(B259,Orders!$A$2:$A$401,0)),"")</f>
        <v>6212.6100000000006</v>
      </c>
      <c r="H259" s="10" t="str">
        <f t="shared" si="4"/>
        <v>2023-08</v>
      </c>
      <c r="I259" s="10" t="str">
        <f>IFERROR(INDEX(Orders!$F$2:$F$401,MATCH(B259,Orders!$A$2:$A$401,0)),"")</f>
        <v>Shipped</v>
      </c>
    </row>
    <row r="260" spans="1:9" ht="15" customHeight="1" x14ac:dyDescent="0.25">
      <c r="A260" s="10">
        <v>259</v>
      </c>
      <c r="B260" s="10">
        <v>301</v>
      </c>
      <c r="C260" s="10" t="s">
        <v>1135</v>
      </c>
      <c r="D260" s="19">
        <v>6437.43</v>
      </c>
      <c r="E260" s="10" t="s">
        <v>112</v>
      </c>
      <c r="F260" s="10" t="s">
        <v>108</v>
      </c>
      <c r="G260" s="19">
        <f>IFERROR(INDEX(Orders!$H$2:$H$401,MATCH(B260,Orders!$A$2:$A$401,0)),"")</f>
        <v>6437.4285</v>
      </c>
      <c r="H260" s="10" t="str">
        <f t="shared" si="4"/>
        <v>2023-11</v>
      </c>
      <c r="I260" s="10" t="str">
        <f>IFERROR(INDEX(Orders!$F$2:$F$401,MATCH(B260,Orders!$A$2:$A$401,0)),"")</f>
        <v>Shipped</v>
      </c>
    </row>
    <row r="261" spans="1:9" ht="15" customHeight="1" x14ac:dyDescent="0.25">
      <c r="A261" s="10">
        <v>260</v>
      </c>
      <c r="B261" s="10">
        <v>302</v>
      </c>
      <c r="C261" s="10" t="s">
        <v>1035</v>
      </c>
      <c r="D261" s="19">
        <v>5984.07</v>
      </c>
      <c r="E261" s="10" t="s">
        <v>113</v>
      </c>
      <c r="F261" s="10" t="s">
        <v>108</v>
      </c>
      <c r="G261" s="19">
        <f>IFERROR(INDEX(Orders!$H$2:$H$401,MATCH(B261,Orders!$A$2:$A$401,0)),"")</f>
        <v>5984.0775000000003</v>
      </c>
      <c r="H261" s="10" t="str">
        <f t="shared" si="4"/>
        <v>2025-07</v>
      </c>
      <c r="I261" s="10" t="str">
        <f>IFERROR(INDEX(Orders!$F$2:$F$401,MATCH(B261,Orders!$A$2:$A$401,0)),"")</f>
        <v>Delivered</v>
      </c>
    </row>
    <row r="262" spans="1:9" ht="15" customHeight="1" x14ac:dyDescent="0.25">
      <c r="A262" s="10">
        <v>261</v>
      </c>
      <c r="B262" s="10">
        <v>303</v>
      </c>
      <c r="C262" s="10" t="s">
        <v>1337</v>
      </c>
      <c r="D262" s="19">
        <v>6331.49</v>
      </c>
      <c r="E262" s="10" t="s">
        <v>112</v>
      </c>
      <c r="F262" s="10" t="s">
        <v>108</v>
      </c>
      <c r="G262" s="19">
        <f>IFERROR(INDEX(Orders!$H$2:$H$401,MATCH(B262,Orders!$A$2:$A$401,0)),"")</f>
        <v>6331.4920000000002</v>
      </c>
      <c r="H262" s="10" t="str">
        <f t="shared" si="4"/>
        <v>2024-10</v>
      </c>
      <c r="I262" s="10" t="str">
        <f>IFERROR(INDEX(Orders!$F$2:$F$401,MATCH(B262,Orders!$A$2:$A$401,0)),"")</f>
        <v>Pending</v>
      </c>
    </row>
    <row r="263" spans="1:9" ht="15" customHeight="1" x14ac:dyDescent="0.25">
      <c r="A263" s="10">
        <v>262</v>
      </c>
      <c r="B263" s="10">
        <v>304</v>
      </c>
      <c r="C263" s="10" t="s">
        <v>1279</v>
      </c>
      <c r="D263" s="19">
        <v>5559.88</v>
      </c>
      <c r="E263" s="10" t="s">
        <v>111</v>
      </c>
      <c r="F263" s="10" t="s">
        <v>108</v>
      </c>
      <c r="G263" s="19">
        <f>IFERROR(INDEX(Orders!$H$2:$H$401,MATCH(B263,Orders!$A$2:$A$401,0)),"")</f>
        <v>5559.8760000000002</v>
      </c>
      <c r="H263" s="10" t="str">
        <f t="shared" si="4"/>
        <v>2025-03</v>
      </c>
      <c r="I263" s="10" t="str">
        <f>IFERROR(INDEX(Orders!$F$2:$F$401,MATCH(B263,Orders!$A$2:$A$401,0)),"")</f>
        <v>Delivered</v>
      </c>
    </row>
    <row r="264" spans="1:9" ht="15" customHeight="1" x14ac:dyDescent="0.25">
      <c r="A264" s="10">
        <v>263</v>
      </c>
      <c r="B264" s="10">
        <v>305</v>
      </c>
      <c r="C264" s="10" t="s">
        <v>843</v>
      </c>
      <c r="D264" s="19">
        <v>362.86</v>
      </c>
      <c r="E264" s="10" t="s">
        <v>113</v>
      </c>
      <c r="F264" s="10" t="s">
        <v>108</v>
      </c>
      <c r="G264" s="19">
        <f>IFERROR(INDEX(Orders!$H$2:$H$401,MATCH(B264,Orders!$A$2:$A$401,0)),"")</f>
        <v>362.86199999999997</v>
      </c>
      <c r="H264" s="10" t="str">
        <f t="shared" si="4"/>
        <v>2025-04</v>
      </c>
      <c r="I264" s="10" t="str">
        <f>IFERROR(INDEX(Orders!$F$2:$F$401,MATCH(B264,Orders!$A$2:$A$401,0)),"")</f>
        <v>Delivered</v>
      </c>
    </row>
    <row r="265" spans="1:9" ht="15" customHeight="1" x14ac:dyDescent="0.25">
      <c r="A265" s="10">
        <v>264</v>
      </c>
      <c r="B265" s="10">
        <v>306</v>
      </c>
      <c r="C265" s="10" t="s">
        <v>949</v>
      </c>
      <c r="D265" s="19">
        <v>5557.86</v>
      </c>
      <c r="E265" s="10" t="s">
        <v>109</v>
      </c>
      <c r="F265" s="10" t="s">
        <v>110</v>
      </c>
      <c r="G265" s="19">
        <f>IFERROR(INDEX(Orders!$H$2:$H$401,MATCH(B265,Orders!$A$2:$A$401,0)),"")</f>
        <v>5557.8519999999999</v>
      </c>
      <c r="H265" s="10" t="str">
        <f t="shared" si="4"/>
        <v>2023-11</v>
      </c>
      <c r="I265" s="10" t="str">
        <f>IFERROR(INDEX(Orders!$F$2:$F$401,MATCH(B265,Orders!$A$2:$A$401,0)),"")</f>
        <v>Returned</v>
      </c>
    </row>
    <row r="266" spans="1:9" ht="15" customHeight="1" x14ac:dyDescent="0.25">
      <c r="A266" s="10">
        <v>265</v>
      </c>
      <c r="B266" s="10">
        <v>307</v>
      </c>
      <c r="C266" s="10" t="s">
        <v>1207</v>
      </c>
      <c r="D266" s="19">
        <v>1071.81</v>
      </c>
      <c r="E266" s="10" t="s">
        <v>109</v>
      </c>
      <c r="F266" s="10" t="s">
        <v>110</v>
      </c>
      <c r="G266" s="19">
        <f>IFERROR(INDEX(Orders!$H$2:$H$401,MATCH(B266,Orders!$A$2:$A$401,0)),"")</f>
        <v>1071.81</v>
      </c>
      <c r="H266" s="10" t="str">
        <f t="shared" si="4"/>
        <v>2023-08</v>
      </c>
      <c r="I266" s="10" t="str">
        <f>IFERROR(INDEX(Orders!$F$2:$F$401,MATCH(B266,Orders!$A$2:$A$401,0)),"")</f>
        <v>Returned</v>
      </c>
    </row>
    <row r="267" spans="1:9" ht="15" customHeight="1" x14ac:dyDescent="0.25">
      <c r="A267" s="10">
        <v>266</v>
      </c>
      <c r="B267" s="10">
        <v>308</v>
      </c>
      <c r="C267" s="10" t="s">
        <v>595</v>
      </c>
      <c r="D267" s="19">
        <v>1034.04</v>
      </c>
      <c r="E267" s="10" t="s">
        <v>112</v>
      </c>
      <c r="F267" s="10" t="s">
        <v>108</v>
      </c>
      <c r="G267" s="19">
        <f>IFERROR(INDEX(Orders!$H$2:$H$401,MATCH(B267,Orders!$A$2:$A$401,0)),"")</f>
        <v>1034.0334999999998</v>
      </c>
      <c r="H267" s="10" t="str">
        <f t="shared" si="4"/>
        <v>2024-11</v>
      </c>
      <c r="I267" s="10" t="str">
        <f>IFERROR(INDEX(Orders!$F$2:$F$401,MATCH(B267,Orders!$A$2:$A$401,0)),"")</f>
        <v>Returned</v>
      </c>
    </row>
    <row r="268" spans="1:9" ht="15" customHeight="1" x14ac:dyDescent="0.25">
      <c r="A268" s="10">
        <v>267</v>
      </c>
      <c r="B268" s="10">
        <v>309</v>
      </c>
      <c r="C268" s="10" t="s">
        <v>1177</v>
      </c>
      <c r="D268" s="19">
        <v>6022.83</v>
      </c>
      <c r="E268" s="10" t="s">
        <v>109</v>
      </c>
      <c r="F268" s="10" t="s">
        <v>108</v>
      </c>
      <c r="G268" s="19">
        <f>IFERROR(INDEX(Orders!$H$2:$H$401,MATCH(B268,Orders!$A$2:$A$401,0)),"")</f>
        <v>6022.8274999999994</v>
      </c>
      <c r="H268" s="10" t="str">
        <f t="shared" si="4"/>
        <v>2024-02</v>
      </c>
      <c r="I268" s="10" t="str">
        <f>IFERROR(INDEX(Orders!$F$2:$F$401,MATCH(B268,Orders!$A$2:$A$401,0)),"")</f>
        <v>Delivered</v>
      </c>
    </row>
    <row r="269" spans="1:9" ht="15" customHeight="1" x14ac:dyDescent="0.25">
      <c r="A269" s="10">
        <v>268</v>
      </c>
      <c r="B269" s="10">
        <v>310</v>
      </c>
      <c r="C269" s="10" t="s">
        <v>896</v>
      </c>
      <c r="D269" s="19">
        <v>10518.32</v>
      </c>
      <c r="E269" s="10" t="s">
        <v>111</v>
      </c>
      <c r="F269" s="10" t="s">
        <v>108</v>
      </c>
      <c r="G269" s="19">
        <f>IFERROR(INDEX(Orders!$H$2:$H$401,MATCH(B269,Orders!$A$2:$A$401,0)),"")</f>
        <v>10518.3105</v>
      </c>
      <c r="H269" s="10" t="str">
        <f t="shared" si="4"/>
        <v>2023-08</v>
      </c>
      <c r="I269" s="10" t="str">
        <f>IFERROR(INDEX(Orders!$F$2:$F$401,MATCH(B269,Orders!$A$2:$A$401,0)),"")</f>
        <v>Shipped</v>
      </c>
    </row>
    <row r="270" spans="1:9" ht="15" customHeight="1" x14ac:dyDescent="0.25">
      <c r="A270" s="10">
        <v>269</v>
      </c>
      <c r="B270" s="10">
        <v>312</v>
      </c>
      <c r="C270" s="10" t="s">
        <v>1338</v>
      </c>
      <c r="D270" s="19">
        <v>7312.22</v>
      </c>
      <c r="E270" s="10" t="s">
        <v>113</v>
      </c>
      <c r="F270" s="10" t="s">
        <v>108</v>
      </c>
      <c r="G270" s="19">
        <f>IFERROR(INDEX(Orders!$H$2:$H$401,MATCH(B270,Orders!$A$2:$A$401,0)),"")</f>
        <v>7312.2210000000005</v>
      </c>
      <c r="H270" s="10" t="str">
        <f t="shared" si="4"/>
        <v>2023-06</v>
      </c>
      <c r="I270" s="10" t="str">
        <f>IFERROR(INDEX(Orders!$F$2:$F$401,MATCH(B270,Orders!$A$2:$A$401,0)),"")</f>
        <v>Delivered</v>
      </c>
    </row>
    <row r="271" spans="1:9" ht="15" customHeight="1" x14ac:dyDescent="0.25">
      <c r="A271" s="10">
        <v>270</v>
      </c>
      <c r="B271" s="10">
        <v>313</v>
      </c>
      <c r="C271" s="10" t="s">
        <v>987</v>
      </c>
      <c r="D271" s="19">
        <v>7448.95</v>
      </c>
      <c r="E271" s="10" t="s">
        <v>109</v>
      </c>
      <c r="F271" s="10" t="s">
        <v>108</v>
      </c>
      <c r="G271" s="19">
        <f>IFERROR(INDEX(Orders!$H$2:$H$401,MATCH(B271,Orders!$A$2:$A$401,0)),"")</f>
        <v>7448.9474999999984</v>
      </c>
      <c r="H271" s="10" t="str">
        <f t="shared" si="4"/>
        <v>2025-10</v>
      </c>
      <c r="I271" s="10" t="str">
        <f>IFERROR(INDEX(Orders!$F$2:$F$401,MATCH(B271,Orders!$A$2:$A$401,0)),"")</f>
        <v>Shipped</v>
      </c>
    </row>
    <row r="272" spans="1:9" ht="15" customHeight="1" x14ac:dyDescent="0.25">
      <c r="A272" s="10">
        <v>271</v>
      </c>
      <c r="B272" s="10">
        <v>314</v>
      </c>
      <c r="C272" s="10" t="s">
        <v>1339</v>
      </c>
      <c r="D272" s="19">
        <v>5604.88</v>
      </c>
      <c r="E272" s="10" t="s">
        <v>109</v>
      </c>
      <c r="F272" s="10" t="s">
        <v>108</v>
      </c>
      <c r="G272" s="19">
        <f>IFERROR(INDEX(Orders!$H$2:$H$401,MATCH(B272,Orders!$A$2:$A$401,0)),"")</f>
        <v>5604.8945000000003</v>
      </c>
      <c r="H272" s="10" t="str">
        <f t="shared" si="4"/>
        <v>2024-05</v>
      </c>
      <c r="I272" s="10" t="str">
        <f>IFERROR(INDEX(Orders!$F$2:$F$401,MATCH(B272,Orders!$A$2:$A$401,0)),"")</f>
        <v>Returned</v>
      </c>
    </row>
    <row r="273" spans="1:9" ht="15" customHeight="1" x14ac:dyDescent="0.25">
      <c r="A273" s="10">
        <v>272</v>
      </c>
      <c r="B273" s="10">
        <v>315</v>
      </c>
      <c r="C273" s="10" t="s">
        <v>1056</v>
      </c>
      <c r="D273" s="19">
        <v>2308.3200000000002</v>
      </c>
      <c r="E273" s="10" t="s">
        <v>113</v>
      </c>
      <c r="F273" s="10" t="s">
        <v>108</v>
      </c>
      <c r="G273" s="19">
        <f>IFERROR(INDEX(Orders!$H$2:$H$401,MATCH(B273,Orders!$A$2:$A$401,0)),"")</f>
        <v>2308.3200000000002</v>
      </c>
      <c r="H273" s="10" t="str">
        <f t="shared" si="4"/>
        <v>2024-06</v>
      </c>
      <c r="I273" s="10" t="str">
        <f>IFERROR(INDEX(Orders!$F$2:$F$401,MATCH(B273,Orders!$A$2:$A$401,0)),"")</f>
        <v>Delivered</v>
      </c>
    </row>
    <row r="274" spans="1:9" ht="15" customHeight="1" x14ac:dyDescent="0.25">
      <c r="A274" s="10">
        <v>273</v>
      </c>
      <c r="B274" s="10">
        <v>316</v>
      </c>
      <c r="C274" s="10" t="s">
        <v>1156</v>
      </c>
      <c r="D274" s="19">
        <v>3843.13</v>
      </c>
      <c r="E274" s="10" t="s">
        <v>109</v>
      </c>
      <c r="F274" s="10" t="s">
        <v>108</v>
      </c>
      <c r="G274" s="19">
        <f>IFERROR(INDEX(Orders!$H$2:$H$401,MATCH(B274,Orders!$A$2:$A$401,0)),"")</f>
        <v>3843.13</v>
      </c>
      <c r="H274" s="10" t="str">
        <f t="shared" si="4"/>
        <v>2025-11</v>
      </c>
      <c r="I274" s="10" t="str">
        <f>IFERROR(INDEX(Orders!$F$2:$F$401,MATCH(B274,Orders!$A$2:$A$401,0)),"")</f>
        <v>Delivered</v>
      </c>
    </row>
    <row r="275" spans="1:9" ht="15" customHeight="1" x14ac:dyDescent="0.25">
      <c r="A275" s="10">
        <v>274</v>
      </c>
      <c r="B275" s="10">
        <v>317</v>
      </c>
      <c r="C275" s="10" t="s">
        <v>1340</v>
      </c>
      <c r="D275" s="19">
        <v>812.81</v>
      </c>
      <c r="E275" s="10" t="s">
        <v>111</v>
      </c>
      <c r="F275" s="10" t="s">
        <v>110</v>
      </c>
      <c r="G275" s="19">
        <f>IFERROR(INDEX(Orders!$H$2:$H$401,MATCH(B275,Orders!$A$2:$A$401,0)),"")</f>
        <v>812.81400000000008</v>
      </c>
      <c r="H275" s="10" t="str">
        <f t="shared" si="4"/>
        <v>2023-11</v>
      </c>
      <c r="I275" s="10" t="str">
        <f>IFERROR(INDEX(Orders!$F$2:$F$401,MATCH(B275,Orders!$A$2:$A$401,0)),"")</f>
        <v>Returned</v>
      </c>
    </row>
    <row r="276" spans="1:9" ht="15" customHeight="1" x14ac:dyDescent="0.25">
      <c r="A276" s="10">
        <v>275</v>
      </c>
      <c r="B276" s="10">
        <v>319</v>
      </c>
      <c r="C276" s="10" t="s">
        <v>845</v>
      </c>
      <c r="D276" s="19">
        <v>9044.84</v>
      </c>
      <c r="E276" s="10" t="s">
        <v>112</v>
      </c>
      <c r="F276" s="10" t="s">
        <v>110</v>
      </c>
      <c r="G276" s="19">
        <f>IFERROR(INDEX(Orders!$H$2:$H$401,MATCH(B276,Orders!$A$2:$A$401,0)),"")</f>
        <v>9044.8399999999983</v>
      </c>
      <c r="H276" s="10" t="str">
        <f t="shared" si="4"/>
        <v>2025-03</v>
      </c>
      <c r="I276" s="10" t="str">
        <f>IFERROR(INDEX(Orders!$F$2:$F$401,MATCH(B276,Orders!$A$2:$A$401,0)),"")</f>
        <v>Returned</v>
      </c>
    </row>
    <row r="277" spans="1:9" ht="15" customHeight="1" x14ac:dyDescent="0.25">
      <c r="A277" s="10">
        <v>276</v>
      </c>
      <c r="B277" s="10">
        <v>320</v>
      </c>
      <c r="C277" s="10" t="s">
        <v>1341</v>
      </c>
      <c r="D277" s="19">
        <v>7065.08</v>
      </c>
      <c r="E277" s="10" t="s">
        <v>112</v>
      </c>
      <c r="F277" s="10" t="s">
        <v>108</v>
      </c>
      <c r="G277" s="19">
        <f>IFERROR(INDEX(Orders!$H$2:$H$401,MATCH(B277,Orders!$A$2:$A$401,0)),"")</f>
        <v>7065.0749999999998</v>
      </c>
      <c r="H277" s="10" t="str">
        <f t="shared" si="4"/>
        <v>2024-07</v>
      </c>
      <c r="I277" s="10" t="str">
        <f>IFERROR(INDEX(Orders!$F$2:$F$401,MATCH(B277,Orders!$A$2:$A$401,0)),"")</f>
        <v>Pending</v>
      </c>
    </row>
    <row r="278" spans="1:9" ht="15" customHeight="1" x14ac:dyDescent="0.25">
      <c r="A278" s="10">
        <v>277</v>
      </c>
      <c r="B278" s="10">
        <v>321</v>
      </c>
      <c r="C278" s="10" t="s">
        <v>1159</v>
      </c>
      <c r="D278" s="19">
        <v>961.2</v>
      </c>
      <c r="E278" s="10" t="s">
        <v>113</v>
      </c>
      <c r="F278" s="10" t="s">
        <v>108</v>
      </c>
      <c r="G278" s="19">
        <f>IFERROR(INDEX(Orders!$H$2:$H$401,MATCH(B278,Orders!$A$2:$A$401,0)),"")</f>
        <v>961.2</v>
      </c>
      <c r="H278" s="10" t="str">
        <f t="shared" si="4"/>
        <v>2024-10</v>
      </c>
      <c r="I278" s="10" t="str">
        <f>IFERROR(INDEX(Orders!$F$2:$F$401,MATCH(B278,Orders!$A$2:$A$401,0)),"")</f>
        <v>Delivered</v>
      </c>
    </row>
    <row r="279" spans="1:9" ht="15" customHeight="1" x14ac:dyDescent="0.25">
      <c r="A279" s="10">
        <v>278</v>
      </c>
      <c r="B279" s="10">
        <v>322</v>
      </c>
      <c r="C279" s="10" t="s">
        <v>1161</v>
      </c>
      <c r="D279" s="19">
        <v>585.29999999999995</v>
      </c>
      <c r="E279" s="10" t="s">
        <v>111</v>
      </c>
      <c r="F279" s="10" t="s">
        <v>108</v>
      </c>
      <c r="G279" s="19">
        <f>IFERROR(INDEX(Orders!$H$2:$H$401,MATCH(B279,Orders!$A$2:$A$401,0)),"")</f>
        <v>585.29999999999995</v>
      </c>
      <c r="H279" s="10" t="str">
        <f t="shared" si="4"/>
        <v>2024-08</v>
      </c>
      <c r="I279" s="10" t="str">
        <f>IFERROR(INDEX(Orders!$F$2:$F$401,MATCH(B279,Orders!$A$2:$A$401,0)),"")</f>
        <v>Shipped</v>
      </c>
    </row>
    <row r="280" spans="1:9" ht="15" customHeight="1" x14ac:dyDescent="0.25">
      <c r="A280" s="10">
        <v>279</v>
      </c>
      <c r="B280" s="10">
        <v>323</v>
      </c>
      <c r="C280" s="10" t="s">
        <v>1167</v>
      </c>
      <c r="D280" s="19">
        <v>2171.36</v>
      </c>
      <c r="E280" s="10" t="s">
        <v>112</v>
      </c>
      <c r="F280" s="10" t="s">
        <v>108</v>
      </c>
      <c r="G280" s="19">
        <f>IFERROR(INDEX(Orders!$H$2:$H$401,MATCH(B280,Orders!$A$2:$A$401,0)),"")</f>
        <v>2171.3615</v>
      </c>
      <c r="H280" s="10" t="str">
        <f t="shared" si="4"/>
        <v>2023-09</v>
      </c>
      <c r="I280" s="10" t="str">
        <f>IFERROR(INDEX(Orders!$F$2:$F$401,MATCH(B280,Orders!$A$2:$A$401,0)),"")</f>
        <v>Delivered</v>
      </c>
    </row>
    <row r="281" spans="1:9" ht="15" customHeight="1" x14ac:dyDescent="0.25">
      <c r="A281" s="10">
        <v>280</v>
      </c>
      <c r="B281" s="10">
        <v>324</v>
      </c>
      <c r="C281" s="10" t="s">
        <v>759</v>
      </c>
      <c r="D281" s="19">
        <v>2765.18</v>
      </c>
      <c r="E281" s="10" t="s">
        <v>109</v>
      </c>
      <c r="F281" s="10" t="s">
        <v>108</v>
      </c>
      <c r="G281" s="19">
        <f>IFERROR(INDEX(Orders!$H$2:$H$401,MATCH(B281,Orders!$A$2:$A$401,0)),"")</f>
        <v>2765.18</v>
      </c>
      <c r="H281" s="10" t="str">
        <f t="shared" si="4"/>
        <v>2024-10</v>
      </c>
      <c r="I281" s="10" t="str">
        <f>IFERROR(INDEX(Orders!$F$2:$F$401,MATCH(B281,Orders!$A$2:$A$401,0)),"")</f>
        <v>Shipped</v>
      </c>
    </row>
    <row r="282" spans="1:9" ht="15" customHeight="1" x14ac:dyDescent="0.25">
      <c r="A282" s="10">
        <v>281</v>
      </c>
      <c r="B282" s="10">
        <v>325</v>
      </c>
      <c r="C282" s="10" t="s">
        <v>1099</v>
      </c>
      <c r="D282" s="19">
        <v>3845.07</v>
      </c>
      <c r="E282" s="10" t="s">
        <v>113</v>
      </c>
      <c r="F282" s="10" t="s">
        <v>108</v>
      </c>
      <c r="G282" s="19">
        <f>IFERROR(INDEX(Orders!$H$2:$H$401,MATCH(B282,Orders!$A$2:$A$401,0)),"")</f>
        <v>3845.07</v>
      </c>
      <c r="H282" s="10" t="str">
        <f t="shared" si="4"/>
        <v>2025-03</v>
      </c>
      <c r="I282" s="10" t="str">
        <f>IFERROR(INDEX(Orders!$F$2:$F$401,MATCH(B282,Orders!$A$2:$A$401,0)),"")</f>
        <v>Delivered</v>
      </c>
    </row>
    <row r="283" spans="1:9" ht="15" customHeight="1" x14ac:dyDescent="0.25">
      <c r="A283" s="10">
        <v>282</v>
      </c>
      <c r="B283" s="10">
        <v>326</v>
      </c>
      <c r="C283" s="10" t="s">
        <v>794</v>
      </c>
      <c r="D283" s="19">
        <v>6675.88</v>
      </c>
      <c r="E283" s="10" t="s">
        <v>109</v>
      </c>
      <c r="F283" s="10" t="s">
        <v>108</v>
      </c>
      <c r="G283" s="19">
        <f>IFERROR(INDEX(Orders!$H$2:$H$401,MATCH(B283,Orders!$A$2:$A$401,0)),"")</f>
        <v>6675.8784999999998</v>
      </c>
      <c r="H283" s="10" t="str">
        <f t="shared" si="4"/>
        <v>2023-08</v>
      </c>
      <c r="I283" s="10" t="str">
        <f>IFERROR(INDEX(Orders!$F$2:$F$401,MATCH(B283,Orders!$A$2:$A$401,0)),"")</f>
        <v>Delivered</v>
      </c>
    </row>
    <row r="284" spans="1:9" ht="15" customHeight="1" x14ac:dyDescent="0.25">
      <c r="A284" s="10">
        <v>283</v>
      </c>
      <c r="B284" s="10">
        <v>328</v>
      </c>
      <c r="C284" s="10" t="s">
        <v>1342</v>
      </c>
      <c r="D284" s="19">
        <v>7123.18</v>
      </c>
      <c r="E284" s="10" t="s">
        <v>111</v>
      </c>
      <c r="F284" s="10" t="s">
        <v>16</v>
      </c>
      <c r="G284" s="19">
        <f>IFERROR(INDEX(Orders!$H$2:$H$401,MATCH(B284,Orders!$A$2:$A$401,0)),"")</f>
        <v>7123.18</v>
      </c>
      <c r="H284" s="10" t="str">
        <f t="shared" si="4"/>
        <v>2023-09</v>
      </c>
      <c r="I284" s="10" t="str">
        <f>IFERROR(INDEX(Orders!$F$2:$F$401,MATCH(B284,Orders!$A$2:$A$401,0)),"")</f>
        <v>Pending</v>
      </c>
    </row>
    <row r="285" spans="1:9" ht="15" customHeight="1" x14ac:dyDescent="0.25">
      <c r="A285" s="10">
        <v>284</v>
      </c>
      <c r="B285" s="10">
        <v>329</v>
      </c>
      <c r="C285" s="10" t="s">
        <v>1168</v>
      </c>
      <c r="D285" s="19">
        <v>3015.3</v>
      </c>
      <c r="E285" s="10" t="s">
        <v>113</v>
      </c>
      <c r="F285" s="10" t="s">
        <v>108</v>
      </c>
      <c r="G285" s="19">
        <f>IFERROR(INDEX(Orders!$H$2:$H$401,MATCH(B285,Orders!$A$2:$A$401,0)),"")</f>
        <v>3015.2999999999997</v>
      </c>
      <c r="H285" s="10" t="str">
        <f t="shared" si="4"/>
        <v>2025-02</v>
      </c>
      <c r="I285" s="10" t="str">
        <f>IFERROR(INDEX(Orders!$F$2:$F$401,MATCH(B285,Orders!$A$2:$A$401,0)),"")</f>
        <v>Delivered</v>
      </c>
    </row>
    <row r="286" spans="1:9" ht="15" customHeight="1" x14ac:dyDescent="0.25">
      <c r="A286" s="10">
        <v>285</v>
      </c>
      <c r="B286" s="10">
        <v>330</v>
      </c>
      <c r="C286" s="10" t="s">
        <v>1343</v>
      </c>
      <c r="D286" s="19">
        <v>4281.29</v>
      </c>
      <c r="E286" s="10" t="s">
        <v>109</v>
      </c>
      <c r="F286" s="10" t="s">
        <v>108</v>
      </c>
      <c r="G286" s="19">
        <f>IFERROR(INDEX(Orders!$H$2:$H$401,MATCH(B286,Orders!$A$2:$A$401,0)),"")</f>
        <v>4281.290500000001</v>
      </c>
      <c r="H286" s="10" t="str">
        <f t="shared" si="4"/>
        <v>2023-10</v>
      </c>
      <c r="I286" s="10" t="str">
        <f>IFERROR(INDEX(Orders!$F$2:$F$401,MATCH(B286,Orders!$A$2:$A$401,0)),"")</f>
        <v>Delivered</v>
      </c>
    </row>
    <row r="287" spans="1:9" ht="15" customHeight="1" x14ac:dyDescent="0.25">
      <c r="A287" s="10">
        <v>286</v>
      </c>
      <c r="B287" s="10">
        <v>331</v>
      </c>
      <c r="C287" s="10" t="s">
        <v>1344</v>
      </c>
      <c r="D287" s="19">
        <v>8921.35</v>
      </c>
      <c r="E287" s="10" t="s">
        <v>109</v>
      </c>
      <c r="F287" s="10" t="s">
        <v>110</v>
      </c>
      <c r="G287" s="19">
        <f>IFERROR(INDEX(Orders!$H$2:$H$401,MATCH(B287,Orders!$A$2:$A$401,0)),"")</f>
        <v>8921.3559999999998</v>
      </c>
      <c r="H287" s="10" t="str">
        <f t="shared" si="4"/>
        <v>2024-03</v>
      </c>
      <c r="I287" s="10" t="str">
        <f>IFERROR(INDEX(Orders!$F$2:$F$401,MATCH(B287,Orders!$A$2:$A$401,0)),"")</f>
        <v>Returned</v>
      </c>
    </row>
    <row r="288" spans="1:9" ht="15" customHeight="1" x14ac:dyDescent="0.25">
      <c r="A288" s="10">
        <v>287</v>
      </c>
      <c r="B288" s="10">
        <v>332</v>
      </c>
      <c r="C288" s="10" t="s">
        <v>1345</v>
      </c>
      <c r="D288" s="19">
        <v>6770.12</v>
      </c>
      <c r="E288" s="10" t="s">
        <v>109</v>
      </c>
      <c r="F288" s="10" t="s">
        <v>108</v>
      </c>
      <c r="G288" s="19">
        <f>IFERROR(INDEX(Orders!$H$2:$H$401,MATCH(B288,Orders!$A$2:$A$401,0)),"")</f>
        <v>6770.1119999999992</v>
      </c>
      <c r="H288" s="10" t="str">
        <f t="shared" si="4"/>
        <v>2023-05</v>
      </c>
      <c r="I288" s="10" t="str">
        <f>IFERROR(INDEX(Orders!$F$2:$F$401,MATCH(B288,Orders!$A$2:$A$401,0)),"")</f>
        <v>Delivered</v>
      </c>
    </row>
    <row r="289" spans="1:9" ht="15" customHeight="1" x14ac:dyDescent="0.25">
      <c r="A289" s="10">
        <v>288</v>
      </c>
      <c r="B289" s="10">
        <v>333</v>
      </c>
      <c r="C289" s="10" t="s">
        <v>1346</v>
      </c>
      <c r="D289" s="19">
        <v>2358.09</v>
      </c>
      <c r="E289" s="10" t="s">
        <v>113</v>
      </c>
      <c r="F289" s="10" t="s">
        <v>108</v>
      </c>
      <c r="G289" s="19">
        <f>IFERROR(INDEX(Orders!$H$2:$H$401,MATCH(B289,Orders!$A$2:$A$401,0)),"")</f>
        <v>2358.0930000000003</v>
      </c>
      <c r="H289" s="10" t="str">
        <f t="shared" si="4"/>
        <v>2024-11</v>
      </c>
      <c r="I289" s="10" t="str">
        <f>IFERROR(INDEX(Orders!$F$2:$F$401,MATCH(B289,Orders!$A$2:$A$401,0)),"")</f>
        <v>Delivered</v>
      </c>
    </row>
    <row r="290" spans="1:9" ht="15" customHeight="1" x14ac:dyDescent="0.25">
      <c r="A290" s="10">
        <v>289</v>
      </c>
      <c r="B290" s="10">
        <v>334</v>
      </c>
      <c r="C290" s="10" t="s">
        <v>462</v>
      </c>
      <c r="D290" s="19">
        <v>223.75</v>
      </c>
      <c r="E290" s="10" t="s">
        <v>112</v>
      </c>
      <c r="F290" s="10" t="s">
        <v>108</v>
      </c>
      <c r="G290" s="19">
        <f>IFERROR(INDEX(Orders!$H$2:$H$401,MATCH(B290,Orders!$A$2:$A$401,0)),"")</f>
        <v>223.75</v>
      </c>
      <c r="H290" s="10" t="str">
        <f t="shared" si="4"/>
        <v>2023-10</v>
      </c>
      <c r="I290" s="10" t="str">
        <f>IFERROR(INDEX(Orders!$F$2:$F$401,MATCH(B290,Orders!$A$2:$A$401,0)),"")</f>
        <v>Delivered</v>
      </c>
    </row>
    <row r="291" spans="1:9" ht="15" customHeight="1" x14ac:dyDescent="0.25">
      <c r="A291" s="10">
        <v>290</v>
      </c>
      <c r="B291" s="10">
        <v>335</v>
      </c>
      <c r="C291" s="10" t="s">
        <v>1175</v>
      </c>
      <c r="D291" s="19">
        <v>4820.59</v>
      </c>
      <c r="E291" s="10" t="s">
        <v>109</v>
      </c>
      <c r="F291" s="10" t="s">
        <v>108</v>
      </c>
      <c r="G291" s="19">
        <f>IFERROR(INDEX(Orders!$H$2:$H$401,MATCH(B291,Orders!$A$2:$A$401,0)),"")</f>
        <v>4820.5959999999995</v>
      </c>
      <c r="H291" s="10" t="str">
        <f t="shared" si="4"/>
        <v>2023-09</v>
      </c>
      <c r="I291" s="10" t="str">
        <f>IFERROR(INDEX(Orders!$F$2:$F$401,MATCH(B291,Orders!$A$2:$A$401,0)),"")</f>
        <v>Delivered</v>
      </c>
    </row>
    <row r="292" spans="1:9" ht="15" customHeight="1" x14ac:dyDescent="0.25">
      <c r="A292" s="10">
        <v>291</v>
      </c>
      <c r="B292" s="10">
        <v>336</v>
      </c>
      <c r="C292" s="10" t="s">
        <v>1347</v>
      </c>
      <c r="D292" s="19">
        <v>1693.32</v>
      </c>
      <c r="E292" s="10" t="s">
        <v>113</v>
      </c>
      <c r="F292" s="10" t="s">
        <v>108</v>
      </c>
      <c r="G292" s="19">
        <f>IFERROR(INDEX(Orders!$H$2:$H$401,MATCH(B292,Orders!$A$2:$A$401,0)),"")</f>
        <v>1693.3240000000001</v>
      </c>
      <c r="H292" s="10" t="str">
        <f t="shared" si="4"/>
        <v>2024-02</v>
      </c>
      <c r="I292" s="10" t="str">
        <f>IFERROR(INDEX(Orders!$F$2:$F$401,MATCH(B292,Orders!$A$2:$A$401,0)),"")</f>
        <v>Delivered</v>
      </c>
    </row>
    <row r="293" spans="1:9" ht="15" customHeight="1" x14ac:dyDescent="0.25">
      <c r="A293" s="10">
        <v>292</v>
      </c>
      <c r="B293" s="10">
        <v>337</v>
      </c>
      <c r="C293" s="10" t="s">
        <v>1178</v>
      </c>
      <c r="D293" s="19">
        <v>5834.4</v>
      </c>
      <c r="E293" s="10" t="s">
        <v>109</v>
      </c>
      <c r="F293" s="10" t="s">
        <v>108</v>
      </c>
      <c r="G293" s="19">
        <f>IFERROR(INDEX(Orders!$H$2:$H$401,MATCH(B293,Orders!$A$2:$A$401,0)),"")</f>
        <v>5834.398000000001</v>
      </c>
      <c r="H293" s="10" t="str">
        <f t="shared" si="4"/>
        <v>2023-03</v>
      </c>
      <c r="I293" s="10" t="str">
        <f>IFERROR(INDEX(Orders!$F$2:$F$401,MATCH(B293,Orders!$A$2:$A$401,0)),"")</f>
        <v>Delivered</v>
      </c>
    </row>
    <row r="294" spans="1:9" ht="15" customHeight="1" x14ac:dyDescent="0.25">
      <c r="A294" s="10">
        <v>293</v>
      </c>
      <c r="B294" s="10">
        <v>338</v>
      </c>
      <c r="C294" s="10" t="s">
        <v>948</v>
      </c>
      <c r="D294" s="19">
        <v>1343.82</v>
      </c>
      <c r="E294" s="10" t="s">
        <v>112</v>
      </c>
      <c r="F294" s="10" t="s">
        <v>108</v>
      </c>
      <c r="G294" s="19">
        <f>IFERROR(INDEX(Orders!$H$2:$H$401,MATCH(B294,Orders!$A$2:$A$401,0)),"")</f>
        <v>1343.816</v>
      </c>
      <c r="H294" s="10" t="str">
        <f t="shared" si="4"/>
        <v>2023-11</v>
      </c>
      <c r="I294" s="10" t="str">
        <f>IFERROR(INDEX(Orders!$F$2:$F$401,MATCH(B294,Orders!$A$2:$A$401,0)),"")</f>
        <v>Delivered</v>
      </c>
    </row>
    <row r="295" spans="1:9" ht="15" customHeight="1" x14ac:dyDescent="0.25">
      <c r="A295" s="10">
        <v>294</v>
      </c>
      <c r="B295" s="10">
        <v>339</v>
      </c>
      <c r="C295" s="10" t="s">
        <v>883</v>
      </c>
      <c r="D295" s="19">
        <v>2372.0500000000002</v>
      </c>
      <c r="E295" s="10" t="s">
        <v>109</v>
      </c>
      <c r="F295" s="10" t="s">
        <v>108</v>
      </c>
      <c r="G295" s="19">
        <f>IFERROR(INDEX(Orders!$H$2:$H$401,MATCH(B295,Orders!$A$2:$A$401,0)),"")</f>
        <v>2372.0500000000002</v>
      </c>
      <c r="H295" s="10" t="str">
        <f t="shared" si="4"/>
        <v>2024-10</v>
      </c>
      <c r="I295" s="10" t="str">
        <f>IFERROR(INDEX(Orders!$F$2:$F$401,MATCH(B295,Orders!$A$2:$A$401,0)),"")</f>
        <v>Delivered</v>
      </c>
    </row>
    <row r="296" spans="1:9" ht="15" customHeight="1" x14ac:dyDescent="0.25">
      <c r="A296" s="10">
        <v>295</v>
      </c>
      <c r="B296" s="10">
        <v>341</v>
      </c>
      <c r="C296" s="10" t="s">
        <v>748</v>
      </c>
      <c r="D296" s="19">
        <v>4664</v>
      </c>
      <c r="E296" s="10" t="s">
        <v>113</v>
      </c>
      <c r="F296" s="10" t="s">
        <v>108</v>
      </c>
      <c r="G296" s="19">
        <f>IFERROR(INDEX(Orders!$H$2:$H$401,MATCH(B296,Orders!$A$2:$A$401,0)),"")</f>
        <v>4664</v>
      </c>
      <c r="H296" s="10" t="str">
        <f t="shared" si="4"/>
        <v>2025-01</v>
      </c>
      <c r="I296" s="10" t="str">
        <f>IFERROR(INDEX(Orders!$F$2:$F$401,MATCH(B296,Orders!$A$2:$A$401,0)),"")</f>
        <v>Shipped</v>
      </c>
    </row>
    <row r="297" spans="1:9" ht="15" customHeight="1" x14ac:dyDescent="0.25">
      <c r="A297" s="10">
        <v>296</v>
      </c>
      <c r="B297" s="10">
        <v>342</v>
      </c>
      <c r="C297" s="10" t="s">
        <v>967</v>
      </c>
      <c r="D297" s="19">
        <v>6576.46</v>
      </c>
      <c r="E297" s="10" t="s">
        <v>113</v>
      </c>
      <c r="F297" s="10" t="s">
        <v>16</v>
      </c>
      <c r="G297" s="19">
        <f>IFERROR(INDEX(Orders!$H$2:$H$401,MATCH(B297,Orders!$A$2:$A$401,0)),"")</f>
        <v>6576.46</v>
      </c>
      <c r="H297" s="10" t="str">
        <f t="shared" si="4"/>
        <v>2023-12</v>
      </c>
      <c r="I297" s="10" t="str">
        <f>IFERROR(INDEX(Orders!$F$2:$F$401,MATCH(B297,Orders!$A$2:$A$401,0)),"")</f>
        <v>Pending</v>
      </c>
    </row>
    <row r="298" spans="1:9" ht="15" customHeight="1" x14ac:dyDescent="0.25">
      <c r="A298" s="10">
        <v>297</v>
      </c>
      <c r="B298" s="10">
        <v>343</v>
      </c>
      <c r="C298" s="10" t="s">
        <v>409</v>
      </c>
      <c r="D298" s="19">
        <v>15626.39</v>
      </c>
      <c r="E298" s="10" t="s">
        <v>109</v>
      </c>
      <c r="F298" s="10" t="s">
        <v>108</v>
      </c>
      <c r="G298" s="19">
        <f>IFERROR(INDEX(Orders!$H$2:$H$401,MATCH(B298,Orders!$A$2:$A$401,0)),"")</f>
        <v>15626.39</v>
      </c>
      <c r="H298" s="10" t="str">
        <f t="shared" si="4"/>
        <v>2025-09</v>
      </c>
      <c r="I298" s="10" t="str">
        <f>IFERROR(INDEX(Orders!$F$2:$F$401,MATCH(B298,Orders!$A$2:$A$401,0)),"")</f>
        <v>Returned</v>
      </c>
    </row>
    <row r="299" spans="1:9" ht="15" customHeight="1" x14ac:dyDescent="0.25">
      <c r="A299" s="10">
        <v>298</v>
      </c>
      <c r="B299" s="10">
        <v>344</v>
      </c>
      <c r="C299" s="10" t="s">
        <v>1030</v>
      </c>
      <c r="D299" s="19">
        <v>4041.44</v>
      </c>
      <c r="E299" s="10" t="s">
        <v>112</v>
      </c>
      <c r="F299" s="10" t="s">
        <v>108</v>
      </c>
      <c r="G299" s="19">
        <f>IFERROR(INDEX(Orders!$H$2:$H$401,MATCH(B299,Orders!$A$2:$A$401,0)),"")</f>
        <v>4041.4350000000004</v>
      </c>
      <c r="H299" s="10" t="str">
        <f t="shared" si="4"/>
        <v>2025-09</v>
      </c>
      <c r="I299" s="10" t="str">
        <f>IFERROR(INDEX(Orders!$F$2:$F$401,MATCH(B299,Orders!$A$2:$A$401,0)),"")</f>
        <v>Delivered</v>
      </c>
    </row>
    <row r="300" spans="1:9" ht="15" customHeight="1" x14ac:dyDescent="0.25">
      <c r="A300" s="10">
        <v>299</v>
      </c>
      <c r="B300" s="10">
        <v>345</v>
      </c>
      <c r="C300" s="10" t="s">
        <v>1348</v>
      </c>
      <c r="D300" s="19">
        <v>2213.14</v>
      </c>
      <c r="E300" s="10" t="s">
        <v>113</v>
      </c>
      <c r="F300" s="10" t="s">
        <v>108</v>
      </c>
      <c r="G300" s="19">
        <f>IFERROR(INDEX(Orders!$H$2:$H$401,MATCH(B300,Orders!$A$2:$A$401,0)),"")</f>
        <v>2213.145</v>
      </c>
      <c r="H300" s="10" t="str">
        <f t="shared" si="4"/>
        <v>2023-07</v>
      </c>
      <c r="I300" s="10" t="str">
        <f>IFERROR(INDEX(Orders!$F$2:$F$401,MATCH(B300,Orders!$A$2:$A$401,0)),"")</f>
        <v>Delivered</v>
      </c>
    </row>
    <row r="301" spans="1:9" ht="15" customHeight="1" x14ac:dyDescent="0.25">
      <c r="A301" s="10">
        <v>300</v>
      </c>
      <c r="B301" s="10">
        <v>346</v>
      </c>
      <c r="C301" s="10" t="s">
        <v>1349</v>
      </c>
      <c r="D301" s="19">
        <v>1005.1</v>
      </c>
      <c r="E301" s="10" t="s">
        <v>112</v>
      </c>
      <c r="F301" s="10" t="s">
        <v>108</v>
      </c>
      <c r="G301" s="19">
        <f>IFERROR(INDEX(Orders!$H$2:$H$401,MATCH(B301,Orders!$A$2:$A$401,0)),"")</f>
        <v>1005.0999999999999</v>
      </c>
      <c r="H301" s="10" t="str">
        <f t="shared" si="4"/>
        <v>2025-04</v>
      </c>
      <c r="I301" s="10" t="str">
        <f>IFERROR(INDEX(Orders!$F$2:$F$401,MATCH(B301,Orders!$A$2:$A$401,0)),"")</f>
        <v>Delivered</v>
      </c>
    </row>
    <row r="302" spans="1:9" ht="15" customHeight="1" x14ac:dyDescent="0.25">
      <c r="A302" s="10">
        <v>301</v>
      </c>
      <c r="B302" s="10">
        <v>348</v>
      </c>
      <c r="C302" s="10" t="s">
        <v>1350</v>
      </c>
      <c r="D302" s="19">
        <v>6597.98</v>
      </c>
      <c r="E302" s="10" t="s">
        <v>111</v>
      </c>
      <c r="F302" s="10" t="s">
        <v>108</v>
      </c>
      <c r="G302" s="19">
        <f>IFERROR(INDEX(Orders!$H$2:$H$401,MATCH(B302,Orders!$A$2:$A$401,0)),"")</f>
        <v>6597.98</v>
      </c>
      <c r="H302" s="10" t="str">
        <f t="shared" si="4"/>
        <v>2025-01</v>
      </c>
      <c r="I302" s="10" t="str">
        <f>IFERROR(INDEX(Orders!$F$2:$F$401,MATCH(B302,Orders!$A$2:$A$401,0)),"")</f>
        <v>Pending</v>
      </c>
    </row>
    <row r="303" spans="1:9" ht="15" customHeight="1" x14ac:dyDescent="0.25">
      <c r="A303" s="10">
        <v>302</v>
      </c>
      <c r="B303" s="10">
        <v>350</v>
      </c>
      <c r="C303" s="10" t="s">
        <v>1152</v>
      </c>
      <c r="D303" s="19">
        <v>5389</v>
      </c>
      <c r="E303" s="10" t="s">
        <v>112</v>
      </c>
      <c r="F303" s="10" t="s">
        <v>108</v>
      </c>
      <c r="G303" s="19">
        <f>IFERROR(INDEX(Orders!$H$2:$H$401,MATCH(B303,Orders!$A$2:$A$401,0)),"")</f>
        <v>5389.0050000000001</v>
      </c>
      <c r="H303" s="10" t="str">
        <f t="shared" si="4"/>
        <v>2025-10</v>
      </c>
      <c r="I303" s="10" t="str">
        <f>IFERROR(INDEX(Orders!$F$2:$F$401,MATCH(B303,Orders!$A$2:$A$401,0)),"")</f>
        <v>Delivered</v>
      </c>
    </row>
    <row r="304" spans="1:9" ht="15" customHeight="1" x14ac:dyDescent="0.25">
      <c r="A304" s="10">
        <v>303</v>
      </c>
      <c r="B304" s="10">
        <v>351</v>
      </c>
      <c r="C304" s="10" t="s">
        <v>1192</v>
      </c>
      <c r="D304" s="19">
        <v>874.17</v>
      </c>
      <c r="E304" s="10" t="s">
        <v>111</v>
      </c>
      <c r="F304" s="10" t="s">
        <v>108</v>
      </c>
      <c r="G304" s="19">
        <f>IFERROR(INDEX(Orders!$H$2:$H$401,MATCH(B304,Orders!$A$2:$A$401,0)),"")</f>
        <v>874.17399999999986</v>
      </c>
      <c r="H304" s="10" t="str">
        <f t="shared" si="4"/>
        <v>2025-10</v>
      </c>
      <c r="I304" s="10" t="str">
        <f>IFERROR(INDEX(Orders!$F$2:$F$401,MATCH(B304,Orders!$A$2:$A$401,0)),"")</f>
        <v>Delivered</v>
      </c>
    </row>
    <row r="305" spans="1:9" ht="15" customHeight="1" x14ac:dyDescent="0.25">
      <c r="A305" s="10">
        <v>304</v>
      </c>
      <c r="B305" s="10">
        <v>352</v>
      </c>
      <c r="C305" s="10" t="s">
        <v>1108</v>
      </c>
      <c r="D305" s="19">
        <v>1595.2</v>
      </c>
      <c r="E305" s="10" t="s">
        <v>112</v>
      </c>
      <c r="F305" s="10" t="s">
        <v>108</v>
      </c>
      <c r="G305" s="19">
        <f>IFERROR(INDEX(Orders!$H$2:$H$401,MATCH(B305,Orders!$A$2:$A$401,0)),"")</f>
        <v>1595.193</v>
      </c>
      <c r="H305" s="10" t="str">
        <f t="shared" si="4"/>
        <v>2025-05</v>
      </c>
      <c r="I305" s="10" t="str">
        <f>IFERROR(INDEX(Orders!$F$2:$F$401,MATCH(B305,Orders!$A$2:$A$401,0)),"")</f>
        <v>Returned</v>
      </c>
    </row>
    <row r="306" spans="1:9" ht="15" customHeight="1" x14ac:dyDescent="0.25">
      <c r="A306" s="10">
        <v>305</v>
      </c>
      <c r="B306" s="10">
        <v>353</v>
      </c>
      <c r="C306" s="10" t="s">
        <v>1020</v>
      </c>
      <c r="D306" s="19">
        <v>9139.19</v>
      </c>
      <c r="E306" s="10" t="s">
        <v>111</v>
      </c>
      <c r="F306" s="10" t="s">
        <v>108</v>
      </c>
      <c r="G306" s="19">
        <f>IFERROR(INDEX(Orders!$H$2:$H$401,MATCH(B306,Orders!$A$2:$A$401,0)),"")</f>
        <v>9139.19</v>
      </c>
      <c r="H306" s="10" t="str">
        <f t="shared" si="4"/>
        <v>2025-09</v>
      </c>
      <c r="I306" s="10" t="str">
        <f>IFERROR(INDEX(Orders!$F$2:$F$401,MATCH(B306,Orders!$A$2:$A$401,0)),"")</f>
        <v>Returned</v>
      </c>
    </row>
    <row r="307" spans="1:9" ht="15" customHeight="1" x14ac:dyDescent="0.25">
      <c r="A307" s="10">
        <v>306</v>
      </c>
      <c r="B307" s="10">
        <v>354</v>
      </c>
      <c r="C307" s="10" t="s">
        <v>949</v>
      </c>
      <c r="D307" s="19">
        <v>4382.04</v>
      </c>
      <c r="E307" s="10" t="s">
        <v>112</v>
      </c>
      <c r="F307" s="10" t="s">
        <v>108</v>
      </c>
      <c r="G307" s="19">
        <f>IFERROR(INDEX(Orders!$H$2:$H$401,MATCH(B307,Orders!$A$2:$A$401,0)),"")</f>
        <v>4382.0355</v>
      </c>
      <c r="H307" s="10" t="str">
        <f t="shared" si="4"/>
        <v>2023-11</v>
      </c>
      <c r="I307" s="10" t="str">
        <f>IFERROR(INDEX(Orders!$F$2:$F$401,MATCH(B307,Orders!$A$2:$A$401,0)),"")</f>
        <v>Delivered</v>
      </c>
    </row>
    <row r="308" spans="1:9" ht="15" customHeight="1" x14ac:dyDescent="0.25">
      <c r="A308" s="10">
        <v>307</v>
      </c>
      <c r="B308" s="10">
        <v>355</v>
      </c>
      <c r="C308" s="10" t="s">
        <v>1351</v>
      </c>
      <c r="D308" s="19">
        <v>7705.29</v>
      </c>
      <c r="E308" s="10" t="s">
        <v>111</v>
      </c>
      <c r="F308" s="10" t="s">
        <v>108</v>
      </c>
      <c r="G308" s="19">
        <f>IFERROR(INDEX(Orders!$H$2:$H$401,MATCH(B308,Orders!$A$2:$A$401,0)),"")</f>
        <v>7705.3004999999994</v>
      </c>
      <c r="H308" s="10" t="str">
        <f t="shared" si="4"/>
        <v>2025-02</v>
      </c>
      <c r="I308" s="10" t="str">
        <f>IFERROR(INDEX(Orders!$F$2:$F$401,MATCH(B308,Orders!$A$2:$A$401,0)),"")</f>
        <v>Returned</v>
      </c>
    </row>
    <row r="309" spans="1:9" ht="15" customHeight="1" x14ac:dyDescent="0.25">
      <c r="A309" s="10">
        <v>308</v>
      </c>
      <c r="B309" s="10">
        <v>356</v>
      </c>
      <c r="C309" s="10" t="s">
        <v>1352</v>
      </c>
      <c r="D309" s="19">
        <v>1032.46</v>
      </c>
      <c r="E309" s="10" t="s">
        <v>111</v>
      </c>
      <c r="F309" s="10" t="s">
        <v>108</v>
      </c>
      <c r="G309" s="19">
        <f>IFERROR(INDEX(Orders!$H$2:$H$401,MATCH(B309,Orders!$A$2:$A$401,0)),"")</f>
        <v>1032.4559999999999</v>
      </c>
      <c r="H309" s="10" t="str">
        <f t="shared" si="4"/>
        <v>2024-11</v>
      </c>
      <c r="I309" s="10" t="str">
        <f>IFERROR(INDEX(Orders!$F$2:$F$401,MATCH(B309,Orders!$A$2:$A$401,0)),"")</f>
        <v>Delivered</v>
      </c>
    </row>
    <row r="310" spans="1:9" ht="15" customHeight="1" x14ac:dyDescent="0.25">
      <c r="A310" s="10">
        <v>309</v>
      </c>
      <c r="B310" s="10">
        <v>357</v>
      </c>
      <c r="C310" s="10" t="s">
        <v>914</v>
      </c>
      <c r="D310" s="19">
        <v>5522.67</v>
      </c>
      <c r="E310" s="10" t="s">
        <v>113</v>
      </c>
      <c r="F310" s="10" t="s">
        <v>16</v>
      </c>
      <c r="G310" s="19">
        <f>IFERROR(INDEX(Orders!$H$2:$H$401,MATCH(B310,Orders!$A$2:$A$401,0)),"")</f>
        <v>5522.6660000000011</v>
      </c>
      <c r="H310" s="10" t="str">
        <f t="shared" si="4"/>
        <v>2023-07</v>
      </c>
      <c r="I310" s="10" t="str">
        <f>IFERROR(INDEX(Orders!$F$2:$F$401,MATCH(B310,Orders!$A$2:$A$401,0)),"")</f>
        <v>Pending</v>
      </c>
    </row>
    <row r="311" spans="1:9" ht="15" customHeight="1" x14ac:dyDescent="0.25">
      <c r="A311" s="10">
        <v>310</v>
      </c>
      <c r="B311" s="10">
        <v>359</v>
      </c>
      <c r="C311" s="10" t="s">
        <v>1200</v>
      </c>
      <c r="D311" s="19">
        <v>8691.34</v>
      </c>
      <c r="E311" s="10" t="s">
        <v>109</v>
      </c>
      <c r="F311" s="10" t="s">
        <v>108</v>
      </c>
      <c r="G311" s="19">
        <f>IFERROR(INDEX(Orders!$H$2:$H$401,MATCH(B311,Orders!$A$2:$A$401,0)),"")</f>
        <v>8691.3374999999996</v>
      </c>
      <c r="H311" s="10" t="str">
        <f t="shared" si="4"/>
        <v>2025-05</v>
      </c>
      <c r="I311" s="10" t="str">
        <f>IFERROR(INDEX(Orders!$F$2:$F$401,MATCH(B311,Orders!$A$2:$A$401,0)),"")</f>
        <v>Returned</v>
      </c>
    </row>
    <row r="312" spans="1:9" ht="15" customHeight="1" x14ac:dyDescent="0.25">
      <c r="A312" s="10">
        <v>311</v>
      </c>
      <c r="B312" s="10">
        <v>360</v>
      </c>
      <c r="C312" s="10" t="s">
        <v>1353</v>
      </c>
      <c r="D312" s="19">
        <v>4709.53</v>
      </c>
      <c r="E312" s="10" t="s">
        <v>113</v>
      </c>
      <c r="F312" s="10" t="s">
        <v>108</v>
      </c>
      <c r="G312" s="19">
        <f>IFERROR(INDEX(Orders!$H$2:$H$401,MATCH(B312,Orders!$A$2:$A$401,0)),"")</f>
        <v>4709.53</v>
      </c>
      <c r="H312" s="10" t="str">
        <f t="shared" si="4"/>
        <v>2025-05</v>
      </c>
      <c r="I312" s="10" t="str">
        <f>IFERROR(INDEX(Orders!$F$2:$F$401,MATCH(B312,Orders!$A$2:$A$401,0)),"")</f>
        <v>Delivered</v>
      </c>
    </row>
    <row r="313" spans="1:9" ht="15" customHeight="1" x14ac:dyDescent="0.25">
      <c r="A313" s="10">
        <v>312</v>
      </c>
      <c r="B313" s="10">
        <v>361</v>
      </c>
      <c r="C313" s="10" t="s">
        <v>1354</v>
      </c>
      <c r="D313" s="19">
        <v>4870.3599999999997</v>
      </c>
      <c r="E313" s="10" t="s">
        <v>113</v>
      </c>
      <c r="F313" s="10" t="s">
        <v>108</v>
      </c>
      <c r="G313" s="19">
        <f>IFERROR(INDEX(Orders!$H$2:$H$401,MATCH(B313,Orders!$A$2:$A$401,0)),"")</f>
        <v>4870.3639999999996</v>
      </c>
      <c r="H313" s="10" t="str">
        <f t="shared" si="4"/>
        <v>2023-01</v>
      </c>
      <c r="I313" s="10" t="str">
        <f>IFERROR(INDEX(Orders!$F$2:$F$401,MATCH(B313,Orders!$A$2:$A$401,0)),"")</f>
        <v>Delivered</v>
      </c>
    </row>
    <row r="314" spans="1:9" ht="15" customHeight="1" x14ac:dyDescent="0.25">
      <c r="A314" s="10">
        <v>313</v>
      </c>
      <c r="B314" s="10">
        <v>363</v>
      </c>
      <c r="C314" s="10" t="s">
        <v>1205</v>
      </c>
      <c r="D314" s="19">
        <v>2381.5100000000002</v>
      </c>
      <c r="E314" s="10" t="s">
        <v>111</v>
      </c>
      <c r="F314" s="10" t="s">
        <v>108</v>
      </c>
      <c r="G314" s="19">
        <f>IFERROR(INDEX(Orders!$H$2:$H$401,MATCH(B314,Orders!$A$2:$A$401,0)),"")</f>
        <v>2381.5080000000003</v>
      </c>
      <c r="H314" s="10" t="str">
        <f t="shared" si="4"/>
        <v>2025-01</v>
      </c>
      <c r="I314" s="10" t="str">
        <f>IFERROR(INDEX(Orders!$F$2:$F$401,MATCH(B314,Orders!$A$2:$A$401,0)),"")</f>
        <v>Delivered</v>
      </c>
    </row>
    <row r="315" spans="1:9" ht="15" customHeight="1" x14ac:dyDescent="0.25">
      <c r="A315" s="10">
        <v>314</v>
      </c>
      <c r="B315" s="10">
        <v>364</v>
      </c>
      <c r="C315" s="10" t="s">
        <v>1206</v>
      </c>
      <c r="D315" s="19">
        <v>3064.6</v>
      </c>
      <c r="E315" s="10" t="s">
        <v>111</v>
      </c>
      <c r="F315" s="10" t="s">
        <v>108</v>
      </c>
      <c r="G315" s="19">
        <f>IFERROR(INDEX(Orders!$H$2:$H$401,MATCH(B315,Orders!$A$2:$A$401,0)),"")</f>
        <v>3064.5960000000005</v>
      </c>
      <c r="H315" s="10" t="str">
        <f t="shared" si="4"/>
        <v>2023-12</v>
      </c>
      <c r="I315" s="10" t="str">
        <f>IFERROR(INDEX(Orders!$F$2:$F$401,MATCH(B315,Orders!$A$2:$A$401,0)),"")</f>
        <v>Pending</v>
      </c>
    </row>
    <row r="316" spans="1:9" ht="15" customHeight="1" x14ac:dyDescent="0.25">
      <c r="A316" s="10">
        <v>315</v>
      </c>
      <c r="B316" s="10">
        <v>365</v>
      </c>
      <c r="C316" s="10" t="s">
        <v>761</v>
      </c>
      <c r="D316" s="19">
        <v>1404.3</v>
      </c>
      <c r="E316" s="10" t="s">
        <v>113</v>
      </c>
      <c r="F316" s="10" t="s">
        <v>110</v>
      </c>
      <c r="G316" s="19">
        <f>IFERROR(INDEX(Orders!$H$2:$H$401,MATCH(B316,Orders!$A$2:$A$401,0)),"")</f>
        <v>1404.3030000000001</v>
      </c>
      <c r="H316" s="10" t="str">
        <f t="shared" si="4"/>
        <v>2025-02</v>
      </c>
      <c r="I316" s="10" t="str">
        <f>IFERROR(INDEX(Orders!$F$2:$F$401,MATCH(B316,Orders!$A$2:$A$401,0)),"")</f>
        <v>Returned</v>
      </c>
    </row>
    <row r="317" spans="1:9" ht="15" customHeight="1" x14ac:dyDescent="0.25">
      <c r="A317" s="10">
        <v>316</v>
      </c>
      <c r="B317" s="10">
        <v>366</v>
      </c>
      <c r="C317" s="10" t="s">
        <v>1144</v>
      </c>
      <c r="D317" s="19">
        <v>3740.92</v>
      </c>
      <c r="E317" s="10" t="s">
        <v>111</v>
      </c>
      <c r="F317" s="10" t="s">
        <v>108</v>
      </c>
      <c r="G317" s="19">
        <f>IFERROR(INDEX(Orders!$H$2:$H$401,MATCH(B317,Orders!$A$2:$A$401,0)),"")</f>
        <v>3740.9279999999999</v>
      </c>
      <c r="H317" s="10" t="str">
        <f t="shared" si="4"/>
        <v>2023-08</v>
      </c>
      <c r="I317" s="10" t="str">
        <f>IFERROR(INDEX(Orders!$F$2:$F$401,MATCH(B317,Orders!$A$2:$A$401,0)),"")</f>
        <v>Delivered</v>
      </c>
    </row>
    <row r="318" spans="1:9" ht="15" customHeight="1" x14ac:dyDescent="0.25">
      <c r="A318" s="10">
        <v>317</v>
      </c>
      <c r="B318" s="10">
        <v>367</v>
      </c>
      <c r="C318" s="10" t="s">
        <v>923</v>
      </c>
      <c r="D318" s="19">
        <v>3462.92</v>
      </c>
      <c r="E318" s="10" t="s">
        <v>113</v>
      </c>
      <c r="F318" s="10" t="s">
        <v>108</v>
      </c>
      <c r="G318" s="19">
        <f>IFERROR(INDEX(Orders!$H$2:$H$401,MATCH(B318,Orders!$A$2:$A$401,0)),"")</f>
        <v>3462.92</v>
      </c>
      <c r="H318" s="10" t="str">
        <f t="shared" si="4"/>
        <v>2023-02</v>
      </c>
      <c r="I318" s="10" t="str">
        <f>IFERROR(INDEX(Orders!$F$2:$F$401,MATCH(B318,Orders!$A$2:$A$401,0)),"")</f>
        <v>Delivered</v>
      </c>
    </row>
    <row r="319" spans="1:9" ht="15" customHeight="1" x14ac:dyDescent="0.25">
      <c r="A319" s="10">
        <v>318</v>
      </c>
      <c r="B319" s="10">
        <v>368</v>
      </c>
      <c r="C319" s="10" t="s">
        <v>1287</v>
      </c>
      <c r="D319" s="19">
        <v>524.16</v>
      </c>
      <c r="E319" s="10" t="s">
        <v>109</v>
      </c>
      <c r="F319" s="10" t="s">
        <v>108</v>
      </c>
      <c r="G319" s="19">
        <f>IFERROR(INDEX(Orders!$H$2:$H$401,MATCH(B319,Orders!$A$2:$A$401,0)),"")</f>
        <v>524.16</v>
      </c>
      <c r="H319" s="10" t="str">
        <f t="shared" si="4"/>
        <v>2023-06</v>
      </c>
      <c r="I319" s="10" t="str">
        <f>IFERROR(INDEX(Orders!$F$2:$F$401,MATCH(B319,Orders!$A$2:$A$401,0)),"")</f>
        <v>Delivered</v>
      </c>
    </row>
    <row r="320" spans="1:9" ht="15" customHeight="1" x14ac:dyDescent="0.25">
      <c r="A320" s="10">
        <v>319</v>
      </c>
      <c r="B320" s="10">
        <v>369</v>
      </c>
      <c r="C320" s="10" t="s">
        <v>288</v>
      </c>
      <c r="D320" s="19">
        <v>130.53</v>
      </c>
      <c r="E320" s="10" t="s">
        <v>111</v>
      </c>
      <c r="F320" s="10" t="s">
        <v>108</v>
      </c>
      <c r="G320" s="19">
        <f>IFERROR(INDEX(Orders!$H$2:$H$401,MATCH(B320,Orders!$A$2:$A$401,0)),"")</f>
        <v>130.52799999999999</v>
      </c>
      <c r="H320" s="10" t="str">
        <f t="shared" si="4"/>
        <v>2024-06</v>
      </c>
      <c r="I320" s="10" t="str">
        <f>IFERROR(INDEX(Orders!$F$2:$F$401,MATCH(B320,Orders!$A$2:$A$401,0)),"")</f>
        <v>Delivered</v>
      </c>
    </row>
    <row r="321" spans="1:9" ht="15" customHeight="1" x14ac:dyDescent="0.25">
      <c r="A321" s="10">
        <v>320</v>
      </c>
      <c r="B321" s="10">
        <v>370</v>
      </c>
      <c r="C321" s="10" t="s">
        <v>1028</v>
      </c>
      <c r="D321" s="19">
        <v>1313.5</v>
      </c>
      <c r="E321" s="10" t="s">
        <v>111</v>
      </c>
      <c r="F321" s="10" t="s">
        <v>16</v>
      </c>
      <c r="G321" s="19">
        <f>IFERROR(INDEX(Orders!$H$2:$H$401,MATCH(B321,Orders!$A$2:$A$401,0)),"")</f>
        <v>1313.5049999999999</v>
      </c>
      <c r="H321" s="10" t="str">
        <f t="shared" si="4"/>
        <v>2024-01</v>
      </c>
      <c r="I321" s="10" t="str">
        <f>IFERROR(INDEX(Orders!$F$2:$F$401,MATCH(B321,Orders!$A$2:$A$401,0)),"")</f>
        <v>Pending</v>
      </c>
    </row>
    <row r="322" spans="1:9" ht="15" customHeight="1" x14ac:dyDescent="0.25">
      <c r="A322" s="10">
        <v>321</v>
      </c>
      <c r="B322" s="10">
        <v>371</v>
      </c>
      <c r="C322" s="10" t="s">
        <v>1155</v>
      </c>
      <c r="D322" s="19">
        <v>923.64</v>
      </c>
      <c r="E322" s="10" t="s">
        <v>112</v>
      </c>
      <c r="F322" s="10" t="s">
        <v>108</v>
      </c>
      <c r="G322" s="19">
        <f>IFERROR(INDEX(Orders!$H$2:$H$401,MATCH(B322,Orders!$A$2:$A$401,0)),"")</f>
        <v>923.64400000000001</v>
      </c>
      <c r="H322" s="10" t="str">
        <f t="shared" ref="H322:H349" si="5">IF(C322="","",TEXT(C322,"YYYY-MM"))</f>
        <v>2025-11</v>
      </c>
      <c r="I322" s="10" t="str">
        <f>IFERROR(INDEX(Orders!$F$2:$F$401,MATCH(B322,Orders!$A$2:$A$401,0)),"")</f>
        <v>Delivered</v>
      </c>
    </row>
    <row r="323" spans="1:9" ht="15" customHeight="1" x14ac:dyDescent="0.25">
      <c r="A323" s="10">
        <v>322</v>
      </c>
      <c r="B323" s="10">
        <v>372</v>
      </c>
      <c r="C323" s="10" t="s">
        <v>1050</v>
      </c>
      <c r="D323" s="19">
        <v>2029.1</v>
      </c>
      <c r="E323" s="10" t="s">
        <v>111</v>
      </c>
      <c r="F323" s="10" t="s">
        <v>108</v>
      </c>
      <c r="G323" s="19">
        <f>IFERROR(INDEX(Orders!$H$2:$H$401,MATCH(B323,Orders!$A$2:$A$401,0)),"")</f>
        <v>2029.1009999999997</v>
      </c>
      <c r="H323" s="10" t="str">
        <f t="shared" si="5"/>
        <v>2023-07</v>
      </c>
      <c r="I323" s="10" t="str">
        <f>IFERROR(INDEX(Orders!$F$2:$F$401,MATCH(B323,Orders!$A$2:$A$401,0)),"")</f>
        <v>Delivered</v>
      </c>
    </row>
    <row r="324" spans="1:9" ht="15" customHeight="1" x14ac:dyDescent="0.25">
      <c r="A324" s="10">
        <v>323</v>
      </c>
      <c r="B324" s="10">
        <v>373</v>
      </c>
      <c r="C324" s="10" t="s">
        <v>1214</v>
      </c>
      <c r="D324" s="19">
        <v>4225.2700000000004</v>
      </c>
      <c r="E324" s="10" t="s">
        <v>113</v>
      </c>
      <c r="F324" s="10" t="s">
        <v>108</v>
      </c>
      <c r="G324" s="19">
        <f>IFERROR(INDEX(Orders!$H$2:$H$401,MATCH(B324,Orders!$A$2:$A$401,0)),"")</f>
        <v>4225.2740000000003</v>
      </c>
      <c r="H324" s="10" t="str">
        <f t="shared" si="5"/>
        <v>2025-04</v>
      </c>
      <c r="I324" s="10" t="str">
        <f>IFERROR(INDEX(Orders!$F$2:$F$401,MATCH(B324,Orders!$A$2:$A$401,0)),"")</f>
        <v>Delivered</v>
      </c>
    </row>
    <row r="325" spans="1:9" ht="15" customHeight="1" x14ac:dyDescent="0.25">
      <c r="A325" s="10">
        <v>324</v>
      </c>
      <c r="B325" s="10">
        <v>374</v>
      </c>
      <c r="C325" s="10" t="s">
        <v>1159</v>
      </c>
      <c r="D325" s="19">
        <v>5288.63</v>
      </c>
      <c r="E325" s="10" t="s">
        <v>109</v>
      </c>
      <c r="F325" s="10" t="s">
        <v>108</v>
      </c>
      <c r="G325" s="19">
        <f>IFERROR(INDEX(Orders!$H$2:$H$401,MATCH(B325,Orders!$A$2:$A$401,0)),"")</f>
        <v>5288.6329999999998</v>
      </c>
      <c r="H325" s="10" t="str">
        <f t="shared" si="5"/>
        <v>2024-10</v>
      </c>
      <c r="I325" s="10" t="str">
        <f>IFERROR(INDEX(Orders!$F$2:$F$401,MATCH(B325,Orders!$A$2:$A$401,0)),"")</f>
        <v>Returned</v>
      </c>
    </row>
    <row r="326" spans="1:9" ht="15" customHeight="1" x14ac:dyDescent="0.25">
      <c r="A326" s="10">
        <v>325</v>
      </c>
      <c r="B326" s="10">
        <v>376</v>
      </c>
      <c r="C326" s="10" t="s">
        <v>1355</v>
      </c>
      <c r="D326" s="19">
        <v>2824.94</v>
      </c>
      <c r="E326" s="10" t="s">
        <v>112</v>
      </c>
      <c r="F326" s="10" t="s">
        <v>108</v>
      </c>
      <c r="G326" s="19">
        <f>IFERROR(INDEX(Orders!$H$2:$H$401,MATCH(B326,Orders!$A$2:$A$401,0)),"")</f>
        <v>2824.9409999999998</v>
      </c>
      <c r="H326" s="10" t="str">
        <f t="shared" si="5"/>
        <v>2024-11</v>
      </c>
      <c r="I326" s="10" t="str">
        <f>IFERROR(INDEX(Orders!$F$2:$F$401,MATCH(B326,Orders!$A$2:$A$401,0)),"")</f>
        <v>Delivered</v>
      </c>
    </row>
    <row r="327" spans="1:9" ht="15" customHeight="1" x14ac:dyDescent="0.25">
      <c r="A327" s="10">
        <v>326</v>
      </c>
      <c r="B327" s="10">
        <v>377</v>
      </c>
      <c r="C327" s="10" t="s">
        <v>1356</v>
      </c>
      <c r="D327" s="19">
        <v>7463.6</v>
      </c>
      <c r="E327" s="10" t="s">
        <v>109</v>
      </c>
      <c r="F327" s="10" t="s">
        <v>108</v>
      </c>
      <c r="G327" s="19">
        <f>IFERROR(INDEX(Orders!$H$2:$H$401,MATCH(B327,Orders!$A$2:$A$401,0)),"")</f>
        <v>7463.5959999999995</v>
      </c>
      <c r="H327" s="10" t="str">
        <f t="shared" si="5"/>
        <v>2025-04</v>
      </c>
      <c r="I327" s="10" t="str">
        <f>IFERROR(INDEX(Orders!$F$2:$F$401,MATCH(B327,Orders!$A$2:$A$401,0)),"")</f>
        <v>Pending</v>
      </c>
    </row>
    <row r="328" spans="1:9" ht="15" customHeight="1" x14ac:dyDescent="0.25">
      <c r="A328" s="10">
        <v>327</v>
      </c>
      <c r="B328" s="10">
        <v>378</v>
      </c>
      <c r="C328" s="10" t="s">
        <v>1357</v>
      </c>
      <c r="D328" s="19">
        <v>9595.1</v>
      </c>
      <c r="E328" s="10" t="s">
        <v>113</v>
      </c>
      <c r="F328" s="10" t="s">
        <v>108</v>
      </c>
      <c r="G328" s="19">
        <f>IFERROR(INDEX(Orders!$H$2:$H$401,MATCH(B328,Orders!$A$2:$A$401,0)),"")</f>
        <v>9595.0960000000014</v>
      </c>
      <c r="H328" s="10" t="str">
        <f t="shared" si="5"/>
        <v>2025-10</v>
      </c>
      <c r="I328" s="10" t="str">
        <f>IFERROR(INDEX(Orders!$F$2:$F$401,MATCH(B328,Orders!$A$2:$A$401,0)),"")</f>
        <v>Delivered</v>
      </c>
    </row>
    <row r="329" spans="1:9" ht="15" customHeight="1" x14ac:dyDescent="0.25">
      <c r="A329" s="10">
        <v>328</v>
      </c>
      <c r="B329" s="10">
        <v>379</v>
      </c>
      <c r="C329" s="10" t="s">
        <v>900</v>
      </c>
      <c r="D329" s="19">
        <v>3288.4</v>
      </c>
      <c r="E329" s="10" t="s">
        <v>113</v>
      </c>
      <c r="F329" s="10" t="s">
        <v>108</v>
      </c>
      <c r="G329" s="19">
        <f>IFERROR(INDEX(Orders!$H$2:$H$401,MATCH(B329,Orders!$A$2:$A$401,0)),"")</f>
        <v>3288.4</v>
      </c>
      <c r="H329" s="10" t="str">
        <f t="shared" si="5"/>
        <v>2024-12</v>
      </c>
      <c r="I329" s="10" t="str">
        <f>IFERROR(INDEX(Orders!$F$2:$F$401,MATCH(B329,Orders!$A$2:$A$401,0)),"")</f>
        <v>Delivered</v>
      </c>
    </row>
    <row r="330" spans="1:9" ht="15" customHeight="1" x14ac:dyDescent="0.25">
      <c r="A330" s="10">
        <v>329</v>
      </c>
      <c r="B330" s="10">
        <v>380</v>
      </c>
      <c r="C330" s="10" t="s">
        <v>1220</v>
      </c>
      <c r="D330" s="19">
        <v>2989.03</v>
      </c>
      <c r="E330" s="10" t="s">
        <v>113</v>
      </c>
      <c r="F330" s="10" t="s">
        <v>108</v>
      </c>
      <c r="G330" s="19">
        <f>IFERROR(INDEX(Orders!$H$2:$H$401,MATCH(B330,Orders!$A$2:$A$401,0)),"")</f>
        <v>2989.0305000000003</v>
      </c>
      <c r="H330" s="10" t="str">
        <f t="shared" si="5"/>
        <v>2023-03</v>
      </c>
      <c r="I330" s="10" t="str">
        <f>IFERROR(INDEX(Orders!$F$2:$F$401,MATCH(B330,Orders!$A$2:$A$401,0)),"")</f>
        <v>Delivered</v>
      </c>
    </row>
    <row r="331" spans="1:9" ht="15" customHeight="1" x14ac:dyDescent="0.25">
      <c r="A331" s="10">
        <v>330</v>
      </c>
      <c r="B331" s="10">
        <v>381</v>
      </c>
      <c r="C331" s="10" t="s">
        <v>1078</v>
      </c>
      <c r="D331" s="19">
        <v>6140.62</v>
      </c>
      <c r="E331" s="10" t="s">
        <v>109</v>
      </c>
      <c r="F331" s="10" t="s">
        <v>108</v>
      </c>
      <c r="G331" s="19">
        <f>IFERROR(INDEX(Orders!$H$2:$H$401,MATCH(B331,Orders!$A$2:$A$401,0)),"")</f>
        <v>6140.625</v>
      </c>
      <c r="H331" s="10" t="str">
        <f t="shared" si="5"/>
        <v>2025-09</v>
      </c>
      <c r="I331" s="10" t="str">
        <f>IFERROR(INDEX(Orders!$F$2:$F$401,MATCH(B331,Orders!$A$2:$A$401,0)),"")</f>
        <v>Delivered</v>
      </c>
    </row>
    <row r="332" spans="1:9" ht="15" customHeight="1" x14ac:dyDescent="0.25">
      <c r="A332" s="10">
        <v>331</v>
      </c>
      <c r="B332" s="10">
        <v>382</v>
      </c>
      <c r="C332" s="10" t="s">
        <v>764</v>
      </c>
      <c r="D332" s="19">
        <v>2269.62</v>
      </c>
      <c r="E332" s="10" t="s">
        <v>112</v>
      </c>
      <c r="F332" s="10" t="s">
        <v>108</v>
      </c>
      <c r="G332" s="19">
        <f>IFERROR(INDEX(Orders!$H$2:$H$401,MATCH(B332,Orders!$A$2:$A$401,0)),"")</f>
        <v>2269.62</v>
      </c>
      <c r="H332" s="10" t="str">
        <f t="shared" si="5"/>
        <v>2024-12</v>
      </c>
      <c r="I332" s="10" t="str">
        <f>IFERROR(INDEX(Orders!$F$2:$F$401,MATCH(B332,Orders!$A$2:$A$401,0)),"")</f>
        <v>Delivered</v>
      </c>
    </row>
    <row r="333" spans="1:9" ht="15" customHeight="1" x14ac:dyDescent="0.25">
      <c r="A333" s="10">
        <v>332</v>
      </c>
      <c r="B333" s="10">
        <v>383</v>
      </c>
      <c r="C333" s="10" t="s">
        <v>991</v>
      </c>
      <c r="D333" s="19">
        <v>500.42</v>
      </c>
      <c r="E333" s="10" t="s">
        <v>109</v>
      </c>
      <c r="F333" s="10" t="s">
        <v>108</v>
      </c>
      <c r="G333" s="19">
        <f>IFERROR(INDEX(Orders!$H$2:$H$401,MATCH(B333,Orders!$A$2:$A$401,0)),"")</f>
        <v>500.416</v>
      </c>
      <c r="H333" s="10" t="str">
        <f t="shared" si="5"/>
        <v>2024-05</v>
      </c>
      <c r="I333" s="10" t="str">
        <f>IFERROR(INDEX(Orders!$F$2:$F$401,MATCH(B333,Orders!$A$2:$A$401,0)),"")</f>
        <v>Delivered</v>
      </c>
    </row>
    <row r="334" spans="1:9" ht="15" customHeight="1" x14ac:dyDescent="0.25">
      <c r="A334" s="10">
        <v>333</v>
      </c>
      <c r="B334" s="10">
        <v>384</v>
      </c>
      <c r="C334" s="10" t="s">
        <v>1358</v>
      </c>
      <c r="D334" s="19">
        <v>5031.7</v>
      </c>
      <c r="E334" s="10" t="s">
        <v>113</v>
      </c>
      <c r="F334" s="10" t="s">
        <v>16</v>
      </c>
      <c r="G334" s="19">
        <f>IFERROR(INDEX(Orders!$H$2:$H$401,MATCH(B334,Orders!$A$2:$A$401,0)),"")</f>
        <v>5031.7035000000005</v>
      </c>
      <c r="H334" s="10" t="str">
        <f t="shared" si="5"/>
        <v>2023-02</v>
      </c>
      <c r="I334" s="10" t="str">
        <f>IFERROR(INDEX(Orders!$F$2:$F$401,MATCH(B334,Orders!$A$2:$A$401,0)),"")</f>
        <v>Pending</v>
      </c>
    </row>
    <row r="335" spans="1:9" ht="15" customHeight="1" x14ac:dyDescent="0.25">
      <c r="A335" s="10">
        <v>334</v>
      </c>
      <c r="B335" s="10">
        <v>385</v>
      </c>
      <c r="C335" s="10" t="s">
        <v>1224</v>
      </c>
      <c r="D335" s="19">
        <v>2033.54</v>
      </c>
      <c r="E335" s="10" t="s">
        <v>111</v>
      </c>
      <c r="F335" s="10" t="s">
        <v>108</v>
      </c>
      <c r="G335" s="19">
        <f>IFERROR(INDEX(Orders!$H$2:$H$401,MATCH(B335,Orders!$A$2:$A$401,0)),"")</f>
        <v>2033.5430000000001</v>
      </c>
      <c r="H335" s="10" t="str">
        <f t="shared" si="5"/>
        <v>2025-09</v>
      </c>
      <c r="I335" s="10" t="str">
        <f>IFERROR(INDEX(Orders!$F$2:$F$401,MATCH(B335,Orders!$A$2:$A$401,0)),"")</f>
        <v>Delivered</v>
      </c>
    </row>
    <row r="336" spans="1:9" ht="15" customHeight="1" x14ac:dyDescent="0.25">
      <c r="A336" s="10">
        <v>335</v>
      </c>
      <c r="B336" s="10">
        <v>386</v>
      </c>
      <c r="C336" s="10" t="s">
        <v>961</v>
      </c>
      <c r="D336" s="19">
        <v>3164.7</v>
      </c>
      <c r="E336" s="10" t="s">
        <v>112</v>
      </c>
      <c r="F336" s="10" t="s">
        <v>108</v>
      </c>
      <c r="G336" s="19">
        <f>IFERROR(INDEX(Orders!$H$2:$H$401,MATCH(B336,Orders!$A$2:$A$401,0)),"")</f>
        <v>3164.7050000000004</v>
      </c>
      <c r="H336" s="10" t="str">
        <f t="shared" si="5"/>
        <v>2023-04</v>
      </c>
      <c r="I336" s="10" t="str">
        <f>IFERROR(INDEX(Orders!$F$2:$F$401,MATCH(B336,Orders!$A$2:$A$401,0)),"")</f>
        <v>Shipped</v>
      </c>
    </row>
    <row r="337" spans="1:9" ht="15" customHeight="1" x14ac:dyDescent="0.25">
      <c r="A337" s="10">
        <v>336</v>
      </c>
      <c r="B337" s="10">
        <v>387</v>
      </c>
      <c r="C337" s="10" t="s">
        <v>1359</v>
      </c>
      <c r="D337" s="19">
        <v>4453.1899999999996</v>
      </c>
      <c r="E337" s="10" t="s">
        <v>112</v>
      </c>
      <c r="F337" s="10" t="s">
        <v>108</v>
      </c>
      <c r="G337" s="19">
        <f>IFERROR(INDEX(Orders!$H$2:$H$401,MATCH(B337,Orders!$A$2:$A$401,0)),"")</f>
        <v>4453.1880000000001</v>
      </c>
      <c r="H337" s="10" t="str">
        <f t="shared" si="5"/>
        <v>2025-12</v>
      </c>
      <c r="I337" s="10" t="str">
        <f>IFERROR(INDEX(Orders!$F$2:$F$401,MATCH(B337,Orders!$A$2:$A$401,0)),"")</f>
        <v>Returned</v>
      </c>
    </row>
    <row r="338" spans="1:9" ht="15" customHeight="1" x14ac:dyDescent="0.25">
      <c r="A338" s="10">
        <v>337</v>
      </c>
      <c r="B338" s="10">
        <v>388</v>
      </c>
      <c r="C338" s="10" t="s">
        <v>1331</v>
      </c>
      <c r="D338" s="19">
        <v>6283.55</v>
      </c>
      <c r="E338" s="10" t="s">
        <v>112</v>
      </c>
      <c r="F338" s="10" t="s">
        <v>108</v>
      </c>
      <c r="G338" s="19">
        <f>IFERROR(INDEX(Orders!$H$2:$H$401,MATCH(B338,Orders!$A$2:$A$401,0)),"")</f>
        <v>6283.5505000000003</v>
      </c>
      <c r="H338" s="10" t="str">
        <f t="shared" si="5"/>
        <v>2024-01</v>
      </c>
      <c r="I338" s="10" t="str">
        <f>IFERROR(INDEX(Orders!$F$2:$F$401,MATCH(B338,Orders!$A$2:$A$401,0)),"")</f>
        <v>Delivered</v>
      </c>
    </row>
    <row r="339" spans="1:9" ht="15" customHeight="1" x14ac:dyDescent="0.25">
      <c r="A339" s="10">
        <v>338</v>
      </c>
      <c r="B339" s="10">
        <v>389</v>
      </c>
      <c r="C339" s="10" t="s">
        <v>1360</v>
      </c>
      <c r="D339" s="19">
        <v>7216.26</v>
      </c>
      <c r="E339" s="10" t="s">
        <v>111</v>
      </c>
      <c r="F339" s="10" t="s">
        <v>108</v>
      </c>
      <c r="G339" s="19">
        <f>IFERROR(INDEX(Orders!$H$2:$H$401,MATCH(B339,Orders!$A$2:$A$401,0)),"")</f>
        <v>7216.2550000000001</v>
      </c>
      <c r="H339" s="10" t="str">
        <f t="shared" si="5"/>
        <v>2024-05</v>
      </c>
      <c r="I339" s="10" t="str">
        <f>IFERROR(INDEX(Orders!$F$2:$F$401,MATCH(B339,Orders!$A$2:$A$401,0)),"")</f>
        <v>Delivered</v>
      </c>
    </row>
    <row r="340" spans="1:9" ht="15" customHeight="1" x14ac:dyDescent="0.25">
      <c r="A340" s="10">
        <v>339</v>
      </c>
      <c r="B340" s="10">
        <v>390</v>
      </c>
      <c r="C340" s="10" t="s">
        <v>1361</v>
      </c>
      <c r="D340" s="19">
        <v>4434.4799999999996</v>
      </c>
      <c r="E340" s="10" t="s">
        <v>111</v>
      </c>
      <c r="F340" s="10" t="s">
        <v>108</v>
      </c>
      <c r="G340" s="19">
        <f>IFERROR(INDEX(Orders!$H$2:$H$401,MATCH(B340,Orders!$A$2:$A$401,0)),"")</f>
        <v>4434.4800000000005</v>
      </c>
      <c r="H340" s="10" t="str">
        <f t="shared" si="5"/>
        <v>2024-01</v>
      </c>
      <c r="I340" s="10" t="str">
        <f>IFERROR(INDEX(Orders!$F$2:$F$401,MATCH(B340,Orders!$A$2:$A$401,0)),"")</f>
        <v>Delivered</v>
      </c>
    </row>
    <row r="341" spans="1:9" ht="15" customHeight="1" x14ac:dyDescent="0.25">
      <c r="A341" s="10">
        <v>340</v>
      </c>
      <c r="B341" s="10">
        <v>391</v>
      </c>
      <c r="C341" s="10" t="s">
        <v>826</v>
      </c>
      <c r="D341" s="19">
        <v>2096.4499999999998</v>
      </c>
      <c r="E341" s="10" t="s">
        <v>109</v>
      </c>
      <c r="F341" s="10" t="s">
        <v>108</v>
      </c>
      <c r="G341" s="19">
        <f>IFERROR(INDEX(Orders!$H$2:$H$401,MATCH(B341,Orders!$A$2:$A$401,0)),"")</f>
        <v>2096.4459999999999</v>
      </c>
      <c r="H341" s="10" t="str">
        <f t="shared" si="5"/>
        <v>2025-09</v>
      </c>
      <c r="I341" s="10" t="str">
        <f>IFERROR(INDEX(Orders!$F$2:$F$401,MATCH(B341,Orders!$A$2:$A$401,0)),"")</f>
        <v>Delivered</v>
      </c>
    </row>
    <row r="342" spans="1:9" ht="15" customHeight="1" x14ac:dyDescent="0.25">
      <c r="A342" s="10">
        <v>341</v>
      </c>
      <c r="B342" s="10">
        <v>392</v>
      </c>
      <c r="C342" s="10" t="s">
        <v>1192</v>
      </c>
      <c r="D342" s="19">
        <v>1976.4</v>
      </c>
      <c r="E342" s="10" t="s">
        <v>113</v>
      </c>
      <c r="F342" s="10" t="s">
        <v>108</v>
      </c>
      <c r="G342" s="19">
        <f>IFERROR(INDEX(Orders!$H$2:$H$401,MATCH(B342,Orders!$A$2:$A$401,0)),"")</f>
        <v>1976.3999999999999</v>
      </c>
      <c r="H342" s="10" t="str">
        <f t="shared" si="5"/>
        <v>2025-10</v>
      </c>
      <c r="I342" s="10" t="str">
        <f>IFERROR(INDEX(Orders!$F$2:$F$401,MATCH(B342,Orders!$A$2:$A$401,0)),"")</f>
        <v>Delivered</v>
      </c>
    </row>
    <row r="343" spans="1:9" ht="15" customHeight="1" x14ac:dyDescent="0.25">
      <c r="A343" s="10">
        <v>342</v>
      </c>
      <c r="B343" s="10">
        <v>393</v>
      </c>
      <c r="C343" s="10" t="s">
        <v>1362</v>
      </c>
      <c r="D343" s="19">
        <v>3030.85</v>
      </c>
      <c r="E343" s="10" t="s">
        <v>109</v>
      </c>
      <c r="F343" s="10" t="s">
        <v>108</v>
      </c>
      <c r="G343" s="19">
        <f>IFERROR(INDEX(Orders!$H$2:$H$401,MATCH(B343,Orders!$A$2:$A$401,0)),"")</f>
        <v>3030.8519999999999</v>
      </c>
      <c r="H343" s="10" t="str">
        <f t="shared" si="5"/>
        <v>2025-05</v>
      </c>
      <c r="I343" s="10" t="str">
        <f>IFERROR(INDEX(Orders!$F$2:$F$401,MATCH(B343,Orders!$A$2:$A$401,0)),"")</f>
        <v>Delivered</v>
      </c>
    </row>
    <row r="344" spans="1:9" ht="15" customHeight="1" x14ac:dyDescent="0.25">
      <c r="A344" s="10">
        <v>343</v>
      </c>
      <c r="B344" s="10">
        <v>394</v>
      </c>
      <c r="C344" s="10" t="s">
        <v>1363</v>
      </c>
      <c r="D344" s="19">
        <v>6865.24</v>
      </c>
      <c r="E344" s="10" t="s">
        <v>109</v>
      </c>
      <c r="F344" s="10" t="s">
        <v>108</v>
      </c>
      <c r="G344" s="19">
        <f>IFERROR(INDEX(Orders!$H$2:$H$401,MATCH(B344,Orders!$A$2:$A$401,0)),"")</f>
        <v>6865.2340000000004</v>
      </c>
      <c r="H344" s="10" t="str">
        <f t="shared" si="5"/>
        <v>2023-08</v>
      </c>
      <c r="I344" s="10" t="str">
        <f>IFERROR(INDEX(Orders!$F$2:$F$401,MATCH(B344,Orders!$A$2:$A$401,0)),"")</f>
        <v>Pending</v>
      </c>
    </row>
    <row r="345" spans="1:9" ht="15" customHeight="1" x14ac:dyDescent="0.25">
      <c r="A345" s="10">
        <v>344</v>
      </c>
      <c r="B345" s="10">
        <v>396</v>
      </c>
      <c r="C345" s="10" t="s">
        <v>1233</v>
      </c>
      <c r="D345" s="19">
        <v>3721.99</v>
      </c>
      <c r="E345" s="10" t="s">
        <v>112</v>
      </c>
      <c r="F345" s="10" t="s">
        <v>108</v>
      </c>
      <c r="G345" s="19">
        <f>IFERROR(INDEX(Orders!$H$2:$H$401,MATCH(B345,Orders!$A$2:$A$401,0)),"")</f>
        <v>3721.9920000000002</v>
      </c>
      <c r="H345" s="10" t="str">
        <f t="shared" si="5"/>
        <v>2024-09</v>
      </c>
      <c r="I345" s="10" t="str">
        <f>IFERROR(INDEX(Orders!$F$2:$F$401,MATCH(B345,Orders!$A$2:$A$401,0)),"")</f>
        <v>Delivered</v>
      </c>
    </row>
    <row r="346" spans="1:9" ht="15" customHeight="1" x14ac:dyDescent="0.25">
      <c r="A346" s="10">
        <v>345</v>
      </c>
      <c r="B346" s="10">
        <v>397</v>
      </c>
      <c r="C346" s="10" t="s">
        <v>996</v>
      </c>
      <c r="D346" s="19">
        <v>8310.7099999999991</v>
      </c>
      <c r="E346" s="10" t="s">
        <v>109</v>
      </c>
      <c r="F346" s="10" t="s">
        <v>108</v>
      </c>
      <c r="G346" s="19">
        <f>IFERROR(INDEX(Orders!$H$2:$H$401,MATCH(B346,Orders!$A$2:$A$401,0)),"")</f>
        <v>8310.7174999999988</v>
      </c>
      <c r="H346" s="10" t="str">
        <f t="shared" si="5"/>
        <v>2025-10</v>
      </c>
      <c r="I346" s="10" t="str">
        <f>IFERROR(INDEX(Orders!$F$2:$F$401,MATCH(B346,Orders!$A$2:$A$401,0)),"")</f>
        <v>Returned</v>
      </c>
    </row>
    <row r="347" spans="1:9" ht="15" customHeight="1" x14ac:dyDescent="0.25">
      <c r="A347" s="10">
        <v>346</v>
      </c>
      <c r="B347" s="10">
        <v>398</v>
      </c>
      <c r="C347" s="10" t="s">
        <v>1236</v>
      </c>
      <c r="D347" s="19">
        <v>5665.58</v>
      </c>
      <c r="E347" s="10" t="s">
        <v>113</v>
      </c>
      <c r="F347" s="10" t="s">
        <v>108</v>
      </c>
      <c r="G347" s="19">
        <f>IFERROR(INDEX(Orders!$H$2:$H$401,MATCH(B347,Orders!$A$2:$A$401,0)),"")</f>
        <v>5665.58</v>
      </c>
      <c r="H347" s="10" t="str">
        <f t="shared" si="5"/>
        <v>2024-01</v>
      </c>
      <c r="I347" s="10" t="str">
        <f>IFERROR(INDEX(Orders!$F$2:$F$401,MATCH(B347,Orders!$A$2:$A$401,0)),"")</f>
        <v>Returned</v>
      </c>
    </row>
    <row r="348" spans="1:9" ht="15" customHeight="1" x14ac:dyDescent="0.25">
      <c r="A348" s="10">
        <v>347</v>
      </c>
      <c r="B348" s="10">
        <v>399</v>
      </c>
      <c r="C348" s="10" t="s">
        <v>942</v>
      </c>
      <c r="D348" s="19">
        <v>8327.7999999999993</v>
      </c>
      <c r="E348" s="10" t="s">
        <v>109</v>
      </c>
      <c r="F348" s="10" t="s">
        <v>108</v>
      </c>
      <c r="G348" s="19">
        <f>IFERROR(INDEX(Orders!$H$2:$H$401,MATCH(B348,Orders!$A$2:$A$401,0)),"")</f>
        <v>8327.7950000000001</v>
      </c>
      <c r="H348" s="10" t="str">
        <f t="shared" si="5"/>
        <v>2024-06</v>
      </c>
      <c r="I348" s="10" t="str">
        <f>IFERROR(INDEX(Orders!$F$2:$F$401,MATCH(B348,Orders!$A$2:$A$401,0)),"")</f>
        <v>Delivered</v>
      </c>
    </row>
    <row r="349" spans="1:9" ht="15" customHeight="1" x14ac:dyDescent="0.25">
      <c r="A349" s="10">
        <v>348</v>
      </c>
      <c r="B349" s="10">
        <v>400</v>
      </c>
      <c r="C349" s="10" t="s">
        <v>828</v>
      </c>
      <c r="D349" s="19">
        <v>6128.42</v>
      </c>
      <c r="E349" s="10" t="s">
        <v>111</v>
      </c>
      <c r="F349" s="10" t="s">
        <v>110</v>
      </c>
      <c r="G349" s="19">
        <f>IFERROR(INDEX(Orders!$H$2:$H$401,MATCH(B349,Orders!$A$2:$A$401,0)),"")</f>
        <v>6128.42</v>
      </c>
      <c r="H349" s="10" t="str">
        <f t="shared" si="5"/>
        <v>2023-07</v>
      </c>
      <c r="I349" s="10" t="str">
        <f>IFERROR(INDEX(Orders!$F$2:$F$401,MATCH(B349,Orders!$A$2:$A$401,0)),"")</f>
        <v>Returned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H351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7109375" defaultRowHeight="15" x14ac:dyDescent="0.25"/>
  <cols>
    <col min="1" max="1" width="18.42578125" style="10" bestFit="1" customWidth="1"/>
    <col min="2" max="2" width="15.140625" style="10" bestFit="1" customWidth="1"/>
    <col min="3" max="3" width="20.7109375" style="10" bestFit="1" customWidth="1"/>
    <col min="4" max="4" width="20.5703125" style="10" bestFit="1" customWidth="1"/>
    <col min="5" max="5" width="12.85546875" style="10" bestFit="1" customWidth="1"/>
    <col min="6" max="6" width="22" style="10" customWidth="1"/>
    <col min="7" max="7" width="17.140625" style="10" customWidth="1"/>
    <col min="8" max="8" width="13.28515625" style="10" customWidth="1"/>
  </cols>
  <sheetData>
    <row r="1" spans="1:8" ht="23.25" customHeight="1" x14ac:dyDescent="0.25">
      <c r="A1" s="39" t="s">
        <v>1502</v>
      </c>
      <c r="B1" s="39" t="s">
        <v>1503</v>
      </c>
      <c r="C1" s="39" t="s">
        <v>1504</v>
      </c>
      <c r="D1" s="39" t="s">
        <v>1505</v>
      </c>
      <c r="E1" s="39" t="s">
        <v>1240</v>
      </c>
      <c r="F1" s="39" t="s">
        <v>48</v>
      </c>
      <c r="G1" s="39" t="s">
        <v>631</v>
      </c>
      <c r="H1" s="39" t="s">
        <v>1364</v>
      </c>
    </row>
    <row r="2" spans="1:8" ht="15" customHeight="1" x14ac:dyDescent="0.25">
      <c r="A2" s="10">
        <v>1</v>
      </c>
      <c r="B2" s="10">
        <v>73</v>
      </c>
      <c r="C2" s="10" t="s">
        <v>1144</v>
      </c>
      <c r="D2" s="10" t="s">
        <v>173</v>
      </c>
      <c r="E2" s="10">
        <v>184</v>
      </c>
      <c r="F2" s="10" t="str">
        <f>INDEX(Products!$B$2:$B$101,MATCH(B2,Products!$A$2:$A$101,0))</f>
        <v>Skincare Set</v>
      </c>
      <c r="G2" s="10" t="str">
        <f>INDEX(Products!$J$2:$J$101,MATCH(B2,Products!$A$2:$A$101,0))</f>
        <v>Health &amp; Beauty</v>
      </c>
      <c r="H2" s="10">
        <f>INDEX(Products!$D$2:$D$101,MATCH(B2,Products!$A$2:$A$101,0))</f>
        <v>4</v>
      </c>
    </row>
    <row r="3" spans="1:8" ht="15" customHeight="1" x14ac:dyDescent="0.25">
      <c r="A3" s="10">
        <v>2</v>
      </c>
      <c r="B3" s="10">
        <v>56</v>
      </c>
      <c r="C3" s="10" t="s">
        <v>766</v>
      </c>
      <c r="D3" s="10" t="s">
        <v>177</v>
      </c>
      <c r="E3" s="10">
        <v>-8</v>
      </c>
      <c r="F3" s="10" t="str">
        <f>INDEX(Products!$B$2:$B$101,MATCH(B3,Products!$A$2:$A$101,0))</f>
        <v>Bicycle Helmet</v>
      </c>
      <c r="G3" s="10" t="str">
        <f>INDEX(Products!$J$2:$J$101,MATCH(B3,Products!$A$2:$A$101,0))</f>
        <v>Sporting Goods</v>
      </c>
      <c r="H3" s="10">
        <f>INDEX(Products!$D$2:$D$101,MATCH(B3,Products!$A$2:$A$101,0))</f>
        <v>8</v>
      </c>
    </row>
    <row r="4" spans="1:8" ht="15" customHeight="1" x14ac:dyDescent="0.25">
      <c r="A4" s="10">
        <v>3</v>
      </c>
      <c r="B4" s="10">
        <v>29</v>
      </c>
      <c r="C4" s="10" t="s">
        <v>1365</v>
      </c>
      <c r="D4" s="10" t="s">
        <v>173</v>
      </c>
      <c r="E4" s="10">
        <v>270</v>
      </c>
      <c r="F4" s="10" t="str">
        <f>INDEX(Products!$B$2:$B$101,MATCH(B4,Products!$A$2:$A$101,0))</f>
        <v>Storage Cabinet</v>
      </c>
      <c r="G4" s="10" t="str">
        <f>INDEX(Products!$J$2:$J$101,MATCH(B4,Products!$A$2:$A$101,0))</f>
        <v>Furniture</v>
      </c>
      <c r="H4" s="10">
        <f>INDEX(Products!$D$2:$D$101,MATCH(B4,Products!$A$2:$A$101,0))</f>
        <v>4</v>
      </c>
    </row>
    <row r="5" spans="1:8" ht="15" customHeight="1" x14ac:dyDescent="0.25">
      <c r="A5" s="10">
        <v>4</v>
      </c>
      <c r="B5" s="10">
        <v>35</v>
      </c>
      <c r="C5" s="10" t="s">
        <v>1366</v>
      </c>
      <c r="D5" s="10" t="s">
        <v>177</v>
      </c>
      <c r="E5" s="10">
        <v>-9</v>
      </c>
      <c r="F5" s="10" t="str">
        <f>INDEX(Products!$B$2:$B$101,MATCH(B5,Products!$A$2:$A$101,0))</f>
        <v>Baseball Cap</v>
      </c>
      <c r="G5" s="10" t="str">
        <f>INDEX(Products!$J$2:$J$101,MATCH(B5,Products!$A$2:$A$101,0))</f>
        <v>Apparel</v>
      </c>
      <c r="H5" s="10">
        <f>INDEX(Products!$D$2:$D$101,MATCH(B5,Products!$A$2:$A$101,0))</f>
        <v>12</v>
      </c>
    </row>
    <row r="6" spans="1:8" ht="15" customHeight="1" x14ac:dyDescent="0.25">
      <c r="A6" s="10">
        <v>5</v>
      </c>
      <c r="B6" s="10">
        <v>56</v>
      </c>
      <c r="C6" s="10" t="s">
        <v>911</v>
      </c>
      <c r="D6" s="10" t="s">
        <v>177</v>
      </c>
      <c r="E6" s="10">
        <v>-13</v>
      </c>
      <c r="F6" s="10" t="str">
        <f>INDEX(Products!$B$2:$B$101,MATCH(B6,Products!$A$2:$A$101,0))</f>
        <v>Bicycle Helmet</v>
      </c>
      <c r="G6" s="10" t="str">
        <f>INDEX(Products!$J$2:$J$101,MATCH(B6,Products!$A$2:$A$101,0))</f>
        <v>Sporting Goods</v>
      </c>
      <c r="H6" s="10">
        <f>INDEX(Products!$D$2:$D$101,MATCH(B6,Products!$A$2:$A$101,0))</f>
        <v>8</v>
      </c>
    </row>
    <row r="7" spans="1:8" ht="15" customHeight="1" x14ac:dyDescent="0.25">
      <c r="A7" s="10">
        <v>6</v>
      </c>
      <c r="B7" s="10">
        <v>54</v>
      </c>
      <c r="C7" s="10" t="s">
        <v>1228</v>
      </c>
      <c r="D7" s="10" t="s">
        <v>173</v>
      </c>
      <c r="E7" s="10">
        <v>87</v>
      </c>
      <c r="F7" s="10" t="str">
        <f>INDEX(Products!$B$2:$B$101,MATCH(B7,Products!$A$2:$A$101,0))</f>
        <v>Tennis Racket</v>
      </c>
      <c r="G7" s="10" t="str">
        <f>INDEX(Products!$J$2:$J$101,MATCH(B7,Products!$A$2:$A$101,0))</f>
        <v>Sporting Goods</v>
      </c>
      <c r="H7" s="10">
        <f>INDEX(Products!$D$2:$D$101,MATCH(B7,Products!$A$2:$A$101,0))</f>
        <v>11</v>
      </c>
    </row>
    <row r="8" spans="1:8" ht="15" customHeight="1" x14ac:dyDescent="0.25">
      <c r="A8" s="10">
        <v>7</v>
      </c>
      <c r="B8" s="10">
        <v>4</v>
      </c>
      <c r="C8" s="10" t="s">
        <v>827</v>
      </c>
      <c r="D8" s="10" t="s">
        <v>174</v>
      </c>
      <c r="E8" s="10">
        <v>-40</v>
      </c>
      <c r="F8" s="10" t="str">
        <f>INDEX(Products!$B$2:$B$101,MATCH(B8,Products!$A$2:$A$101,0))</f>
        <v>4K Monitor</v>
      </c>
      <c r="G8" s="10" t="str">
        <f>INDEX(Products!$J$2:$J$101,MATCH(B8,Products!$A$2:$A$101,0))</f>
        <v>Electronics</v>
      </c>
      <c r="H8" s="10">
        <f>INDEX(Products!$D$2:$D$101,MATCH(B8,Products!$A$2:$A$101,0))</f>
        <v>11</v>
      </c>
    </row>
    <row r="9" spans="1:8" ht="15" customHeight="1" x14ac:dyDescent="0.25">
      <c r="A9" s="10">
        <v>8</v>
      </c>
      <c r="B9" s="10">
        <v>58</v>
      </c>
      <c r="C9" s="10" t="s">
        <v>751</v>
      </c>
      <c r="D9" s="10" t="s">
        <v>173</v>
      </c>
      <c r="E9" s="10">
        <v>225</v>
      </c>
      <c r="F9" s="10" t="str">
        <f>INDEX(Products!$B$2:$B$101,MATCH(B9,Products!$A$2:$A$101,0))</f>
        <v>Water Bottle</v>
      </c>
      <c r="G9" s="10" t="str">
        <f>INDEX(Products!$J$2:$J$101,MATCH(B9,Products!$A$2:$A$101,0))</f>
        <v>Sporting Goods</v>
      </c>
      <c r="H9" s="10">
        <f>INDEX(Products!$D$2:$D$101,MATCH(B9,Products!$A$2:$A$101,0))</f>
        <v>7</v>
      </c>
    </row>
    <row r="10" spans="1:8" ht="15" customHeight="1" x14ac:dyDescent="0.25">
      <c r="A10" s="10">
        <v>9</v>
      </c>
      <c r="B10" s="10">
        <v>83</v>
      </c>
      <c r="C10" s="10" t="s">
        <v>1367</v>
      </c>
      <c r="D10" s="10" t="s">
        <v>173</v>
      </c>
      <c r="E10" s="10">
        <v>170</v>
      </c>
      <c r="F10" s="10" t="str">
        <f>INDEX(Products!$B$2:$B$101,MATCH(B10,Products!$A$2:$A$101,0))</f>
        <v>Air Filter</v>
      </c>
      <c r="G10" s="10" t="str">
        <f>INDEX(Products!$J$2:$J$101,MATCH(B10,Products!$A$2:$A$101,0))</f>
        <v>Automotive Parts</v>
      </c>
      <c r="H10" s="10">
        <f>INDEX(Products!$D$2:$D$101,MATCH(B10,Products!$A$2:$A$101,0))</f>
        <v>1</v>
      </c>
    </row>
    <row r="11" spans="1:8" ht="15" customHeight="1" x14ac:dyDescent="0.25">
      <c r="A11" s="10">
        <v>10</v>
      </c>
      <c r="B11" s="10">
        <v>18</v>
      </c>
      <c r="C11" s="10" t="s">
        <v>1163</v>
      </c>
      <c r="D11" s="10" t="s">
        <v>177</v>
      </c>
      <c r="E11" s="10">
        <v>-14</v>
      </c>
      <c r="F11" s="10" t="str">
        <f>INDEX(Products!$B$2:$B$101,MATCH(B11,Products!$A$2:$A$101,0))</f>
        <v>Filing Cabinet</v>
      </c>
      <c r="G11" s="10" t="str">
        <f>INDEX(Products!$J$2:$J$101,MATCH(B11,Products!$A$2:$A$101,0))</f>
        <v>Office Supplies</v>
      </c>
      <c r="H11" s="10">
        <f>INDEX(Products!$D$2:$D$101,MATCH(B11,Products!$A$2:$A$101,0))</f>
        <v>9</v>
      </c>
    </row>
    <row r="12" spans="1:8" ht="15" customHeight="1" x14ac:dyDescent="0.25">
      <c r="A12" s="10">
        <v>11</v>
      </c>
      <c r="B12" s="10">
        <v>92</v>
      </c>
      <c r="C12" s="10" t="s">
        <v>1368</v>
      </c>
      <c r="D12" s="10" t="s">
        <v>176</v>
      </c>
      <c r="E12" s="10">
        <v>-39</v>
      </c>
      <c r="F12" s="10" t="str">
        <f>INDEX(Products!$B$2:$B$101,MATCH(B12,Products!$A$2:$A$101,0))</f>
        <v>Olive Oil 1L</v>
      </c>
      <c r="G12" s="10" t="str">
        <f>INDEX(Products!$J$2:$J$101,MATCH(B12,Products!$A$2:$A$101,0))</f>
        <v>Groceries</v>
      </c>
      <c r="H12" s="10">
        <f>INDEX(Products!$D$2:$D$101,MATCH(B12,Products!$A$2:$A$101,0))</f>
        <v>10</v>
      </c>
    </row>
    <row r="13" spans="1:8" ht="15" customHeight="1" x14ac:dyDescent="0.25">
      <c r="A13" s="10">
        <v>12</v>
      </c>
      <c r="B13" s="10">
        <v>33</v>
      </c>
      <c r="C13" s="10" t="s">
        <v>1023</v>
      </c>
      <c r="D13" s="10" t="s">
        <v>173</v>
      </c>
      <c r="E13" s="10">
        <v>65</v>
      </c>
      <c r="F13" s="10" t="str">
        <f>INDEX(Products!$B$2:$B$101,MATCH(B13,Products!$A$2:$A$101,0))</f>
        <v>Running Shoes</v>
      </c>
      <c r="G13" s="10" t="str">
        <f>INDEX(Products!$J$2:$J$101,MATCH(B13,Products!$A$2:$A$101,0))</f>
        <v>Apparel</v>
      </c>
      <c r="H13" s="10">
        <f>INDEX(Products!$D$2:$D$101,MATCH(B13,Products!$A$2:$A$101,0))</f>
        <v>5</v>
      </c>
    </row>
    <row r="14" spans="1:8" ht="15" customHeight="1" x14ac:dyDescent="0.25">
      <c r="A14" s="10">
        <v>13</v>
      </c>
      <c r="B14" s="10">
        <v>7</v>
      </c>
      <c r="C14" s="10" t="s">
        <v>1369</v>
      </c>
      <c r="D14" s="10" t="s">
        <v>177</v>
      </c>
      <c r="E14" s="10">
        <v>-23</v>
      </c>
      <c r="F14" s="10" t="str">
        <f>INDEX(Products!$B$2:$B$101,MATCH(B14,Products!$A$2:$A$101,0))</f>
        <v>Smartwatch</v>
      </c>
      <c r="G14" s="10" t="str">
        <f>INDEX(Products!$J$2:$J$101,MATCH(B14,Products!$A$2:$A$101,0))</f>
        <v>Electronics</v>
      </c>
      <c r="H14" s="10">
        <f>INDEX(Products!$D$2:$D$101,MATCH(B14,Products!$A$2:$A$101,0))</f>
        <v>7</v>
      </c>
    </row>
    <row r="15" spans="1:8" ht="15" customHeight="1" x14ac:dyDescent="0.25">
      <c r="A15" s="10">
        <v>14</v>
      </c>
      <c r="B15" s="10">
        <v>78</v>
      </c>
      <c r="C15" s="10" t="s">
        <v>1370</v>
      </c>
      <c r="D15" s="10" t="s">
        <v>173</v>
      </c>
      <c r="E15" s="10">
        <v>179</v>
      </c>
      <c r="F15" s="10" t="str">
        <f>INDEX(Products!$B$2:$B$101,MATCH(B15,Products!$A$2:$A$101,0))</f>
        <v>Makeup Kit</v>
      </c>
      <c r="G15" s="10" t="str">
        <f>INDEX(Products!$J$2:$J$101,MATCH(B15,Products!$A$2:$A$101,0))</f>
        <v>Health &amp; Beauty</v>
      </c>
      <c r="H15" s="10">
        <f>INDEX(Products!$D$2:$D$101,MATCH(B15,Products!$A$2:$A$101,0))</f>
        <v>5</v>
      </c>
    </row>
    <row r="16" spans="1:8" ht="15" customHeight="1" x14ac:dyDescent="0.25">
      <c r="A16" s="10">
        <v>15</v>
      </c>
      <c r="B16" s="10">
        <v>80</v>
      </c>
      <c r="C16" s="10" t="s">
        <v>1047</v>
      </c>
      <c r="D16" s="10" t="s">
        <v>173</v>
      </c>
      <c r="E16" s="10">
        <v>151</v>
      </c>
      <c r="F16" s="10" t="str">
        <f>INDEX(Products!$B$2:$B$101,MATCH(B16,Products!$A$2:$A$101,0))</f>
        <v>Body Lotion</v>
      </c>
      <c r="G16" s="10" t="str">
        <f>INDEX(Products!$J$2:$J$101,MATCH(B16,Products!$A$2:$A$101,0))</f>
        <v>Health &amp; Beauty</v>
      </c>
      <c r="H16" s="10">
        <f>INDEX(Products!$D$2:$D$101,MATCH(B16,Products!$A$2:$A$101,0))</f>
        <v>8</v>
      </c>
    </row>
    <row r="17" spans="1:8" ht="15" customHeight="1" x14ac:dyDescent="0.25">
      <c r="A17" s="10">
        <v>16</v>
      </c>
      <c r="B17" s="10">
        <v>86</v>
      </c>
      <c r="C17" s="10" t="s">
        <v>1371</v>
      </c>
      <c r="D17" s="10" t="s">
        <v>173</v>
      </c>
      <c r="E17" s="10">
        <v>278</v>
      </c>
      <c r="F17" s="10" t="str">
        <f>INDEX(Products!$B$2:$B$101,MATCH(B17,Products!$A$2:$A$101,0))</f>
        <v>Spark Plugs</v>
      </c>
      <c r="G17" s="10" t="str">
        <f>INDEX(Products!$J$2:$J$101,MATCH(B17,Products!$A$2:$A$101,0))</f>
        <v>Automotive Parts</v>
      </c>
      <c r="H17" s="10">
        <f>INDEX(Products!$D$2:$D$101,MATCH(B17,Products!$A$2:$A$101,0))</f>
        <v>10</v>
      </c>
    </row>
    <row r="18" spans="1:8" ht="15" customHeight="1" x14ac:dyDescent="0.25">
      <c r="A18" s="10">
        <v>17</v>
      </c>
      <c r="B18" s="10">
        <v>72</v>
      </c>
      <c r="C18" s="10" t="s">
        <v>868</v>
      </c>
      <c r="D18" s="10" t="s">
        <v>177</v>
      </c>
      <c r="E18" s="10">
        <v>-11</v>
      </c>
      <c r="F18" s="10" t="str">
        <f>INDEX(Products!$B$2:$B$101,MATCH(B18,Products!$A$2:$A$101,0))</f>
        <v>Hair Dryer</v>
      </c>
      <c r="G18" s="10" t="str">
        <f>INDEX(Products!$J$2:$J$101,MATCH(B18,Products!$A$2:$A$101,0))</f>
        <v>Health &amp; Beauty</v>
      </c>
      <c r="H18" s="10">
        <f>INDEX(Products!$D$2:$D$101,MATCH(B18,Products!$A$2:$A$101,0))</f>
        <v>8</v>
      </c>
    </row>
    <row r="19" spans="1:8" ht="15" customHeight="1" x14ac:dyDescent="0.25">
      <c r="A19" s="10">
        <v>18</v>
      </c>
      <c r="B19" s="10">
        <v>65</v>
      </c>
      <c r="C19" s="10" t="s">
        <v>1372</v>
      </c>
      <c r="D19" s="10" t="s">
        <v>177</v>
      </c>
      <c r="E19" s="10">
        <v>-9</v>
      </c>
      <c r="F19" s="10" t="str">
        <f>INDEX(Products!$B$2:$B$101,MATCH(B19,Products!$A$2:$A$101,0))</f>
        <v>Action Figure</v>
      </c>
      <c r="G19" s="10" t="str">
        <f>INDEX(Products!$J$2:$J$101,MATCH(B19,Products!$A$2:$A$101,0))</f>
        <v>Toys &amp; Games</v>
      </c>
      <c r="H19" s="10">
        <f>INDEX(Products!$D$2:$D$101,MATCH(B19,Products!$A$2:$A$101,0))</f>
        <v>2</v>
      </c>
    </row>
    <row r="20" spans="1:8" ht="15" customHeight="1" x14ac:dyDescent="0.25">
      <c r="A20" s="10">
        <v>19</v>
      </c>
      <c r="B20" s="10">
        <v>12</v>
      </c>
      <c r="C20" s="10" t="s">
        <v>1373</v>
      </c>
      <c r="D20" s="10" t="s">
        <v>177</v>
      </c>
      <c r="E20" s="10">
        <v>-10</v>
      </c>
      <c r="F20" s="10" t="str">
        <f>INDEX(Products!$B$2:$B$101,MATCH(B20,Products!$A$2:$A$101,0))</f>
        <v>Printer Paper (Ream)</v>
      </c>
      <c r="G20" s="10" t="str">
        <f>INDEX(Products!$J$2:$J$101,MATCH(B20,Products!$A$2:$A$101,0))</f>
        <v>Office Supplies</v>
      </c>
      <c r="H20" s="10">
        <f>INDEX(Products!$D$2:$D$101,MATCH(B20,Products!$A$2:$A$101,0))</f>
        <v>2</v>
      </c>
    </row>
    <row r="21" spans="1:8" ht="15" customHeight="1" x14ac:dyDescent="0.25">
      <c r="A21" s="10">
        <v>20</v>
      </c>
      <c r="B21" s="10">
        <v>34</v>
      </c>
      <c r="C21" s="10" t="s">
        <v>1208</v>
      </c>
      <c r="D21" s="10" t="s">
        <v>173</v>
      </c>
      <c r="E21" s="10">
        <v>300</v>
      </c>
      <c r="F21" s="10" t="str">
        <f>INDEX(Products!$B$2:$B$101,MATCH(B21,Products!$A$2:$A$101,0))</f>
        <v>Wool Sweater</v>
      </c>
      <c r="G21" s="10" t="str">
        <f>INDEX(Products!$J$2:$J$101,MATCH(B21,Products!$A$2:$A$101,0))</f>
        <v>Apparel</v>
      </c>
      <c r="H21" s="10">
        <f>INDEX(Products!$D$2:$D$101,MATCH(B21,Products!$A$2:$A$101,0))</f>
        <v>2</v>
      </c>
    </row>
    <row r="22" spans="1:8" ht="15" customHeight="1" x14ac:dyDescent="0.25">
      <c r="A22" s="10">
        <v>21</v>
      </c>
      <c r="B22" s="10">
        <v>17</v>
      </c>
      <c r="C22" s="10" t="s">
        <v>1357</v>
      </c>
      <c r="D22" s="10" t="s">
        <v>177</v>
      </c>
      <c r="E22" s="10">
        <v>-24</v>
      </c>
      <c r="F22" s="10" t="str">
        <f>INDEX(Products!$B$2:$B$101,MATCH(B22,Products!$A$2:$A$101,0))</f>
        <v>Binder Clips</v>
      </c>
      <c r="G22" s="10" t="str">
        <f>INDEX(Products!$J$2:$J$101,MATCH(B22,Products!$A$2:$A$101,0))</f>
        <v>Office Supplies</v>
      </c>
      <c r="H22" s="10">
        <f>INDEX(Products!$D$2:$D$101,MATCH(B22,Products!$A$2:$A$101,0))</f>
        <v>11</v>
      </c>
    </row>
    <row r="23" spans="1:8" ht="15" customHeight="1" x14ac:dyDescent="0.25">
      <c r="A23" s="10">
        <v>22</v>
      </c>
      <c r="B23" s="10">
        <v>56</v>
      </c>
      <c r="C23" s="10" t="s">
        <v>310</v>
      </c>
      <c r="D23" s="10" t="s">
        <v>177</v>
      </c>
      <c r="E23" s="10">
        <v>-40</v>
      </c>
      <c r="F23" s="10" t="str">
        <f>INDEX(Products!$B$2:$B$101,MATCH(B23,Products!$A$2:$A$101,0))</f>
        <v>Bicycle Helmet</v>
      </c>
      <c r="G23" s="10" t="str">
        <f>INDEX(Products!$J$2:$J$101,MATCH(B23,Products!$A$2:$A$101,0))</f>
        <v>Sporting Goods</v>
      </c>
      <c r="H23" s="10">
        <f>INDEX(Products!$D$2:$D$101,MATCH(B23,Products!$A$2:$A$101,0))</f>
        <v>8</v>
      </c>
    </row>
    <row r="24" spans="1:8" ht="15" customHeight="1" x14ac:dyDescent="0.25">
      <c r="A24" s="10">
        <v>23</v>
      </c>
      <c r="B24" s="10">
        <v>98</v>
      </c>
      <c r="C24" s="10" t="s">
        <v>998</v>
      </c>
      <c r="D24" s="10" t="s">
        <v>177</v>
      </c>
      <c r="E24" s="10">
        <v>-11</v>
      </c>
      <c r="F24" s="10" t="str">
        <f>INDEX(Products!$B$2:$B$101,MATCH(B24,Products!$A$2:$A$101,0))</f>
        <v>Dark Chocolate Bar</v>
      </c>
      <c r="G24" s="10" t="str">
        <f>INDEX(Products!$J$2:$J$101,MATCH(B24,Products!$A$2:$A$101,0))</f>
        <v>Groceries</v>
      </c>
      <c r="H24" s="10">
        <f>INDEX(Products!$D$2:$D$101,MATCH(B24,Products!$A$2:$A$101,0))</f>
        <v>4</v>
      </c>
    </row>
    <row r="25" spans="1:8" ht="15" customHeight="1" x14ac:dyDescent="0.25">
      <c r="A25" s="10">
        <v>24</v>
      </c>
      <c r="B25" s="10">
        <v>41</v>
      </c>
      <c r="C25" s="10" t="s">
        <v>1235</v>
      </c>
      <c r="D25" s="10" t="s">
        <v>174</v>
      </c>
      <c r="E25" s="10">
        <v>-36</v>
      </c>
      <c r="F25" s="10" t="str">
        <f>INDEX(Products!$B$2:$B$101,MATCH(B25,Products!$A$2:$A$101,0))</f>
        <v>Blender</v>
      </c>
      <c r="G25" s="10" t="str">
        <f>INDEX(Products!$J$2:$J$101,MATCH(B25,Products!$A$2:$A$101,0))</f>
        <v>Home &amp; Kitchen</v>
      </c>
      <c r="H25" s="10">
        <f>INDEX(Products!$D$2:$D$101,MATCH(B25,Products!$A$2:$A$101,0))</f>
        <v>7</v>
      </c>
    </row>
    <row r="26" spans="1:8" ht="15" customHeight="1" x14ac:dyDescent="0.25">
      <c r="A26" s="10">
        <v>25</v>
      </c>
      <c r="B26" s="10">
        <v>85</v>
      </c>
      <c r="C26" s="10" t="s">
        <v>1082</v>
      </c>
      <c r="D26" s="10" t="s">
        <v>173</v>
      </c>
      <c r="E26" s="10">
        <v>88</v>
      </c>
      <c r="F26" s="10" t="str">
        <f>INDEX(Products!$B$2:$B$101,MATCH(B26,Products!$A$2:$A$101,0))</f>
        <v>Windshield Wipers</v>
      </c>
      <c r="G26" s="10" t="str">
        <f>INDEX(Products!$J$2:$J$101,MATCH(B26,Products!$A$2:$A$101,0))</f>
        <v>Automotive Parts</v>
      </c>
      <c r="H26" s="10">
        <f>INDEX(Products!$D$2:$D$101,MATCH(B26,Products!$A$2:$A$101,0))</f>
        <v>2</v>
      </c>
    </row>
    <row r="27" spans="1:8" ht="15" customHeight="1" x14ac:dyDescent="0.25">
      <c r="A27" s="10">
        <v>26</v>
      </c>
      <c r="B27" s="10">
        <v>7</v>
      </c>
      <c r="C27" s="10" t="s">
        <v>1321</v>
      </c>
      <c r="D27" s="10" t="s">
        <v>173</v>
      </c>
      <c r="E27" s="10">
        <v>170</v>
      </c>
      <c r="F27" s="10" t="str">
        <f>INDEX(Products!$B$2:$B$101,MATCH(B27,Products!$A$2:$A$101,0))</f>
        <v>Smartwatch</v>
      </c>
      <c r="G27" s="10" t="str">
        <f>INDEX(Products!$J$2:$J$101,MATCH(B27,Products!$A$2:$A$101,0))</f>
        <v>Electronics</v>
      </c>
      <c r="H27" s="10">
        <f>INDEX(Products!$D$2:$D$101,MATCH(B27,Products!$A$2:$A$101,0))</f>
        <v>7</v>
      </c>
    </row>
    <row r="28" spans="1:8" ht="15" customHeight="1" x14ac:dyDescent="0.25">
      <c r="A28" s="10">
        <v>27</v>
      </c>
      <c r="B28" s="10">
        <v>34</v>
      </c>
      <c r="C28" s="10" t="s">
        <v>1374</v>
      </c>
      <c r="D28" s="10" t="s">
        <v>177</v>
      </c>
      <c r="E28" s="10">
        <v>-8</v>
      </c>
      <c r="F28" s="10" t="str">
        <f>INDEX(Products!$B$2:$B$101,MATCH(B28,Products!$A$2:$A$101,0))</f>
        <v>Wool Sweater</v>
      </c>
      <c r="G28" s="10" t="str">
        <f>INDEX(Products!$J$2:$J$101,MATCH(B28,Products!$A$2:$A$101,0))</f>
        <v>Apparel</v>
      </c>
      <c r="H28" s="10">
        <f>INDEX(Products!$D$2:$D$101,MATCH(B28,Products!$A$2:$A$101,0))</f>
        <v>2</v>
      </c>
    </row>
    <row r="29" spans="1:8" ht="15" customHeight="1" x14ac:dyDescent="0.25">
      <c r="A29" s="10">
        <v>28</v>
      </c>
      <c r="B29" s="10">
        <v>64</v>
      </c>
      <c r="C29" s="10" t="s">
        <v>1375</v>
      </c>
      <c r="D29" s="10" t="s">
        <v>173</v>
      </c>
      <c r="E29" s="10">
        <v>231</v>
      </c>
      <c r="F29" s="10" t="str">
        <f>INDEX(Products!$B$2:$B$101,MATCH(B29,Products!$A$2:$A$101,0))</f>
        <v>Remote Control Car</v>
      </c>
      <c r="G29" s="10" t="str">
        <f>INDEX(Products!$J$2:$J$101,MATCH(B29,Products!$A$2:$A$101,0))</f>
        <v>Toys &amp; Games</v>
      </c>
      <c r="H29" s="10">
        <f>INDEX(Products!$D$2:$D$101,MATCH(B29,Products!$A$2:$A$101,0))</f>
        <v>5</v>
      </c>
    </row>
    <row r="30" spans="1:8" ht="15" customHeight="1" x14ac:dyDescent="0.25">
      <c r="A30" s="10">
        <v>29</v>
      </c>
      <c r="B30" s="10">
        <v>72</v>
      </c>
      <c r="C30" s="10" t="s">
        <v>1376</v>
      </c>
      <c r="D30" s="10" t="s">
        <v>174</v>
      </c>
      <c r="E30" s="10">
        <v>-10</v>
      </c>
      <c r="F30" s="10" t="str">
        <f>INDEX(Products!$B$2:$B$101,MATCH(B30,Products!$A$2:$A$101,0))</f>
        <v>Hair Dryer</v>
      </c>
      <c r="G30" s="10" t="str">
        <f>INDEX(Products!$J$2:$J$101,MATCH(B30,Products!$A$2:$A$101,0))</f>
        <v>Health &amp; Beauty</v>
      </c>
      <c r="H30" s="10">
        <f>INDEX(Products!$D$2:$D$101,MATCH(B30,Products!$A$2:$A$101,0))</f>
        <v>8</v>
      </c>
    </row>
    <row r="31" spans="1:8" ht="15" customHeight="1" x14ac:dyDescent="0.25">
      <c r="A31" s="10">
        <v>30</v>
      </c>
      <c r="B31" s="10">
        <v>16</v>
      </c>
      <c r="C31" s="10" t="s">
        <v>860</v>
      </c>
      <c r="D31" s="10" t="s">
        <v>173</v>
      </c>
      <c r="E31" s="10">
        <v>272</v>
      </c>
      <c r="F31" s="10" t="str">
        <f>INDEX(Products!$B$2:$B$101,MATCH(B31,Products!$A$2:$A$101,0))</f>
        <v>Whiteboard</v>
      </c>
      <c r="G31" s="10" t="str">
        <f>INDEX(Products!$J$2:$J$101,MATCH(B31,Products!$A$2:$A$101,0))</f>
        <v>Office Supplies</v>
      </c>
      <c r="H31" s="10">
        <f>INDEX(Products!$D$2:$D$101,MATCH(B31,Products!$A$2:$A$101,0))</f>
        <v>10</v>
      </c>
    </row>
    <row r="32" spans="1:8" ht="15" customHeight="1" x14ac:dyDescent="0.25">
      <c r="A32" s="10">
        <v>31</v>
      </c>
      <c r="B32" s="10">
        <v>37</v>
      </c>
      <c r="C32" s="10" t="s">
        <v>1228</v>
      </c>
      <c r="D32" s="10" t="s">
        <v>176</v>
      </c>
      <c r="E32" s="10">
        <v>-33</v>
      </c>
      <c r="F32" s="10" t="str">
        <f>INDEX(Products!$B$2:$B$101,MATCH(B32,Products!$A$2:$A$101,0))</f>
        <v>Yoga Pants</v>
      </c>
      <c r="G32" s="10" t="str">
        <f>INDEX(Products!$J$2:$J$101,MATCH(B32,Products!$A$2:$A$101,0))</f>
        <v>Apparel</v>
      </c>
      <c r="H32" s="10">
        <f>INDEX(Products!$D$2:$D$101,MATCH(B32,Products!$A$2:$A$101,0))</f>
        <v>1</v>
      </c>
    </row>
    <row r="33" spans="1:8" ht="15" customHeight="1" x14ac:dyDescent="0.25">
      <c r="A33" s="10">
        <v>32</v>
      </c>
      <c r="B33" s="10">
        <v>35</v>
      </c>
      <c r="C33" s="10" t="s">
        <v>1377</v>
      </c>
      <c r="D33" s="10" t="s">
        <v>174</v>
      </c>
      <c r="E33" s="10">
        <v>-34</v>
      </c>
      <c r="F33" s="10" t="str">
        <f>INDEX(Products!$B$2:$B$101,MATCH(B33,Products!$A$2:$A$101,0))</f>
        <v>Baseball Cap</v>
      </c>
      <c r="G33" s="10" t="str">
        <f>INDEX(Products!$J$2:$J$101,MATCH(B33,Products!$A$2:$A$101,0))</f>
        <v>Apparel</v>
      </c>
      <c r="H33" s="10">
        <f>INDEX(Products!$D$2:$D$101,MATCH(B33,Products!$A$2:$A$101,0))</f>
        <v>12</v>
      </c>
    </row>
    <row r="34" spans="1:8" ht="15" customHeight="1" x14ac:dyDescent="0.25">
      <c r="A34" s="10">
        <v>33</v>
      </c>
      <c r="B34" s="10">
        <v>99</v>
      </c>
      <c r="C34" s="10" t="s">
        <v>1228</v>
      </c>
      <c r="D34" s="10" t="s">
        <v>173</v>
      </c>
      <c r="E34" s="10">
        <v>69</v>
      </c>
      <c r="F34" s="10" t="str">
        <f>INDEX(Products!$B$2:$B$101,MATCH(B34,Products!$A$2:$A$101,0))</f>
        <v>Honey Jar</v>
      </c>
      <c r="G34" s="10" t="str">
        <f>INDEX(Products!$J$2:$J$101,MATCH(B34,Products!$A$2:$A$101,0))</f>
        <v>Groceries</v>
      </c>
      <c r="H34" s="10">
        <f>INDEX(Products!$D$2:$D$101,MATCH(B34,Products!$A$2:$A$101,0))</f>
        <v>5</v>
      </c>
    </row>
    <row r="35" spans="1:8" ht="15" customHeight="1" x14ac:dyDescent="0.25">
      <c r="A35" s="10">
        <v>34</v>
      </c>
      <c r="B35" s="10">
        <v>32</v>
      </c>
      <c r="C35" s="10" t="s">
        <v>1192</v>
      </c>
      <c r="D35" s="10" t="s">
        <v>177</v>
      </c>
      <c r="E35" s="10">
        <v>-2</v>
      </c>
      <c r="F35" s="10" t="str">
        <f>INDEX(Products!$B$2:$B$101,MATCH(B35,Products!$A$2:$A$101,0))</f>
        <v>Denim Jacket</v>
      </c>
      <c r="G35" s="10" t="str">
        <f>INDEX(Products!$J$2:$J$101,MATCH(B35,Products!$A$2:$A$101,0))</f>
        <v>Apparel</v>
      </c>
      <c r="H35" s="10">
        <f>INDEX(Products!$D$2:$D$101,MATCH(B35,Products!$A$2:$A$101,0))</f>
        <v>9</v>
      </c>
    </row>
    <row r="36" spans="1:8" ht="15" customHeight="1" x14ac:dyDescent="0.25">
      <c r="A36" s="10">
        <v>35</v>
      </c>
      <c r="B36" s="10">
        <v>37</v>
      </c>
      <c r="C36" s="10" t="s">
        <v>1378</v>
      </c>
      <c r="D36" s="10" t="s">
        <v>173</v>
      </c>
      <c r="E36" s="10">
        <v>201</v>
      </c>
      <c r="F36" s="10" t="str">
        <f>INDEX(Products!$B$2:$B$101,MATCH(B36,Products!$A$2:$A$101,0))</f>
        <v>Yoga Pants</v>
      </c>
      <c r="G36" s="10" t="str">
        <f>INDEX(Products!$J$2:$J$101,MATCH(B36,Products!$A$2:$A$101,0))</f>
        <v>Apparel</v>
      </c>
      <c r="H36" s="10">
        <f>INDEX(Products!$D$2:$D$101,MATCH(B36,Products!$A$2:$A$101,0))</f>
        <v>1</v>
      </c>
    </row>
    <row r="37" spans="1:8" ht="15" customHeight="1" x14ac:dyDescent="0.25">
      <c r="A37" s="10">
        <v>36</v>
      </c>
      <c r="B37" s="10">
        <v>14</v>
      </c>
      <c r="C37" s="10" t="s">
        <v>1163</v>
      </c>
      <c r="D37" s="10" t="s">
        <v>173</v>
      </c>
      <c r="E37" s="10">
        <v>70</v>
      </c>
      <c r="F37" s="10" t="str">
        <f>INDEX(Products!$B$2:$B$101,MATCH(B37,Products!$A$2:$A$101,0))</f>
        <v>Sticky Notes</v>
      </c>
      <c r="G37" s="10" t="str">
        <f>INDEX(Products!$J$2:$J$101,MATCH(B37,Products!$A$2:$A$101,0))</f>
        <v>Office Supplies</v>
      </c>
      <c r="H37" s="10">
        <f>INDEX(Products!$D$2:$D$101,MATCH(B37,Products!$A$2:$A$101,0))</f>
        <v>3</v>
      </c>
    </row>
    <row r="38" spans="1:8" ht="15" customHeight="1" x14ac:dyDescent="0.25">
      <c r="A38" s="10">
        <v>37</v>
      </c>
      <c r="B38" s="10">
        <v>59</v>
      </c>
      <c r="C38" s="10" t="s">
        <v>1030</v>
      </c>
      <c r="D38" s="10" t="s">
        <v>177</v>
      </c>
      <c r="E38" s="10">
        <v>-39</v>
      </c>
      <c r="F38" s="10" t="str">
        <f>INDEX(Products!$B$2:$B$101,MATCH(B38,Products!$A$2:$A$101,0))</f>
        <v>Hiking Backpack</v>
      </c>
      <c r="G38" s="10" t="str">
        <f>INDEX(Products!$J$2:$J$101,MATCH(B38,Products!$A$2:$A$101,0))</f>
        <v>Sporting Goods</v>
      </c>
      <c r="H38" s="10">
        <f>INDEX(Products!$D$2:$D$101,MATCH(B38,Products!$A$2:$A$101,0))</f>
        <v>6</v>
      </c>
    </row>
    <row r="39" spans="1:8" ht="15" customHeight="1" x14ac:dyDescent="0.25">
      <c r="A39" s="10">
        <v>38</v>
      </c>
      <c r="B39" s="10">
        <v>85</v>
      </c>
      <c r="C39" s="10" t="s">
        <v>1124</v>
      </c>
      <c r="D39" s="10" t="s">
        <v>173</v>
      </c>
      <c r="E39" s="10">
        <v>61</v>
      </c>
      <c r="F39" s="10" t="str">
        <f>INDEX(Products!$B$2:$B$101,MATCH(B39,Products!$A$2:$A$101,0))</f>
        <v>Windshield Wipers</v>
      </c>
      <c r="G39" s="10" t="str">
        <f>INDEX(Products!$J$2:$J$101,MATCH(B39,Products!$A$2:$A$101,0))</f>
        <v>Automotive Parts</v>
      </c>
      <c r="H39" s="10">
        <f>INDEX(Products!$D$2:$D$101,MATCH(B39,Products!$A$2:$A$101,0))</f>
        <v>2</v>
      </c>
    </row>
    <row r="40" spans="1:8" ht="15" customHeight="1" x14ac:dyDescent="0.25">
      <c r="A40" s="10">
        <v>39</v>
      </c>
      <c r="B40" s="10">
        <v>84</v>
      </c>
      <c r="C40" s="10" t="s">
        <v>1042</v>
      </c>
      <c r="D40" s="10" t="s">
        <v>173</v>
      </c>
      <c r="E40" s="10">
        <v>237</v>
      </c>
      <c r="F40" s="10" t="str">
        <f>INDEX(Products!$B$2:$B$101,MATCH(B40,Products!$A$2:$A$101,0))</f>
        <v>Motor Oil (Qt)</v>
      </c>
      <c r="G40" s="10" t="str">
        <f>INDEX(Products!$J$2:$J$101,MATCH(B40,Products!$A$2:$A$101,0))</f>
        <v>Automotive Parts</v>
      </c>
      <c r="H40" s="10">
        <f>INDEX(Products!$D$2:$D$101,MATCH(B40,Products!$A$2:$A$101,0))</f>
        <v>4</v>
      </c>
    </row>
    <row r="41" spans="1:8" ht="15" customHeight="1" x14ac:dyDescent="0.25">
      <c r="A41" s="10">
        <v>40</v>
      </c>
      <c r="B41" s="10">
        <v>94</v>
      </c>
      <c r="C41" s="10" t="s">
        <v>1379</v>
      </c>
      <c r="D41" s="10" t="s">
        <v>173</v>
      </c>
      <c r="E41" s="10">
        <v>62</v>
      </c>
      <c r="F41" s="10" t="str">
        <f>INDEX(Products!$B$2:$B$101,MATCH(B41,Products!$A$2:$A$101,0))</f>
        <v>Almond Butter</v>
      </c>
      <c r="G41" s="10" t="str">
        <f>INDEX(Products!$J$2:$J$101,MATCH(B41,Products!$A$2:$A$101,0))</f>
        <v>Groceries</v>
      </c>
      <c r="H41" s="10">
        <f>INDEX(Products!$D$2:$D$101,MATCH(B41,Products!$A$2:$A$101,0))</f>
        <v>10</v>
      </c>
    </row>
    <row r="42" spans="1:8" ht="15" customHeight="1" x14ac:dyDescent="0.25">
      <c r="A42" s="10">
        <v>41</v>
      </c>
      <c r="B42" s="10">
        <v>83</v>
      </c>
      <c r="C42" s="10" t="s">
        <v>310</v>
      </c>
      <c r="D42" s="10" t="s">
        <v>173</v>
      </c>
      <c r="E42" s="10">
        <v>64</v>
      </c>
      <c r="F42" s="10" t="str">
        <f>INDEX(Products!$B$2:$B$101,MATCH(B42,Products!$A$2:$A$101,0))</f>
        <v>Air Filter</v>
      </c>
      <c r="G42" s="10" t="str">
        <f>INDEX(Products!$J$2:$J$101,MATCH(B42,Products!$A$2:$A$101,0))</f>
        <v>Automotive Parts</v>
      </c>
      <c r="H42" s="10">
        <f>INDEX(Products!$D$2:$D$101,MATCH(B42,Products!$A$2:$A$101,0))</f>
        <v>1</v>
      </c>
    </row>
    <row r="43" spans="1:8" ht="15" customHeight="1" x14ac:dyDescent="0.25">
      <c r="A43" s="10">
        <v>42</v>
      </c>
      <c r="B43" s="10">
        <v>96</v>
      </c>
      <c r="C43" s="10" t="s">
        <v>1022</v>
      </c>
      <c r="D43" s="10" t="s">
        <v>176</v>
      </c>
      <c r="E43" s="10">
        <v>-25</v>
      </c>
      <c r="F43" s="10" t="str">
        <f>INDEX(Products!$B$2:$B$101,MATCH(B43,Products!$A$2:$A$101,0))</f>
        <v>Granola Bars</v>
      </c>
      <c r="G43" s="10" t="str">
        <f>INDEX(Products!$J$2:$J$101,MATCH(B43,Products!$A$2:$A$101,0))</f>
        <v>Groceries</v>
      </c>
      <c r="H43" s="10">
        <f>INDEX(Products!$D$2:$D$101,MATCH(B43,Products!$A$2:$A$101,0))</f>
        <v>11</v>
      </c>
    </row>
    <row r="44" spans="1:8" ht="15" customHeight="1" x14ac:dyDescent="0.25">
      <c r="A44" s="10">
        <v>43</v>
      </c>
      <c r="B44" s="10">
        <v>12</v>
      </c>
      <c r="C44" s="10" t="s">
        <v>845</v>
      </c>
      <c r="D44" s="10" t="s">
        <v>173</v>
      </c>
      <c r="E44" s="10">
        <v>111</v>
      </c>
      <c r="F44" s="10" t="str">
        <f>INDEX(Products!$B$2:$B$101,MATCH(B44,Products!$A$2:$A$101,0))</f>
        <v>Printer Paper (Ream)</v>
      </c>
      <c r="G44" s="10" t="str">
        <f>INDEX(Products!$J$2:$J$101,MATCH(B44,Products!$A$2:$A$101,0))</f>
        <v>Office Supplies</v>
      </c>
      <c r="H44" s="10">
        <f>INDEX(Products!$D$2:$D$101,MATCH(B44,Products!$A$2:$A$101,0))</f>
        <v>2</v>
      </c>
    </row>
    <row r="45" spans="1:8" ht="15" customHeight="1" x14ac:dyDescent="0.25">
      <c r="A45" s="10">
        <v>44</v>
      </c>
      <c r="B45" s="10">
        <v>99</v>
      </c>
      <c r="C45" s="10" t="s">
        <v>845</v>
      </c>
      <c r="D45" s="10" t="s">
        <v>173</v>
      </c>
      <c r="E45" s="10">
        <v>268</v>
      </c>
      <c r="F45" s="10" t="str">
        <f>INDEX(Products!$B$2:$B$101,MATCH(B45,Products!$A$2:$A$101,0))</f>
        <v>Honey Jar</v>
      </c>
      <c r="G45" s="10" t="str">
        <f>INDEX(Products!$J$2:$J$101,MATCH(B45,Products!$A$2:$A$101,0))</f>
        <v>Groceries</v>
      </c>
      <c r="H45" s="10">
        <f>INDEX(Products!$D$2:$D$101,MATCH(B45,Products!$A$2:$A$101,0))</f>
        <v>5</v>
      </c>
    </row>
    <row r="46" spans="1:8" ht="15" customHeight="1" x14ac:dyDescent="0.25">
      <c r="A46" s="10">
        <v>45</v>
      </c>
      <c r="B46" s="10">
        <v>27</v>
      </c>
      <c r="C46" s="10" t="s">
        <v>1380</v>
      </c>
      <c r="D46" s="10" t="s">
        <v>173</v>
      </c>
      <c r="E46" s="10">
        <v>153</v>
      </c>
      <c r="F46" s="10" t="str">
        <f>INDEX(Products!$B$2:$B$101,MATCH(B46,Products!$A$2:$A$101,0))</f>
        <v>Coffee Table</v>
      </c>
      <c r="G46" s="10" t="str">
        <f>INDEX(Products!$J$2:$J$101,MATCH(B46,Products!$A$2:$A$101,0))</f>
        <v>Furniture</v>
      </c>
      <c r="H46" s="10">
        <f>INDEX(Products!$D$2:$D$101,MATCH(B46,Products!$A$2:$A$101,0))</f>
        <v>7</v>
      </c>
    </row>
    <row r="47" spans="1:8" ht="15" customHeight="1" x14ac:dyDescent="0.25">
      <c r="A47" s="10">
        <v>46</v>
      </c>
      <c r="B47" s="10">
        <v>37</v>
      </c>
      <c r="C47" s="10" t="s">
        <v>821</v>
      </c>
      <c r="D47" s="10" t="s">
        <v>173</v>
      </c>
      <c r="E47" s="10">
        <v>175</v>
      </c>
      <c r="F47" s="10" t="str">
        <f>INDEX(Products!$B$2:$B$101,MATCH(B47,Products!$A$2:$A$101,0))</f>
        <v>Yoga Pants</v>
      </c>
      <c r="G47" s="10" t="str">
        <f>INDEX(Products!$J$2:$J$101,MATCH(B47,Products!$A$2:$A$101,0))</f>
        <v>Apparel</v>
      </c>
      <c r="H47" s="10">
        <f>INDEX(Products!$D$2:$D$101,MATCH(B47,Products!$A$2:$A$101,0))</f>
        <v>1</v>
      </c>
    </row>
    <row r="48" spans="1:8" ht="15" customHeight="1" x14ac:dyDescent="0.25">
      <c r="A48" s="10">
        <v>47</v>
      </c>
      <c r="B48" s="10">
        <v>56</v>
      </c>
      <c r="C48" s="10" t="s">
        <v>928</v>
      </c>
      <c r="D48" s="10" t="s">
        <v>176</v>
      </c>
      <c r="E48" s="10">
        <v>-9</v>
      </c>
      <c r="F48" s="10" t="str">
        <f>INDEX(Products!$B$2:$B$101,MATCH(B48,Products!$A$2:$A$101,0))</f>
        <v>Bicycle Helmet</v>
      </c>
      <c r="G48" s="10" t="str">
        <f>INDEX(Products!$J$2:$J$101,MATCH(B48,Products!$A$2:$A$101,0))</f>
        <v>Sporting Goods</v>
      </c>
      <c r="H48" s="10">
        <f>INDEX(Products!$D$2:$D$101,MATCH(B48,Products!$A$2:$A$101,0))</f>
        <v>8</v>
      </c>
    </row>
    <row r="49" spans="1:8" ht="15" customHeight="1" x14ac:dyDescent="0.25">
      <c r="A49" s="10">
        <v>48</v>
      </c>
      <c r="B49" s="10">
        <v>46</v>
      </c>
      <c r="C49" s="10" t="s">
        <v>915</v>
      </c>
      <c r="D49" s="10" t="s">
        <v>176</v>
      </c>
      <c r="E49" s="10">
        <v>-13</v>
      </c>
      <c r="F49" s="10" t="str">
        <f>INDEX(Products!$B$2:$B$101,MATCH(B49,Products!$A$2:$A$101,0))</f>
        <v>Cutlery Set</v>
      </c>
      <c r="G49" s="10" t="str">
        <f>INDEX(Products!$J$2:$J$101,MATCH(B49,Products!$A$2:$A$101,0))</f>
        <v>Home &amp; Kitchen</v>
      </c>
      <c r="H49" s="10">
        <f>INDEX(Products!$D$2:$D$101,MATCH(B49,Products!$A$2:$A$101,0))</f>
        <v>1</v>
      </c>
    </row>
    <row r="50" spans="1:8" ht="15" customHeight="1" x14ac:dyDescent="0.25">
      <c r="A50" s="10">
        <v>49</v>
      </c>
      <c r="B50" s="10">
        <v>63</v>
      </c>
      <c r="C50" s="10" t="s">
        <v>1381</v>
      </c>
      <c r="D50" s="10" t="s">
        <v>177</v>
      </c>
      <c r="E50" s="10">
        <v>-18</v>
      </c>
      <c r="F50" s="10" t="str">
        <f>INDEX(Products!$B$2:$B$101,MATCH(B50,Products!$A$2:$A$101,0))</f>
        <v>Puzzle 1000pc</v>
      </c>
      <c r="G50" s="10" t="str">
        <f>INDEX(Products!$J$2:$J$101,MATCH(B50,Products!$A$2:$A$101,0))</f>
        <v>Toys &amp; Games</v>
      </c>
      <c r="H50" s="10">
        <f>INDEX(Products!$D$2:$D$101,MATCH(B50,Products!$A$2:$A$101,0))</f>
        <v>2</v>
      </c>
    </row>
    <row r="51" spans="1:8" ht="15" customHeight="1" x14ac:dyDescent="0.25">
      <c r="A51" s="10">
        <v>50</v>
      </c>
      <c r="B51" s="10">
        <v>73</v>
      </c>
      <c r="C51" s="10" t="s">
        <v>994</v>
      </c>
      <c r="D51" s="10" t="s">
        <v>173</v>
      </c>
      <c r="E51" s="10">
        <v>158</v>
      </c>
      <c r="F51" s="10" t="str">
        <f>INDEX(Products!$B$2:$B$101,MATCH(B51,Products!$A$2:$A$101,0))</f>
        <v>Skincare Set</v>
      </c>
      <c r="G51" s="10" t="str">
        <f>INDEX(Products!$J$2:$J$101,MATCH(B51,Products!$A$2:$A$101,0))</f>
        <v>Health &amp; Beauty</v>
      </c>
      <c r="H51" s="10">
        <f>INDEX(Products!$D$2:$D$101,MATCH(B51,Products!$A$2:$A$101,0))</f>
        <v>4</v>
      </c>
    </row>
    <row r="52" spans="1:8" ht="15" customHeight="1" x14ac:dyDescent="0.25">
      <c r="A52" s="10">
        <v>51</v>
      </c>
      <c r="B52" s="10">
        <v>48</v>
      </c>
      <c r="C52" s="10" t="s">
        <v>1382</v>
      </c>
      <c r="D52" s="10" t="s">
        <v>173</v>
      </c>
      <c r="E52" s="10">
        <v>159</v>
      </c>
      <c r="F52" s="10" t="str">
        <f>INDEX(Products!$B$2:$B$101,MATCH(B52,Products!$A$2:$A$101,0))</f>
        <v>Dish Rack</v>
      </c>
      <c r="G52" s="10" t="str">
        <f>INDEX(Products!$J$2:$J$101,MATCH(B52,Products!$A$2:$A$101,0))</f>
        <v>Home &amp; Kitchen</v>
      </c>
      <c r="H52" s="10">
        <f>INDEX(Products!$D$2:$D$101,MATCH(B52,Products!$A$2:$A$101,0))</f>
        <v>4</v>
      </c>
    </row>
    <row r="53" spans="1:8" ht="15" customHeight="1" x14ac:dyDescent="0.25">
      <c r="A53" s="10">
        <v>52</v>
      </c>
      <c r="B53" s="10">
        <v>12</v>
      </c>
      <c r="C53" s="10" t="s">
        <v>1383</v>
      </c>
      <c r="D53" s="10" t="s">
        <v>177</v>
      </c>
      <c r="E53" s="10">
        <v>-15</v>
      </c>
      <c r="F53" s="10" t="str">
        <f>INDEX(Products!$B$2:$B$101,MATCH(B53,Products!$A$2:$A$101,0))</f>
        <v>Printer Paper (Ream)</v>
      </c>
      <c r="G53" s="10" t="str">
        <f>INDEX(Products!$J$2:$J$101,MATCH(B53,Products!$A$2:$A$101,0))</f>
        <v>Office Supplies</v>
      </c>
      <c r="H53" s="10">
        <f>INDEX(Products!$D$2:$D$101,MATCH(B53,Products!$A$2:$A$101,0))</f>
        <v>2</v>
      </c>
    </row>
    <row r="54" spans="1:8" ht="15" customHeight="1" x14ac:dyDescent="0.25">
      <c r="A54" s="10">
        <v>53</v>
      </c>
      <c r="B54" s="10">
        <v>83</v>
      </c>
      <c r="C54" s="10" t="s">
        <v>1088</v>
      </c>
      <c r="D54" s="10" t="s">
        <v>176</v>
      </c>
      <c r="E54" s="10">
        <v>-34</v>
      </c>
      <c r="F54" s="10" t="str">
        <f>INDEX(Products!$B$2:$B$101,MATCH(B54,Products!$A$2:$A$101,0))</f>
        <v>Air Filter</v>
      </c>
      <c r="G54" s="10" t="str">
        <f>INDEX(Products!$J$2:$J$101,MATCH(B54,Products!$A$2:$A$101,0))</f>
        <v>Automotive Parts</v>
      </c>
      <c r="H54" s="10">
        <f>INDEX(Products!$D$2:$D$101,MATCH(B54,Products!$A$2:$A$101,0))</f>
        <v>1</v>
      </c>
    </row>
    <row r="55" spans="1:8" ht="15" customHeight="1" x14ac:dyDescent="0.25">
      <c r="A55" s="10">
        <v>54</v>
      </c>
      <c r="B55" s="10">
        <v>11</v>
      </c>
      <c r="C55" s="10" t="s">
        <v>1384</v>
      </c>
      <c r="D55" s="10" t="s">
        <v>174</v>
      </c>
      <c r="E55" s="10">
        <v>-31</v>
      </c>
      <c r="F55" s="10" t="str">
        <f>INDEX(Products!$B$2:$B$101,MATCH(B55,Products!$A$2:$A$101,0))</f>
        <v>Stapler</v>
      </c>
      <c r="G55" s="10" t="str">
        <f>INDEX(Products!$J$2:$J$101,MATCH(B55,Products!$A$2:$A$101,0))</f>
        <v>Office Supplies</v>
      </c>
      <c r="H55" s="10">
        <f>INDEX(Products!$D$2:$D$101,MATCH(B55,Products!$A$2:$A$101,0))</f>
        <v>4</v>
      </c>
    </row>
    <row r="56" spans="1:8" ht="15" customHeight="1" x14ac:dyDescent="0.25">
      <c r="A56" s="10">
        <v>55</v>
      </c>
      <c r="B56" s="10">
        <v>39</v>
      </c>
      <c r="C56" s="10" t="s">
        <v>348</v>
      </c>
      <c r="D56" s="10" t="s">
        <v>176</v>
      </c>
      <c r="E56" s="10">
        <v>-20</v>
      </c>
      <c r="F56" s="10" t="str">
        <f>INDEX(Products!$B$2:$B$101,MATCH(B56,Products!$A$2:$A$101,0))</f>
        <v>Winter Gloves</v>
      </c>
      <c r="G56" s="10" t="str">
        <f>INDEX(Products!$J$2:$J$101,MATCH(B56,Products!$A$2:$A$101,0))</f>
        <v>Apparel</v>
      </c>
      <c r="H56" s="10">
        <f>INDEX(Products!$D$2:$D$101,MATCH(B56,Products!$A$2:$A$101,0))</f>
        <v>8</v>
      </c>
    </row>
    <row r="57" spans="1:8" ht="15" customHeight="1" x14ac:dyDescent="0.25">
      <c r="A57" s="10">
        <v>56</v>
      </c>
      <c r="B57" s="10">
        <v>32</v>
      </c>
      <c r="C57" s="10" t="s">
        <v>1086</v>
      </c>
      <c r="D57" s="10" t="s">
        <v>173</v>
      </c>
      <c r="E57" s="10">
        <v>195</v>
      </c>
      <c r="F57" s="10" t="str">
        <f>INDEX(Products!$B$2:$B$101,MATCH(B57,Products!$A$2:$A$101,0))</f>
        <v>Denim Jacket</v>
      </c>
      <c r="G57" s="10" t="str">
        <f>INDEX(Products!$J$2:$J$101,MATCH(B57,Products!$A$2:$A$101,0))</f>
        <v>Apparel</v>
      </c>
      <c r="H57" s="10">
        <f>INDEX(Products!$D$2:$D$101,MATCH(B57,Products!$A$2:$A$101,0))</f>
        <v>9</v>
      </c>
    </row>
    <row r="58" spans="1:8" ht="15" customHeight="1" x14ac:dyDescent="0.25">
      <c r="A58" s="10">
        <v>57</v>
      </c>
      <c r="B58" s="10">
        <v>7</v>
      </c>
      <c r="C58" s="10" t="s">
        <v>1385</v>
      </c>
      <c r="D58" s="10" t="s">
        <v>176</v>
      </c>
      <c r="E58" s="10">
        <v>-7</v>
      </c>
      <c r="F58" s="10" t="str">
        <f>INDEX(Products!$B$2:$B$101,MATCH(B58,Products!$A$2:$A$101,0))</f>
        <v>Smartwatch</v>
      </c>
      <c r="G58" s="10" t="str">
        <f>INDEX(Products!$J$2:$J$101,MATCH(B58,Products!$A$2:$A$101,0))</f>
        <v>Electronics</v>
      </c>
      <c r="H58" s="10">
        <f>INDEX(Products!$D$2:$D$101,MATCH(B58,Products!$A$2:$A$101,0))</f>
        <v>7</v>
      </c>
    </row>
    <row r="59" spans="1:8" ht="15" customHeight="1" x14ac:dyDescent="0.25">
      <c r="A59" s="10">
        <v>58</v>
      </c>
      <c r="B59" s="10">
        <v>66</v>
      </c>
      <c r="C59" s="10" t="s">
        <v>1362</v>
      </c>
      <c r="D59" s="10" t="s">
        <v>173</v>
      </c>
      <c r="E59" s="10">
        <v>168</v>
      </c>
      <c r="F59" s="10" t="str">
        <f>INDEX(Products!$B$2:$B$101,MATCH(B59,Products!$A$2:$A$101,0))</f>
        <v>Card Game Deck</v>
      </c>
      <c r="G59" s="10" t="str">
        <f>INDEX(Products!$J$2:$J$101,MATCH(B59,Products!$A$2:$A$101,0))</f>
        <v>Toys &amp; Games</v>
      </c>
      <c r="H59" s="10">
        <f>INDEX(Products!$D$2:$D$101,MATCH(B59,Products!$A$2:$A$101,0))</f>
        <v>12</v>
      </c>
    </row>
    <row r="60" spans="1:8" ht="15" customHeight="1" x14ac:dyDescent="0.25">
      <c r="A60" s="10">
        <v>59</v>
      </c>
      <c r="B60" s="10">
        <v>85</v>
      </c>
      <c r="C60" s="10" t="s">
        <v>288</v>
      </c>
      <c r="D60" s="10" t="s">
        <v>173</v>
      </c>
      <c r="E60" s="10">
        <v>199</v>
      </c>
      <c r="F60" s="10" t="str">
        <f>INDEX(Products!$B$2:$B$101,MATCH(B60,Products!$A$2:$A$101,0))</f>
        <v>Windshield Wipers</v>
      </c>
      <c r="G60" s="10" t="str">
        <f>INDEX(Products!$J$2:$J$101,MATCH(B60,Products!$A$2:$A$101,0))</f>
        <v>Automotive Parts</v>
      </c>
      <c r="H60" s="10">
        <f>INDEX(Products!$D$2:$D$101,MATCH(B60,Products!$A$2:$A$101,0))</f>
        <v>2</v>
      </c>
    </row>
    <row r="61" spans="1:8" ht="15" customHeight="1" x14ac:dyDescent="0.25">
      <c r="A61" s="10">
        <v>60</v>
      </c>
      <c r="B61" s="10">
        <v>11</v>
      </c>
      <c r="C61" s="10" t="s">
        <v>987</v>
      </c>
      <c r="D61" s="10" t="s">
        <v>173</v>
      </c>
      <c r="E61" s="10">
        <v>239</v>
      </c>
      <c r="F61" s="10" t="str">
        <f>INDEX(Products!$B$2:$B$101,MATCH(B61,Products!$A$2:$A$101,0))</f>
        <v>Stapler</v>
      </c>
      <c r="G61" s="10" t="str">
        <f>INDEX(Products!$J$2:$J$101,MATCH(B61,Products!$A$2:$A$101,0))</f>
        <v>Office Supplies</v>
      </c>
      <c r="H61" s="10">
        <f>INDEX(Products!$D$2:$D$101,MATCH(B61,Products!$A$2:$A$101,0))</f>
        <v>4</v>
      </c>
    </row>
    <row r="62" spans="1:8" ht="15" customHeight="1" x14ac:dyDescent="0.25">
      <c r="A62" s="10">
        <v>61</v>
      </c>
      <c r="B62" s="10">
        <v>85</v>
      </c>
      <c r="C62" s="10" t="s">
        <v>856</v>
      </c>
      <c r="D62" s="10" t="s">
        <v>173</v>
      </c>
      <c r="E62" s="10">
        <v>96</v>
      </c>
      <c r="F62" s="10" t="str">
        <f>INDEX(Products!$B$2:$B$101,MATCH(B62,Products!$A$2:$A$101,0))</f>
        <v>Windshield Wipers</v>
      </c>
      <c r="G62" s="10" t="str">
        <f>INDEX(Products!$J$2:$J$101,MATCH(B62,Products!$A$2:$A$101,0))</f>
        <v>Automotive Parts</v>
      </c>
      <c r="H62" s="10">
        <f>INDEX(Products!$D$2:$D$101,MATCH(B62,Products!$A$2:$A$101,0))</f>
        <v>2</v>
      </c>
    </row>
    <row r="63" spans="1:8" ht="15" customHeight="1" x14ac:dyDescent="0.25">
      <c r="A63" s="10">
        <v>62</v>
      </c>
      <c r="B63" s="10">
        <v>51</v>
      </c>
      <c r="C63" s="10" t="s">
        <v>1386</v>
      </c>
      <c r="D63" s="10" t="s">
        <v>173</v>
      </c>
      <c r="E63" s="10">
        <v>274</v>
      </c>
      <c r="F63" s="10" t="str">
        <f>INDEX(Products!$B$2:$B$101,MATCH(B63,Products!$A$2:$A$101,0))</f>
        <v>Yoga Mat</v>
      </c>
      <c r="G63" s="10" t="str">
        <f>INDEX(Products!$J$2:$J$101,MATCH(B63,Products!$A$2:$A$101,0))</f>
        <v>Sporting Goods</v>
      </c>
      <c r="H63" s="10">
        <f>INDEX(Products!$D$2:$D$101,MATCH(B63,Products!$A$2:$A$101,0))</f>
        <v>7</v>
      </c>
    </row>
    <row r="64" spans="1:8" ht="15" customHeight="1" x14ac:dyDescent="0.25">
      <c r="A64" s="10">
        <v>63</v>
      </c>
      <c r="B64" s="10">
        <v>91</v>
      </c>
      <c r="C64" s="10" t="s">
        <v>242</v>
      </c>
      <c r="D64" s="10" t="s">
        <v>173</v>
      </c>
      <c r="E64" s="10">
        <v>235</v>
      </c>
      <c r="F64" s="10" t="str">
        <f>INDEX(Products!$B$2:$B$101,MATCH(B64,Products!$A$2:$A$101,0))</f>
        <v>Organic Coffee Beans</v>
      </c>
      <c r="G64" s="10" t="str">
        <f>INDEX(Products!$J$2:$J$101,MATCH(B64,Products!$A$2:$A$101,0))</f>
        <v>Groceries</v>
      </c>
      <c r="H64" s="10">
        <f>INDEX(Products!$D$2:$D$101,MATCH(B64,Products!$A$2:$A$101,0))</f>
        <v>12</v>
      </c>
    </row>
    <row r="65" spans="1:8" ht="15" customHeight="1" x14ac:dyDescent="0.25">
      <c r="A65" s="10">
        <v>64</v>
      </c>
      <c r="B65" s="10">
        <v>59</v>
      </c>
      <c r="C65" s="10" t="s">
        <v>818</v>
      </c>
      <c r="D65" s="10" t="s">
        <v>177</v>
      </c>
      <c r="E65" s="10">
        <v>-22</v>
      </c>
      <c r="F65" s="10" t="str">
        <f>INDEX(Products!$B$2:$B$101,MATCH(B65,Products!$A$2:$A$101,0))</f>
        <v>Hiking Backpack</v>
      </c>
      <c r="G65" s="10" t="str">
        <f>INDEX(Products!$J$2:$J$101,MATCH(B65,Products!$A$2:$A$101,0))</f>
        <v>Sporting Goods</v>
      </c>
      <c r="H65" s="10">
        <f>INDEX(Products!$D$2:$D$101,MATCH(B65,Products!$A$2:$A$101,0))</f>
        <v>6</v>
      </c>
    </row>
    <row r="66" spans="1:8" ht="15" customHeight="1" x14ac:dyDescent="0.25">
      <c r="A66" s="10">
        <v>65</v>
      </c>
      <c r="B66" s="10">
        <v>24</v>
      </c>
      <c r="C66" s="10" t="s">
        <v>993</v>
      </c>
      <c r="D66" s="10" t="s">
        <v>173</v>
      </c>
      <c r="E66" s="10">
        <v>241</v>
      </c>
      <c r="F66" s="10" t="str">
        <f>INDEX(Products!$B$2:$B$101,MATCH(B66,Products!$A$2:$A$101,0))</f>
        <v>Filing Cabinet Wood</v>
      </c>
      <c r="G66" s="10" t="str">
        <f>INDEX(Products!$J$2:$J$101,MATCH(B66,Products!$A$2:$A$101,0))</f>
        <v>Furniture</v>
      </c>
      <c r="H66" s="10">
        <f>INDEX(Products!$D$2:$D$101,MATCH(B66,Products!$A$2:$A$101,0))</f>
        <v>7</v>
      </c>
    </row>
    <row r="67" spans="1:8" ht="15" customHeight="1" x14ac:dyDescent="0.25">
      <c r="A67" s="10">
        <v>66</v>
      </c>
      <c r="B67" s="10">
        <v>78</v>
      </c>
      <c r="C67" s="10" t="s">
        <v>1387</v>
      </c>
      <c r="D67" s="10" t="s">
        <v>174</v>
      </c>
      <c r="E67" s="10">
        <v>-28</v>
      </c>
      <c r="F67" s="10" t="str">
        <f>INDEX(Products!$B$2:$B$101,MATCH(B67,Products!$A$2:$A$101,0))</f>
        <v>Makeup Kit</v>
      </c>
      <c r="G67" s="10" t="str">
        <f>INDEX(Products!$J$2:$J$101,MATCH(B67,Products!$A$2:$A$101,0))</f>
        <v>Health &amp; Beauty</v>
      </c>
      <c r="H67" s="10">
        <f>INDEX(Products!$D$2:$D$101,MATCH(B67,Products!$A$2:$A$101,0))</f>
        <v>5</v>
      </c>
    </row>
    <row r="68" spans="1:8" ht="15" customHeight="1" x14ac:dyDescent="0.25">
      <c r="A68" s="10">
        <v>67</v>
      </c>
      <c r="B68" s="10">
        <v>69</v>
      </c>
      <c r="C68" s="10" t="s">
        <v>917</v>
      </c>
      <c r="D68" s="10" t="s">
        <v>173</v>
      </c>
      <c r="E68" s="10">
        <v>79</v>
      </c>
      <c r="F68" s="10" t="str">
        <f>INDEX(Products!$B$2:$B$101,MATCH(B68,Products!$A$2:$A$101,0))</f>
        <v>Toy Drone</v>
      </c>
      <c r="G68" s="10" t="str">
        <f>INDEX(Products!$J$2:$J$101,MATCH(B68,Products!$A$2:$A$101,0))</f>
        <v>Toys &amp; Games</v>
      </c>
      <c r="H68" s="10">
        <f>INDEX(Products!$D$2:$D$101,MATCH(B68,Products!$A$2:$A$101,0))</f>
        <v>7</v>
      </c>
    </row>
    <row r="69" spans="1:8" ht="15" customHeight="1" x14ac:dyDescent="0.25">
      <c r="A69" s="10">
        <v>68</v>
      </c>
      <c r="B69" s="10">
        <v>2</v>
      </c>
      <c r="C69" s="10" t="s">
        <v>1388</v>
      </c>
      <c r="D69" s="10" t="s">
        <v>177</v>
      </c>
      <c r="E69" s="10">
        <v>-26</v>
      </c>
      <c r="F69" s="10" t="str">
        <f>INDEX(Products!$B$2:$B$101,MATCH(B69,Products!$A$2:$A$101,0))</f>
        <v>Bluetooth Speaker</v>
      </c>
      <c r="G69" s="10" t="str">
        <f>INDEX(Products!$J$2:$J$101,MATCH(B69,Products!$A$2:$A$101,0))</f>
        <v>Electronics</v>
      </c>
      <c r="H69" s="10">
        <f>INDEX(Products!$D$2:$D$101,MATCH(B69,Products!$A$2:$A$101,0))</f>
        <v>7</v>
      </c>
    </row>
    <row r="70" spans="1:8" ht="15" customHeight="1" x14ac:dyDescent="0.25">
      <c r="A70" s="10">
        <v>69</v>
      </c>
      <c r="B70" s="10">
        <v>85</v>
      </c>
      <c r="C70" s="10" t="s">
        <v>1020</v>
      </c>
      <c r="D70" s="10" t="s">
        <v>173</v>
      </c>
      <c r="E70" s="10">
        <v>258</v>
      </c>
      <c r="F70" s="10" t="str">
        <f>INDEX(Products!$B$2:$B$101,MATCH(B70,Products!$A$2:$A$101,0))</f>
        <v>Windshield Wipers</v>
      </c>
      <c r="G70" s="10" t="str">
        <f>INDEX(Products!$J$2:$J$101,MATCH(B70,Products!$A$2:$A$101,0))</f>
        <v>Automotive Parts</v>
      </c>
      <c r="H70" s="10">
        <f>INDEX(Products!$D$2:$D$101,MATCH(B70,Products!$A$2:$A$101,0))</f>
        <v>2</v>
      </c>
    </row>
    <row r="71" spans="1:8" ht="15" customHeight="1" x14ac:dyDescent="0.25">
      <c r="A71" s="10">
        <v>70</v>
      </c>
      <c r="B71" s="10">
        <v>79</v>
      </c>
      <c r="C71" s="10" t="s">
        <v>1183</v>
      </c>
      <c r="D71" s="10" t="s">
        <v>176</v>
      </c>
      <c r="E71" s="10">
        <v>-26</v>
      </c>
      <c r="F71" s="10" t="str">
        <f>INDEX(Products!$B$2:$B$101,MATCH(B71,Products!$A$2:$A$101,0))</f>
        <v>Essential Oil Set</v>
      </c>
      <c r="G71" s="10" t="str">
        <f>INDEX(Products!$J$2:$J$101,MATCH(B71,Products!$A$2:$A$101,0))</f>
        <v>Health &amp; Beauty</v>
      </c>
      <c r="H71" s="10">
        <f>INDEX(Products!$D$2:$D$101,MATCH(B71,Products!$A$2:$A$101,0))</f>
        <v>11</v>
      </c>
    </row>
    <row r="72" spans="1:8" ht="15" customHeight="1" x14ac:dyDescent="0.25">
      <c r="A72" s="10">
        <v>71</v>
      </c>
      <c r="B72" s="10">
        <v>39</v>
      </c>
      <c r="C72" s="10" t="s">
        <v>1389</v>
      </c>
      <c r="D72" s="10" t="s">
        <v>173</v>
      </c>
      <c r="E72" s="10">
        <v>53</v>
      </c>
      <c r="F72" s="10" t="str">
        <f>INDEX(Products!$B$2:$B$101,MATCH(B72,Products!$A$2:$A$101,0))</f>
        <v>Winter Gloves</v>
      </c>
      <c r="G72" s="10" t="str">
        <f>INDEX(Products!$J$2:$J$101,MATCH(B72,Products!$A$2:$A$101,0))</f>
        <v>Apparel</v>
      </c>
      <c r="H72" s="10">
        <f>INDEX(Products!$D$2:$D$101,MATCH(B72,Products!$A$2:$A$101,0))</f>
        <v>8</v>
      </c>
    </row>
    <row r="73" spans="1:8" ht="15" customHeight="1" x14ac:dyDescent="0.25">
      <c r="A73" s="10">
        <v>72</v>
      </c>
      <c r="B73" s="10">
        <v>25</v>
      </c>
      <c r="C73" s="10" t="s">
        <v>896</v>
      </c>
      <c r="D73" s="10" t="s">
        <v>176</v>
      </c>
      <c r="E73" s="10">
        <v>-13</v>
      </c>
      <c r="F73" s="10" t="str">
        <f>INDEX(Products!$B$2:$B$101,MATCH(B73,Products!$A$2:$A$101,0))</f>
        <v>Conference Table</v>
      </c>
      <c r="G73" s="10" t="str">
        <f>INDEX(Products!$J$2:$J$101,MATCH(B73,Products!$A$2:$A$101,0))</f>
        <v>Furniture</v>
      </c>
      <c r="H73" s="10">
        <f>INDEX(Products!$D$2:$D$101,MATCH(B73,Products!$A$2:$A$101,0))</f>
        <v>6</v>
      </c>
    </row>
    <row r="74" spans="1:8" ht="15" customHeight="1" x14ac:dyDescent="0.25">
      <c r="A74" s="10">
        <v>73</v>
      </c>
      <c r="B74" s="10">
        <v>4</v>
      </c>
      <c r="C74" s="10" t="s">
        <v>1126</v>
      </c>
      <c r="D74" s="10" t="s">
        <v>174</v>
      </c>
      <c r="E74" s="10">
        <v>-16</v>
      </c>
      <c r="F74" s="10" t="str">
        <f>INDEX(Products!$B$2:$B$101,MATCH(B74,Products!$A$2:$A$101,0))</f>
        <v>4K Monitor</v>
      </c>
      <c r="G74" s="10" t="str">
        <f>INDEX(Products!$J$2:$J$101,MATCH(B74,Products!$A$2:$A$101,0))</f>
        <v>Electronics</v>
      </c>
      <c r="H74" s="10">
        <f>INDEX(Products!$D$2:$D$101,MATCH(B74,Products!$A$2:$A$101,0))</f>
        <v>11</v>
      </c>
    </row>
    <row r="75" spans="1:8" ht="15" customHeight="1" x14ac:dyDescent="0.25">
      <c r="A75" s="10">
        <v>74</v>
      </c>
      <c r="B75" s="10">
        <v>56</v>
      </c>
      <c r="C75" s="10" t="s">
        <v>1390</v>
      </c>
      <c r="D75" s="10" t="s">
        <v>173</v>
      </c>
      <c r="E75" s="10">
        <v>247</v>
      </c>
      <c r="F75" s="10" t="str">
        <f>INDEX(Products!$B$2:$B$101,MATCH(B75,Products!$A$2:$A$101,0))</f>
        <v>Bicycle Helmet</v>
      </c>
      <c r="G75" s="10" t="str">
        <f>INDEX(Products!$J$2:$J$101,MATCH(B75,Products!$A$2:$A$101,0))</f>
        <v>Sporting Goods</v>
      </c>
      <c r="H75" s="10">
        <f>INDEX(Products!$D$2:$D$101,MATCH(B75,Products!$A$2:$A$101,0))</f>
        <v>8</v>
      </c>
    </row>
    <row r="76" spans="1:8" ht="15" customHeight="1" x14ac:dyDescent="0.25">
      <c r="A76" s="10">
        <v>75</v>
      </c>
      <c r="B76" s="10">
        <v>60</v>
      </c>
      <c r="C76" s="10" t="s">
        <v>835</v>
      </c>
      <c r="D76" s="10" t="s">
        <v>174</v>
      </c>
      <c r="E76" s="10">
        <v>-8</v>
      </c>
      <c r="F76" s="10" t="str">
        <f>INDEX(Products!$B$2:$B$101,MATCH(B76,Products!$A$2:$A$101,0))</f>
        <v>Jump Rope</v>
      </c>
      <c r="G76" s="10" t="str">
        <f>INDEX(Products!$J$2:$J$101,MATCH(B76,Products!$A$2:$A$101,0))</f>
        <v>Sporting Goods</v>
      </c>
      <c r="H76" s="10">
        <f>INDEX(Products!$D$2:$D$101,MATCH(B76,Products!$A$2:$A$101,0))</f>
        <v>1</v>
      </c>
    </row>
    <row r="77" spans="1:8" ht="15" customHeight="1" x14ac:dyDescent="0.25">
      <c r="A77" s="10">
        <v>76</v>
      </c>
      <c r="B77" s="10">
        <v>22</v>
      </c>
      <c r="C77" s="10" t="s">
        <v>1391</v>
      </c>
      <c r="D77" s="10" t="s">
        <v>177</v>
      </c>
      <c r="E77" s="10">
        <v>-32</v>
      </c>
      <c r="F77" s="10" t="str">
        <f>INDEX(Products!$B$2:$B$101,MATCH(B77,Products!$A$2:$A$101,0))</f>
        <v>Standing Desk</v>
      </c>
      <c r="G77" s="10" t="str">
        <f>INDEX(Products!$J$2:$J$101,MATCH(B77,Products!$A$2:$A$101,0))</f>
        <v>Furniture</v>
      </c>
      <c r="H77" s="10">
        <f>INDEX(Products!$D$2:$D$101,MATCH(B77,Products!$A$2:$A$101,0))</f>
        <v>12</v>
      </c>
    </row>
    <row r="78" spans="1:8" ht="15" customHeight="1" x14ac:dyDescent="0.25">
      <c r="A78" s="10">
        <v>77</v>
      </c>
      <c r="B78" s="10">
        <v>61</v>
      </c>
      <c r="C78" s="10" t="s">
        <v>1223</v>
      </c>
      <c r="D78" s="10" t="s">
        <v>176</v>
      </c>
      <c r="E78" s="10">
        <v>-16</v>
      </c>
      <c r="F78" s="10" t="str">
        <f>INDEX(Products!$B$2:$B$101,MATCH(B78,Products!$A$2:$A$101,0))</f>
        <v>Building Blocks Set</v>
      </c>
      <c r="G78" s="10" t="str">
        <f>INDEX(Products!$J$2:$J$101,MATCH(B78,Products!$A$2:$A$101,0))</f>
        <v>Toys &amp; Games</v>
      </c>
      <c r="H78" s="10">
        <f>INDEX(Products!$D$2:$D$101,MATCH(B78,Products!$A$2:$A$101,0))</f>
        <v>6</v>
      </c>
    </row>
    <row r="79" spans="1:8" ht="15" customHeight="1" x14ac:dyDescent="0.25">
      <c r="A79" s="10">
        <v>78</v>
      </c>
      <c r="B79" s="10">
        <v>26</v>
      </c>
      <c r="C79" s="10" t="s">
        <v>953</v>
      </c>
      <c r="D79" s="10" t="s">
        <v>177</v>
      </c>
      <c r="E79" s="10">
        <v>-4</v>
      </c>
      <c r="F79" s="10" t="str">
        <f>INDEX(Products!$B$2:$B$101,MATCH(B79,Products!$A$2:$A$101,0))</f>
        <v>Sofa</v>
      </c>
      <c r="G79" s="10" t="str">
        <f>INDEX(Products!$J$2:$J$101,MATCH(B79,Products!$A$2:$A$101,0))</f>
        <v>Furniture</v>
      </c>
      <c r="H79" s="10">
        <f>INDEX(Products!$D$2:$D$101,MATCH(B79,Products!$A$2:$A$101,0))</f>
        <v>5</v>
      </c>
    </row>
    <row r="80" spans="1:8" ht="15" customHeight="1" x14ac:dyDescent="0.25">
      <c r="A80" s="10">
        <v>79</v>
      </c>
      <c r="B80" s="10">
        <v>43</v>
      </c>
      <c r="C80" s="10" t="s">
        <v>1392</v>
      </c>
      <c r="D80" s="10" t="s">
        <v>173</v>
      </c>
      <c r="E80" s="10">
        <v>266</v>
      </c>
      <c r="F80" s="10" t="str">
        <f>INDEX(Products!$B$2:$B$101,MATCH(B80,Products!$A$2:$A$101,0))</f>
        <v>Non-stick Pan Set</v>
      </c>
      <c r="G80" s="10" t="str">
        <f>INDEX(Products!$J$2:$J$101,MATCH(B80,Products!$A$2:$A$101,0))</f>
        <v>Home &amp; Kitchen</v>
      </c>
      <c r="H80" s="10">
        <f>INDEX(Products!$D$2:$D$101,MATCH(B80,Products!$A$2:$A$101,0))</f>
        <v>10</v>
      </c>
    </row>
    <row r="81" spans="1:8" ht="15" customHeight="1" x14ac:dyDescent="0.25">
      <c r="A81" s="10">
        <v>80</v>
      </c>
      <c r="B81" s="10">
        <v>92</v>
      </c>
      <c r="C81" s="10" t="s">
        <v>1393</v>
      </c>
      <c r="D81" s="10" t="s">
        <v>177</v>
      </c>
      <c r="E81" s="10">
        <v>-38</v>
      </c>
      <c r="F81" s="10" t="str">
        <f>INDEX(Products!$B$2:$B$101,MATCH(B81,Products!$A$2:$A$101,0))</f>
        <v>Olive Oil 1L</v>
      </c>
      <c r="G81" s="10" t="str">
        <f>INDEX(Products!$J$2:$J$101,MATCH(B81,Products!$A$2:$A$101,0))</f>
        <v>Groceries</v>
      </c>
      <c r="H81" s="10">
        <f>INDEX(Products!$D$2:$D$101,MATCH(B81,Products!$A$2:$A$101,0))</f>
        <v>10</v>
      </c>
    </row>
    <row r="82" spans="1:8" ht="15" customHeight="1" x14ac:dyDescent="0.25">
      <c r="A82" s="10">
        <v>81</v>
      </c>
      <c r="B82" s="10">
        <v>77</v>
      </c>
      <c r="C82" s="10" t="s">
        <v>1384</v>
      </c>
      <c r="D82" s="10" t="s">
        <v>173</v>
      </c>
      <c r="E82" s="10">
        <v>152</v>
      </c>
      <c r="F82" s="10" t="str">
        <f>INDEX(Products!$B$2:$B$101,MATCH(B82,Products!$A$2:$A$101,0))</f>
        <v>Sunscreen SPF50</v>
      </c>
      <c r="G82" s="10" t="str">
        <f>INDEX(Products!$J$2:$J$101,MATCH(B82,Products!$A$2:$A$101,0))</f>
        <v>Health &amp; Beauty</v>
      </c>
      <c r="H82" s="10">
        <f>INDEX(Products!$D$2:$D$101,MATCH(B82,Products!$A$2:$A$101,0))</f>
        <v>12</v>
      </c>
    </row>
    <row r="83" spans="1:8" ht="15" customHeight="1" x14ac:dyDescent="0.25">
      <c r="A83" s="10">
        <v>82</v>
      </c>
      <c r="B83" s="10">
        <v>63</v>
      </c>
      <c r="C83" s="10" t="s">
        <v>1394</v>
      </c>
      <c r="D83" s="10" t="s">
        <v>176</v>
      </c>
      <c r="E83" s="10">
        <v>-32</v>
      </c>
      <c r="F83" s="10" t="str">
        <f>INDEX(Products!$B$2:$B$101,MATCH(B83,Products!$A$2:$A$101,0))</f>
        <v>Puzzle 1000pc</v>
      </c>
      <c r="G83" s="10" t="str">
        <f>INDEX(Products!$J$2:$J$101,MATCH(B83,Products!$A$2:$A$101,0))</f>
        <v>Toys &amp; Games</v>
      </c>
      <c r="H83" s="10">
        <f>INDEX(Products!$D$2:$D$101,MATCH(B83,Products!$A$2:$A$101,0))</f>
        <v>2</v>
      </c>
    </row>
    <row r="84" spans="1:8" ht="15" customHeight="1" x14ac:dyDescent="0.25">
      <c r="A84" s="10">
        <v>83</v>
      </c>
      <c r="B84" s="10">
        <v>30</v>
      </c>
      <c r="C84" s="10" t="s">
        <v>1093</v>
      </c>
      <c r="D84" s="10" t="s">
        <v>177</v>
      </c>
      <c r="E84" s="10">
        <v>-37</v>
      </c>
      <c r="F84" s="10" t="str">
        <f>INDEX(Products!$B$2:$B$101,MATCH(B84,Products!$A$2:$A$101,0))</f>
        <v>Bar Stool</v>
      </c>
      <c r="G84" s="10" t="str">
        <f>INDEX(Products!$J$2:$J$101,MATCH(B84,Products!$A$2:$A$101,0))</f>
        <v>Furniture</v>
      </c>
      <c r="H84" s="10">
        <f>INDEX(Products!$D$2:$D$101,MATCH(B84,Products!$A$2:$A$101,0))</f>
        <v>7</v>
      </c>
    </row>
    <row r="85" spans="1:8" ht="15" customHeight="1" x14ac:dyDescent="0.25">
      <c r="A85" s="10">
        <v>84</v>
      </c>
      <c r="B85" s="10">
        <v>41</v>
      </c>
      <c r="C85" s="10" t="s">
        <v>1171</v>
      </c>
      <c r="D85" s="10" t="s">
        <v>173</v>
      </c>
      <c r="E85" s="10">
        <v>215</v>
      </c>
      <c r="F85" s="10" t="str">
        <f>INDEX(Products!$B$2:$B$101,MATCH(B85,Products!$A$2:$A$101,0))</f>
        <v>Blender</v>
      </c>
      <c r="G85" s="10" t="str">
        <f>INDEX(Products!$J$2:$J$101,MATCH(B85,Products!$A$2:$A$101,0))</f>
        <v>Home &amp; Kitchen</v>
      </c>
      <c r="H85" s="10">
        <f>INDEX(Products!$D$2:$D$101,MATCH(B85,Products!$A$2:$A$101,0))</f>
        <v>7</v>
      </c>
    </row>
    <row r="86" spans="1:8" ht="15" customHeight="1" x14ac:dyDescent="0.25">
      <c r="A86" s="10">
        <v>85</v>
      </c>
      <c r="B86" s="10">
        <v>54</v>
      </c>
      <c r="C86" s="10" t="s">
        <v>1185</v>
      </c>
      <c r="D86" s="10" t="s">
        <v>173</v>
      </c>
      <c r="E86" s="10">
        <v>209</v>
      </c>
      <c r="F86" s="10" t="str">
        <f>INDEX(Products!$B$2:$B$101,MATCH(B86,Products!$A$2:$A$101,0))</f>
        <v>Tennis Racket</v>
      </c>
      <c r="G86" s="10" t="str">
        <f>INDEX(Products!$J$2:$J$101,MATCH(B86,Products!$A$2:$A$101,0))</f>
        <v>Sporting Goods</v>
      </c>
      <c r="H86" s="10">
        <f>INDEX(Products!$D$2:$D$101,MATCH(B86,Products!$A$2:$A$101,0))</f>
        <v>11</v>
      </c>
    </row>
    <row r="87" spans="1:8" ht="15" customHeight="1" x14ac:dyDescent="0.25">
      <c r="A87" s="10">
        <v>86</v>
      </c>
      <c r="B87" s="10">
        <v>83</v>
      </c>
      <c r="C87" s="10" t="s">
        <v>1395</v>
      </c>
      <c r="D87" s="10" t="s">
        <v>173</v>
      </c>
      <c r="E87" s="10">
        <v>161</v>
      </c>
      <c r="F87" s="10" t="str">
        <f>INDEX(Products!$B$2:$B$101,MATCH(B87,Products!$A$2:$A$101,0))</f>
        <v>Air Filter</v>
      </c>
      <c r="G87" s="10" t="str">
        <f>INDEX(Products!$J$2:$J$101,MATCH(B87,Products!$A$2:$A$101,0))</f>
        <v>Automotive Parts</v>
      </c>
      <c r="H87" s="10">
        <f>INDEX(Products!$D$2:$D$101,MATCH(B87,Products!$A$2:$A$101,0))</f>
        <v>1</v>
      </c>
    </row>
    <row r="88" spans="1:8" ht="15" customHeight="1" x14ac:dyDescent="0.25">
      <c r="A88" s="10">
        <v>87</v>
      </c>
      <c r="B88" s="10">
        <v>3</v>
      </c>
      <c r="C88" s="10" t="s">
        <v>949</v>
      </c>
      <c r="D88" s="10" t="s">
        <v>173</v>
      </c>
      <c r="E88" s="10">
        <v>99</v>
      </c>
      <c r="F88" s="10" t="str">
        <f>INDEX(Products!$B$2:$B$101,MATCH(B88,Products!$A$2:$A$101,0))</f>
        <v>USB-C Hub</v>
      </c>
      <c r="G88" s="10" t="str">
        <f>INDEX(Products!$J$2:$J$101,MATCH(B88,Products!$A$2:$A$101,0))</f>
        <v>Electronics</v>
      </c>
      <c r="H88" s="10">
        <f>INDEX(Products!$D$2:$D$101,MATCH(B88,Products!$A$2:$A$101,0))</f>
        <v>8</v>
      </c>
    </row>
    <row r="89" spans="1:8" ht="15" customHeight="1" x14ac:dyDescent="0.25">
      <c r="A89" s="10">
        <v>88</v>
      </c>
      <c r="B89" s="10">
        <v>61</v>
      </c>
      <c r="C89" s="10" t="s">
        <v>947</v>
      </c>
      <c r="D89" s="10" t="s">
        <v>173</v>
      </c>
      <c r="E89" s="10">
        <v>179</v>
      </c>
      <c r="F89" s="10" t="str">
        <f>INDEX(Products!$B$2:$B$101,MATCH(B89,Products!$A$2:$A$101,0))</f>
        <v>Building Blocks Set</v>
      </c>
      <c r="G89" s="10" t="str">
        <f>INDEX(Products!$J$2:$J$101,MATCH(B89,Products!$A$2:$A$101,0))</f>
        <v>Toys &amp; Games</v>
      </c>
      <c r="H89" s="10">
        <f>INDEX(Products!$D$2:$D$101,MATCH(B89,Products!$A$2:$A$101,0))</f>
        <v>6</v>
      </c>
    </row>
    <row r="90" spans="1:8" ht="15" customHeight="1" x14ac:dyDescent="0.25">
      <c r="A90" s="10">
        <v>89</v>
      </c>
      <c r="B90" s="10">
        <v>29</v>
      </c>
      <c r="C90" s="10" t="s">
        <v>1396</v>
      </c>
      <c r="D90" s="10" t="s">
        <v>176</v>
      </c>
      <c r="E90" s="10">
        <v>-30</v>
      </c>
      <c r="F90" s="10" t="str">
        <f>INDEX(Products!$B$2:$B$101,MATCH(B90,Products!$A$2:$A$101,0))</f>
        <v>Storage Cabinet</v>
      </c>
      <c r="G90" s="10" t="str">
        <f>INDEX(Products!$J$2:$J$101,MATCH(B90,Products!$A$2:$A$101,0))</f>
        <v>Furniture</v>
      </c>
      <c r="H90" s="10">
        <f>INDEX(Products!$D$2:$D$101,MATCH(B90,Products!$A$2:$A$101,0))</f>
        <v>4</v>
      </c>
    </row>
    <row r="91" spans="1:8" ht="15" customHeight="1" x14ac:dyDescent="0.25">
      <c r="A91" s="10">
        <v>90</v>
      </c>
      <c r="B91" s="10">
        <v>17</v>
      </c>
      <c r="C91" s="10" t="s">
        <v>1397</v>
      </c>
      <c r="D91" s="10" t="s">
        <v>177</v>
      </c>
      <c r="E91" s="10">
        <v>-27</v>
      </c>
      <c r="F91" s="10" t="str">
        <f>INDEX(Products!$B$2:$B$101,MATCH(B91,Products!$A$2:$A$101,0))</f>
        <v>Binder Clips</v>
      </c>
      <c r="G91" s="10" t="str">
        <f>INDEX(Products!$J$2:$J$101,MATCH(B91,Products!$A$2:$A$101,0))</f>
        <v>Office Supplies</v>
      </c>
      <c r="H91" s="10">
        <f>INDEX(Products!$D$2:$D$101,MATCH(B91,Products!$A$2:$A$101,0))</f>
        <v>11</v>
      </c>
    </row>
    <row r="92" spans="1:8" ht="15" customHeight="1" x14ac:dyDescent="0.25">
      <c r="A92" s="10">
        <v>91</v>
      </c>
      <c r="B92" s="10">
        <v>87</v>
      </c>
      <c r="C92" s="10" t="s">
        <v>1001</v>
      </c>
      <c r="D92" s="10" t="s">
        <v>174</v>
      </c>
      <c r="E92" s="10">
        <v>-40</v>
      </c>
      <c r="F92" s="10" t="str">
        <f>INDEX(Products!$B$2:$B$101,MATCH(B92,Products!$A$2:$A$101,0))</f>
        <v>Floor Mats</v>
      </c>
      <c r="G92" s="10" t="str">
        <f>INDEX(Products!$J$2:$J$101,MATCH(B92,Products!$A$2:$A$101,0))</f>
        <v>Automotive Parts</v>
      </c>
      <c r="H92" s="10">
        <f>INDEX(Products!$D$2:$D$101,MATCH(B92,Products!$A$2:$A$101,0))</f>
        <v>1</v>
      </c>
    </row>
    <row r="93" spans="1:8" ht="15" customHeight="1" x14ac:dyDescent="0.25">
      <c r="A93" s="10">
        <v>92</v>
      </c>
      <c r="B93" s="10">
        <v>27</v>
      </c>
      <c r="C93" s="10" t="s">
        <v>1398</v>
      </c>
      <c r="D93" s="10" t="s">
        <v>174</v>
      </c>
      <c r="E93" s="10">
        <v>-31</v>
      </c>
      <c r="F93" s="10" t="str">
        <f>INDEX(Products!$B$2:$B$101,MATCH(B93,Products!$A$2:$A$101,0))</f>
        <v>Coffee Table</v>
      </c>
      <c r="G93" s="10" t="str">
        <f>INDEX(Products!$J$2:$J$101,MATCH(B93,Products!$A$2:$A$101,0))</f>
        <v>Furniture</v>
      </c>
      <c r="H93" s="10">
        <f>INDEX(Products!$D$2:$D$101,MATCH(B93,Products!$A$2:$A$101,0))</f>
        <v>7</v>
      </c>
    </row>
    <row r="94" spans="1:8" ht="15" customHeight="1" x14ac:dyDescent="0.25">
      <c r="A94" s="10">
        <v>93</v>
      </c>
      <c r="B94" s="10">
        <v>17</v>
      </c>
      <c r="C94" s="10" t="s">
        <v>967</v>
      </c>
      <c r="D94" s="10" t="s">
        <v>173</v>
      </c>
      <c r="E94" s="10">
        <v>205</v>
      </c>
      <c r="F94" s="10" t="str">
        <f>INDEX(Products!$B$2:$B$101,MATCH(B94,Products!$A$2:$A$101,0))</f>
        <v>Binder Clips</v>
      </c>
      <c r="G94" s="10" t="str">
        <f>INDEX(Products!$J$2:$J$101,MATCH(B94,Products!$A$2:$A$101,0))</f>
        <v>Office Supplies</v>
      </c>
      <c r="H94" s="10">
        <f>INDEX(Products!$D$2:$D$101,MATCH(B94,Products!$A$2:$A$101,0))</f>
        <v>11</v>
      </c>
    </row>
    <row r="95" spans="1:8" ht="15" customHeight="1" x14ac:dyDescent="0.25">
      <c r="A95" s="10">
        <v>94</v>
      </c>
      <c r="B95" s="10">
        <v>63</v>
      </c>
      <c r="C95" s="10" t="s">
        <v>952</v>
      </c>
      <c r="D95" s="10" t="s">
        <v>177</v>
      </c>
      <c r="E95" s="10">
        <v>-20</v>
      </c>
      <c r="F95" s="10" t="str">
        <f>INDEX(Products!$B$2:$B$101,MATCH(B95,Products!$A$2:$A$101,0))</f>
        <v>Puzzle 1000pc</v>
      </c>
      <c r="G95" s="10" t="str">
        <f>INDEX(Products!$J$2:$J$101,MATCH(B95,Products!$A$2:$A$101,0))</f>
        <v>Toys &amp; Games</v>
      </c>
      <c r="H95" s="10">
        <f>INDEX(Products!$D$2:$D$101,MATCH(B95,Products!$A$2:$A$101,0))</f>
        <v>2</v>
      </c>
    </row>
    <row r="96" spans="1:8" ht="15" customHeight="1" x14ac:dyDescent="0.25">
      <c r="A96" s="10">
        <v>95</v>
      </c>
      <c r="B96" s="10">
        <v>31</v>
      </c>
      <c r="C96" s="10" t="s">
        <v>1126</v>
      </c>
      <c r="D96" s="10" t="s">
        <v>174</v>
      </c>
      <c r="E96" s="10">
        <v>-23</v>
      </c>
      <c r="F96" s="10" t="str">
        <f>INDEX(Products!$B$2:$B$101,MATCH(B96,Products!$A$2:$A$101,0))</f>
        <v>Cotton T-Shirt</v>
      </c>
      <c r="G96" s="10" t="str">
        <f>INDEX(Products!$J$2:$J$101,MATCH(B96,Products!$A$2:$A$101,0))</f>
        <v>Apparel</v>
      </c>
      <c r="H96" s="10">
        <f>INDEX(Products!$D$2:$D$101,MATCH(B96,Products!$A$2:$A$101,0))</f>
        <v>5</v>
      </c>
    </row>
    <row r="97" spans="1:8" ht="15" customHeight="1" x14ac:dyDescent="0.25">
      <c r="A97" s="10">
        <v>96</v>
      </c>
      <c r="B97" s="10">
        <v>34</v>
      </c>
      <c r="C97" s="10" t="s">
        <v>1204</v>
      </c>
      <c r="D97" s="10" t="s">
        <v>174</v>
      </c>
      <c r="E97" s="10">
        <v>-33</v>
      </c>
      <c r="F97" s="10" t="str">
        <f>INDEX(Products!$B$2:$B$101,MATCH(B97,Products!$A$2:$A$101,0))</f>
        <v>Wool Sweater</v>
      </c>
      <c r="G97" s="10" t="str">
        <f>INDEX(Products!$J$2:$J$101,MATCH(B97,Products!$A$2:$A$101,0))</f>
        <v>Apparel</v>
      </c>
      <c r="H97" s="10">
        <f>INDEX(Products!$D$2:$D$101,MATCH(B97,Products!$A$2:$A$101,0))</f>
        <v>2</v>
      </c>
    </row>
    <row r="98" spans="1:8" ht="15" customHeight="1" x14ac:dyDescent="0.25">
      <c r="A98" s="10">
        <v>97</v>
      </c>
      <c r="B98" s="10">
        <v>5</v>
      </c>
      <c r="C98" s="10" t="s">
        <v>1171</v>
      </c>
      <c r="D98" s="10" t="s">
        <v>173</v>
      </c>
      <c r="E98" s="10">
        <v>79</v>
      </c>
      <c r="F98" s="10" t="str">
        <f>INDEX(Products!$B$2:$B$101,MATCH(B98,Products!$A$2:$A$101,0))</f>
        <v>Mechanical Keyboard</v>
      </c>
      <c r="G98" s="10" t="str">
        <f>INDEX(Products!$J$2:$J$101,MATCH(B98,Products!$A$2:$A$101,0))</f>
        <v>Electronics</v>
      </c>
      <c r="H98" s="10">
        <f>INDEX(Products!$D$2:$D$101,MATCH(B98,Products!$A$2:$A$101,0))</f>
        <v>10</v>
      </c>
    </row>
    <row r="99" spans="1:8" ht="15" customHeight="1" x14ac:dyDescent="0.25">
      <c r="A99" s="10">
        <v>98</v>
      </c>
      <c r="B99" s="10">
        <v>80</v>
      </c>
      <c r="C99" s="10" t="s">
        <v>1399</v>
      </c>
      <c r="D99" s="10" t="s">
        <v>173</v>
      </c>
      <c r="E99" s="10">
        <v>107</v>
      </c>
      <c r="F99" s="10" t="str">
        <f>INDEX(Products!$B$2:$B$101,MATCH(B99,Products!$A$2:$A$101,0))</f>
        <v>Body Lotion</v>
      </c>
      <c r="G99" s="10" t="str">
        <f>INDEX(Products!$J$2:$J$101,MATCH(B99,Products!$A$2:$A$101,0))</f>
        <v>Health &amp; Beauty</v>
      </c>
      <c r="H99" s="10">
        <f>INDEX(Products!$D$2:$D$101,MATCH(B99,Products!$A$2:$A$101,0))</f>
        <v>8</v>
      </c>
    </row>
    <row r="100" spans="1:8" ht="15" customHeight="1" x14ac:dyDescent="0.25">
      <c r="A100" s="10">
        <v>99</v>
      </c>
      <c r="B100" s="10">
        <v>63</v>
      </c>
      <c r="C100" s="10" t="s">
        <v>1055</v>
      </c>
      <c r="D100" s="10" t="s">
        <v>177</v>
      </c>
      <c r="E100" s="10">
        <v>-3</v>
      </c>
      <c r="F100" s="10" t="str">
        <f>INDEX(Products!$B$2:$B$101,MATCH(B100,Products!$A$2:$A$101,0))</f>
        <v>Puzzle 1000pc</v>
      </c>
      <c r="G100" s="10" t="str">
        <f>INDEX(Products!$J$2:$J$101,MATCH(B100,Products!$A$2:$A$101,0))</f>
        <v>Toys &amp; Games</v>
      </c>
      <c r="H100" s="10">
        <f>INDEX(Products!$D$2:$D$101,MATCH(B100,Products!$A$2:$A$101,0))</f>
        <v>2</v>
      </c>
    </row>
    <row r="101" spans="1:8" ht="15" customHeight="1" x14ac:dyDescent="0.25">
      <c r="A101" s="10">
        <v>100</v>
      </c>
      <c r="B101" s="10">
        <v>99</v>
      </c>
      <c r="C101" s="10" t="s">
        <v>1189</v>
      </c>
      <c r="D101" s="10" t="s">
        <v>176</v>
      </c>
      <c r="E101" s="10">
        <v>-33</v>
      </c>
      <c r="F101" s="10" t="str">
        <f>INDEX(Products!$B$2:$B$101,MATCH(B101,Products!$A$2:$A$101,0))</f>
        <v>Honey Jar</v>
      </c>
      <c r="G101" s="10" t="str">
        <f>INDEX(Products!$J$2:$J$101,MATCH(B101,Products!$A$2:$A$101,0))</f>
        <v>Groceries</v>
      </c>
      <c r="H101" s="10">
        <f>INDEX(Products!$D$2:$D$101,MATCH(B101,Products!$A$2:$A$101,0))</f>
        <v>5</v>
      </c>
    </row>
    <row r="102" spans="1:8" ht="15" customHeight="1" x14ac:dyDescent="0.25">
      <c r="A102" s="10">
        <v>101</v>
      </c>
      <c r="B102" s="10">
        <v>78</v>
      </c>
      <c r="C102" s="10" t="s">
        <v>1165</v>
      </c>
      <c r="D102" s="10" t="s">
        <v>177</v>
      </c>
      <c r="E102" s="10">
        <v>-30</v>
      </c>
      <c r="F102" s="10" t="str">
        <f>INDEX(Products!$B$2:$B$101,MATCH(B102,Products!$A$2:$A$101,0))</f>
        <v>Makeup Kit</v>
      </c>
      <c r="G102" s="10" t="str">
        <f>INDEX(Products!$J$2:$J$101,MATCH(B102,Products!$A$2:$A$101,0))</f>
        <v>Health &amp; Beauty</v>
      </c>
      <c r="H102" s="10">
        <f>INDEX(Products!$D$2:$D$101,MATCH(B102,Products!$A$2:$A$101,0))</f>
        <v>5</v>
      </c>
    </row>
    <row r="103" spans="1:8" ht="15" customHeight="1" x14ac:dyDescent="0.25">
      <c r="A103" s="10">
        <v>102</v>
      </c>
      <c r="B103" s="10">
        <v>97</v>
      </c>
      <c r="C103" s="10" t="s">
        <v>1089</v>
      </c>
      <c r="D103" s="10" t="s">
        <v>176</v>
      </c>
      <c r="E103" s="10">
        <v>-40</v>
      </c>
      <c r="F103" s="10" t="str">
        <f>INDEX(Products!$B$2:$B$101,MATCH(B103,Products!$A$2:$A$101,0))</f>
        <v>Sparkling Water Case</v>
      </c>
      <c r="G103" s="10" t="str">
        <f>INDEX(Products!$J$2:$J$101,MATCH(B103,Products!$A$2:$A$101,0))</f>
        <v>Groceries</v>
      </c>
      <c r="H103" s="10">
        <f>INDEX(Products!$D$2:$D$101,MATCH(B103,Products!$A$2:$A$101,0))</f>
        <v>12</v>
      </c>
    </row>
    <row r="104" spans="1:8" ht="15" customHeight="1" x14ac:dyDescent="0.25">
      <c r="A104" s="10">
        <v>103</v>
      </c>
      <c r="B104" s="10">
        <v>14</v>
      </c>
      <c r="C104" s="10" t="s">
        <v>1400</v>
      </c>
      <c r="D104" s="10" t="s">
        <v>174</v>
      </c>
      <c r="E104" s="10">
        <v>-8</v>
      </c>
      <c r="F104" s="10" t="str">
        <f>INDEX(Products!$B$2:$B$101,MATCH(B104,Products!$A$2:$A$101,0))</f>
        <v>Sticky Notes</v>
      </c>
      <c r="G104" s="10" t="str">
        <f>INDEX(Products!$J$2:$J$101,MATCH(B104,Products!$A$2:$A$101,0))</f>
        <v>Office Supplies</v>
      </c>
      <c r="H104" s="10">
        <f>INDEX(Products!$D$2:$D$101,MATCH(B104,Products!$A$2:$A$101,0))</f>
        <v>3</v>
      </c>
    </row>
    <row r="105" spans="1:8" ht="15" customHeight="1" x14ac:dyDescent="0.25">
      <c r="A105" s="10">
        <v>104</v>
      </c>
      <c r="B105" s="10">
        <v>27</v>
      </c>
      <c r="C105" s="10" t="s">
        <v>1401</v>
      </c>
      <c r="D105" s="10" t="s">
        <v>173</v>
      </c>
      <c r="E105" s="10">
        <v>124</v>
      </c>
      <c r="F105" s="10" t="str">
        <f>INDEX(Products!$B$2:$B$101,MATCH(B105,Products!$A$2:$A$101,0))</f>
        <v>Coffee Table</v>
      </c>
      <c r="G105" s="10" t="str">
        <f>INDEX(Products!$J$2:$J$101,MATCH(B105,Products!$A$2:$A$101,0))</f>
        <v>Furniture</v>
      </c>
      <c r="H105" s="10">
        <f>INDEX(Products!$D$2:$D$101,MATCH(B105,Products!$A$2:$A$101,0))</f>
        <v>7</v>
      </c>
    </row>
    <row r="106" spans="1:8" ht="15" customHeight="1" x14ac:dyDescent="0.25">
      <c r="A106" s="10">
        <v>105</v>
      </c>
      <c r="B106" s="10">
        <v>91</v>
      </c>
      <c r="C106" s="10" t="s">
        <v>1075</v>
      </c>
      <c r="D106" s="10" t="s">
        <v>177</v>
      </c>
      <c r="E106" s="10">
        <v>-7</v>
      </c>
      <c r="F106" s="10" t="str">
        <f>INDEX(Products!$B$2:$B$101,MATCH(B106,Products!$A$2:$A$101,0))</f>
        <v>Organic Coffee Beans</v>
      </c>
      <c r="G106" s="10" t="str">
        <f>INDEX(Products!$J$2:$J$101,MATCH(B106,Products!$A$2:$A$101,0))</f>
        <v>Groceries</v>
      </c>
      <c r="H106" s="10">
        <f>INDEX(Products!$D$2:$D$101,MATCH(B106,Products!$A$2:$A$101,0))</f>
        <v>12</v>
      </c>
    </row>
    <row r="107" spans="1:8" ht="15" customHeight="1" x14ac:dyDescent="0.25">
      <c r="A107" s="10">
        <v>106</v>
      </c>
      <c r="B107" s="10">
        <v>20</v>
      </c>
      <c r="C107" s="10" t="s">
        <v>524</v>
      </c>
      <c r="D107" s="10" t="s">
        <v>173</v>
      </c>
      <c r="E107" s="10">
        <v>85</v>
      </c>
      <c r="F107" s="10" t="str">
        <f>INDEX(Products!$B$2:$B$101,MATCH(B107,Products!$A$2:$A$101,0))</f>
        <v>Highlighter Set</v>
      </c>
      <c r="G107" s="10" t="str">
        <f>INDEX(Products!$J$2:$J$101,MATCH(B107,Products!$A$2:$A$101,0))</f>
        <v>Office Supplies</v>
      </c>
      <c r="H107" s="10">
        <f>INDEX(Products!$D$2:$D$101,MATCH(B107,Products!$A$2:$A$101,0))</f>
        <v>8</v>
      </c>
    </row>
    <row r="108" spans="1:8" ht="15" customHeight="1" x14ac:dyDescent="0.25">
      <c r="A108" s="10">
        <v>107</v>
      </c>
      <c r="B108" s="10">
        <v>16</v>
      </c>
      <c r="C108" s="10" t="s">
        <v>1402</v>
      </c>
      <c r="D108" s="10" t="s">
        <v>173</v>
      </c>
      <c r="E108" s="10">
        <v>156</v>
      </c>
      <c r="F108" s="10" t="str">
        <f>INDEX(Products!$B$2:$B$101,MATCH(B108,Products!$A$2:$A$101,0))</f>
        <v>Whiteboard</v>
      </c>
      <c r="G108" s="10" t="str">
        <f>INDEX(Products!$J$2:$J$101,MATCH(B108,Products!$A$2:$A$101,0))</f>
        <v>Office Supplies</v>
      </c>
      <c r="H108" s="10">
        <f>INDEX(Products!$D$2:$D$101,MATCH(B108,Products!$A$2:$A$101,0))</f>
        <v>10</v>
      </c>
    </row>
    <row r="109" spans="1:8" ht="15" customHeight="1" x14ac:dyDescent="0.25">
      <c r="A109" s="10">
        <v>108</v>
      </c>
      <c r="B109" s="10">
        <v>99</v>
      </c>
      <c r="C109" s="10" t="s">
        <v>1403</v>
      </c>
      <c r="D109" s="10" t="s">
        <v>173</v>
      </c>
      <c r="E109" s="10">
        <v>257</v>
      </c>
      <c r="F109" s="10" t="str">
        <f>INDEX(Products!$B$2:$B$101,MATCH(B109,Products!$A$2:$A$101,0))</f>
        <v>Honey Jar</v>
      </c>
      <c r="G109" s="10" t="str">
        <f>INDEX(Products!$J$2:$J$101,MATCH(B109,Products!$A$2:$A$101,0))</f>
        <v>Groceries</v>
      </c>
      <c r="H109" s="10">
        <f>INDEX(Products!$D$2:$D$101,MATCH(B109,Products!$A$2:$A$101,0))</f>
        <v>5</v>
      </c>
    </row>
    <row r="110" spans="1:8" ht="15" customHeight="1" x14ac:dyDescent="0.25">
      <c r="A110" s="10">
        <v>109</v>
      </c>
      <c r="B110" s="10">
        <v>61</v>
      </c>
      <c r="C110" s="10" t="s">
        <v>1107</v>
      </c>
      <c r="D110" s="10" t="s">
        <v>173</v>
      </c>
      <c r="E110" s="10">
        <v>93</v>
      </c>
      <c r="F110" s="10" t="str">
        <f>INDEX(Products!$B$2:$B$101,MATCH(B110,Products!$A$2:$A$101,0))</f>
        <v>Building Blocks Set</v>
      </c>
      <c r="G110" s="10" t="str">
        <f>INDEX(Products!$J$2:$J$101,MATCH(B110,Products!$A$2:$A$101,0))</f>
        <v>Toys &amp; Games</v>
      </c>
      <c r="H110" s="10">
        <f>INDEX(Products!$D$2:$D$101,MATCH(B110,Products!$A$2:$A$101,0))</f>
        <v>6</v>
      </c>
    </row>
    <row r="111" spans="1:8" ht="15" customHeight="1" x14ac:dyDescent="0.25">
      <c r="A111" s="10">
        <v>110</v>
      </c>
      <c r="B111" s="10">
        <v>11</v>
      </c>
      <c r="C111" s="10" t="s">
        <v>964</v>
      </c>
      <c r="D111" s="10" t="s">
        <v>173</v>
      </c>
      <c r="E111" s="10">
        <v>243</v>
      </c>
      <c r="F111" s="10" t="str">
        <f>INDEX(Products!$B$2:$B$101,MATCH(B111,Products!$A$2:$A$101,0))</f>
        <v>Stapler</v>
      </c>
      <c r="G111" s="10" t="str">
        <f>INDEX(Products!$J$2:$J$101,MATCH(B111,Products!$A$2:$A$101,0))</f>
        <v>Office Supplies</v>
      </c>
      <c r="H111" s="10">
        <f>INDEX(Products!$D$2:$D$101,MATCH(B111,Products!$A$2:$A$101,0))</f>
        <v>4</v>
      </c>
    </row>
    <row r="112" spans="1:8" ht="15" customHeight="1" x14ac:dyDescent="0.25">
      <c r="A112" s="10">
        <v>111</v>
      </c>
      <c r="B112" s="10">
        <v>54</v>
      </c>
      <c r="C112" s="10" t="s">
        <v>1183</v>
      </c>
      <c r="D112" s="10" t="s">
        <v>174</v>
      </c>
      <c r="E112" s="10">
        <v>-10</v>
      </c>
      <c r="F112" s="10" t="str">
        <f>INDEX(Products!$B$2:$B$101,MATCH(B112,Products!$A$2:$A$101,0))</f>
        <v>Tennis Racket</v>
      </c>
      <c r="G112" s="10" t="str">
        <f>INDEX(Products!$J$2:$J$101,MATCH(B112,Products!$A$2:$A$101,0))</f>
        <v>Sporting Goods</v>
      </c>
      <c r="H112" s="10">
        <f>INDEX(Products!$D$2:$D$101,MATCH(B112,Products!$A$2:$A$101,0))</f>
        <v>11</v>
      </c>
    </row>
    <row r="113" spans="1:8" ht="15" customHeight="1" x14ac:dyDescent="0.25">
      <c r="A113" s="10">
        <v>112</v>
      </c>
      <c r="B113" s="10">
        <v>97</v>
      </c>
      <c r="C113" s="10" t="s">
        <v>1404</v>
      </c>
      <c r="D113" s="10" t="s">
        <v>173</v>
      </c>
      <c r="E113" s="10">
        <v>108</v>
      </c>
      <c r="F113" s="10" t="str">
        <f>INDEX(Products!$B$2:$B$101,MATCH(B113,Products!$A$2:$A$101,0))</f>
        <v>Sparkling Water Case</v>
      </c>
      <c r="G113" s="10" t="str">
        <f>INDEX(Products!$J$2:$J$101,MATCH(B113,Products!$A$2:$A$101,0))</f>
        <v>Groceries</v>
      </c>
      <c r="H113" s="10">
        <f>INDEX(Products!$D$2:$D$101,MATCH(B113,Products!$A$2:$A$101,0))</f>
        <v>12</v>
      </c>
    </row>
    <row r="114" spans="1:8" ht="15" customHeight="1" x14ac:dyDescent="0.25">
      <c r="A114" s="10">
        <v>113</v>
      </c>
      <c r="B114" s="10">
        <v>18</v>
      </c>
      <c r="C114" s="10" t="s">
        <v>768</v>
      </c>
      <c r="D114" s="10" t="s">
        <v>173</v>
      </c>
      <c r="E114" s="10">
        <v>154</v>
      </c>
      <c r="F114" s="10" t="str">
        <f>INDEX(Products!$B$2:$B$101,MATCH(B114,Products!$A$2:$A$101,0))</f>
        <v>Filing Cabinet</v>
      </c>
      <c r="G114" s="10" t="str">
        <f>INDEX(Products!$J$2:$J$101,MATCH(B114,Products!$A$2:$A$101,0))</f>
        <v>Office Supplies</v>
      </c>
      <c r="H114" s="10">
        <f>INDEX(Products!$D$2:$D$101,MATCH(B114,Products!$A$2:$A$101,0))</f>
        <v>9</v>
      </c>
    </row>
    <row r="115" spans="1:8" ht="15" customHeight="1" x14ac:dyDescent="0.25">
      <c r="A115" s="10">
        <v>114</v>
      </c>
      <c r="B115" s="10">
        <v>59</v>
      </c>
      <c r="C115" s="10" t="s">
        <v>1405</v>
      </c>
      <c r="D115" s="10" t="s">
        <v>177</v>
      </c>
      <c r="E115" s="10">
        <v>-2</v>
      </c>
      <c r="F115" s="10" t="str">
        <f>INDEX(Products!$B$2:$B$101,MATCH(B115,Products!$A$2:$A$101,0))</f>
        <v>Hiking Backpack</v>
      </c>
      <c r="G115" s="10" t="str">
        <f>INDEX(Products!$J$2:$J$101,MATCH(B115,Products!$A$2:$A$101,0))</f>
        <v>Sporting Goods</v>
      </c>
      <c r="H115" s="10">
        <f>INDEX(Products!$D$2:$D$101,MATCH(B115,Products!$A$2:$A$101,0))</f>
        <v>6</v>
      </c>
    </row>
    <row r="116" spans="1:8" ht="15" customHeight="1" x14ac:dyDescent="0.25">
      <c r="A116" s="10">
        <v>115</v>
      </c>
      <c r="B116" s="10">
        <v>57</v>
      </c>
      <c r="C116" s="10" t="s">
        <v>869</v>
      </c>
      <c r="D116" s="10" t="s">
        <v>176</v>
      </c>
      <c r="E116" s="10">
        <v>-34</v>
      </c>
      <c r="F116" s="10" t="str">
        <f>INDEX(Products!$B$2:$B$101,MATCH(B116,Products!$A$2:$A$101,0))</f>
        <v>Resistance Bands</v>
      </c>
      <c r="G116" s="10" t="str">
        <f>INDEX(Products!$J$2:$J$101,MATCH(B116,Products!$A$2:$A$101,0))</f>
        <v>Sporting Goods</v>
      </c>
      <c r="H116" s="10">
        <f>INDEX(Products!$D$2:$D$101,MATCH(B116,Products!$A$2:$A$101,0))</f>
        <v>2</v>
      </c>
    </row>
    <row r="117" spans="1:8" ht="15" customHeight="1" x14ac:dyDescent="0.25">
      <c r="A117" s="10">
        <v>116</v>
      </c>
      <c r="B117" s="10">
        <v>9</v>
      </c>
      <c r="C117" s="10" t="s">
        <v>1151</v>
      </c>
      <c r="D117" s="10" t="s">
        <v>173</v>
      </c>
      <c r="E117" s="10">
        <v>152</v>
      </c>
      <c r="F117" s="10" t="str">
        <f>INDEX(Products!$B$2:$B$101,MATCH(B117,Products!$A$2:$A$101,0))</f>
        <v>Webcam HD</v>
      </c>
      <c r="G117" s="10" t="str">
        <f>INDEX(Products!$J$2:$J$101,MATCH(B117,Products!$A$2:$A$101,0))</f>
        <v>Electronics</v>
      </c>
      <c r="H117" s="10">
        <f>INDEX(Products!$D$2:$D$101,MATCH(B117,Products!$A$2:$A$101,0))</f>
        <v>1</v>
      </c>
    </row>
    <row r="118" spans="1:8" ht="15" customHeight="1" x14ac:dyDescent="0.25">
      <c r="A118" s="10">
        <v>117</v>
      </c>
      <c r="B118" s="10">
        <v>99</v>
      </c>
      <c r="C118" s="10" t="s">
        <v>1406</v>
      </c>
      <c r="D118" s="10" t="s">
        <v>173</v>
      </c>
      <c r="E118" s="10">
        <v>150</v>
      </c>
      <c r="F118" s="10" t="str">
        <f>INDEX(Products!$B$2:$B$101,MATCH(B118,Products!$A$2:$A$101,0))</f>
        <v>Honey Jar</v>
      </c>
      <c r="G118" s="10" t="str">
        <f>INDEX(Products!$J$2:$J$101,MATCH(B118,Products!$A$2:$A$101,0))</f>
        <v>Groceries</v>
      </c>
      <c r="H118" s="10">
        <f>INDEX(Products!$D$2:$D$101,MATCH(B118,Products!$A$2:$A$101,0))</f>
        <v>5</v>
      </c>
    </row>
    <row r="119" spans="1:8" ht="15" customHeight="1" x14ac:dyDescent="0.25">
      <c r="A119" s="10">
        <v>118</v>
      </c>
      <c r="B119" s="10">
        <v>98</v>
      </c>
      <c r="C119" s="10" t="s">
        <v>803</v>
      </c>
      <c r="D119" s="10" t="s">
        <v>176</v>
      </c>
      <c r="E119" s="10">
        <v>-10</v>
      </c>
      <c r="F119" s="10" t="str">
        <f>INDEX(Products!$B$2:$B$101,MATCH(B119,Products!$A$2:$A$101,0))</f>
        <v>Dark Chocolate Bar</v>
      </c>
      <c r="G119" s="10" t="str">
        <f>INDEX(Products!$J$2:$J$101,MATCH(B119,Products!$A$2:$A$101,0))</f>
        <v>Groceries</v>
      </c>
      <c r="H119" s="10">
        <f>INDEX(Products!$D$2:$D$101,MATCH(B119,Products!$A$2:$A$101,0))</f>
        <v>4</v>
      </c>
    </row>
    <row r="120" spans="1:8" ht="15" customHeight="1" x14ac:dyDescent="0.25">
      <c r="A120" s="10">
        <v>119</v>
      </c>
      <c r="B120" s="10">
        <v>74</v>
      </c>
      <c r="C120" s="10" t="s">
        <v>866</v>
      </c>
      <c r="D120" s="10" t="s">
        <v>176</v>
      </c>
      <c r="E120" s="10">
        <v>-34</v>
      </c>
      <c r="F120" s="10" t="str">
        <f>INDEX(Products!$B$2:$B$101,MATCH(B120,Products!$A$2:$A$101,0))</f>
        <v>Vitamin Supplements</v>
      </c>
      <c r="G120" s="10" t="str">
        <f>INDEX(Products!$J$2:$J$101,MATCH(B120,Products!$A$2:$A$101,0))</f>
        <v>Health &amp; Beauty</v>
      </c>
      <c r="H120" s="10">
        <f>INDEX(Products!$D$2:$D$101,MATCH(B120,Products!$A$2:$A$101,0))</f>
        <v>7</v>
      </c>
    </row>
    <row r="121" spans="1:8" ht="15" customHeight="1" x14ac:dyDescent="0.25">
      <c r="A121" s="10">
        <v>120</v>
      </c>
      <c r="B121" s="10">
        <v>38</v>
      </c>
      <c r="C121" s="10" t="s">
        <v>1407</v>
      </c>
      <c r="D121" s="10" t="s">
        <v>173</v>
      </c>
      <c r="E121" s="10">
        <v>224</v>
      </c>
      <c r="F121" s="10" t="str">
        <f>INDEX(Products!$B$2:$B$101,MATCH(B121,Products!$A$2:$A$101,0))</f>
        <v>Leather Belt</v>
      </c>
      <c r="G121" s="10" t="str">
        <f>INDEX(Products!$J$2:$J$101,MATCH(B121,Products!$A$2:$A$101,0))</f>
        <v>Apparel</v>
      </c>
      <c r="H121" s="10">
        <f>INDEX(Products!$D$2:$D$101,MATCH(B121,Products!$A$2:$A$101,0))</f>
        <v>1</v>
      </c>
    </row>
    <row r="122" spans="1:8" ht="15" customHeight="1" x14ac:dyDescent="0.25">
      <c r="A122" s="10">
        <v>121</v>
      </c>
      <c r="B122" s="10">
        <v>90</v>
      </c>
      <c r="C122" s="10" t="s">
        <v>1067</v>
      </c>
      <c r="D122" s="10" t="s">
        <v>177</v>
      </c>
      <c r="E122" s="10">
        <v>-23</v>
      </c>
      <c r="F122" s="10" t="str">
        <f>INDEX(Products!$B$2:$B$101,MATCH(B122,Products!$A$2:$A$101,0))</f>
        <v>Roof Rack</v>
      </c>
      <c r="G122" s="10" t="str">
        <f>INDEX(Products!$J$2:$J$101,MATCH(B122,Products!$A$2:$A$101,0))</f>
        <v>Automotive Parts</v>
      </c>
      <c r="H122" s="10">
        <f>INDEX(Products!$D$2:$D$101,MATCH(B122,Products!$A$2:$A$101,0))</f>
        <v>8</v>
      </c>
    </row>
    <row r="123" spans="1:8" ht="15" customHeight="1" x14ac:dyDescent="0.25">
      <c r="A123" s="10">
        <v>122</v>
      </c>
      <c r="B123" s="10">
        <v>2</v>
      </c>
      <c r="C123" s="10" t="s">
        <v>1063</v>
      </c>
      <c r="D123" s="10" t="s">
        <v>176</v>
      </c>
      <c r="E123" s="10">
        <v>-10</v>
      </c>
      <c r="F123" s="10" t="str">
        <f>INDEX(Products!$B$2:$B$101,MATCH(B123,Products!$A$2:$A$101,0))</f>
        <v>Bluetooth Speaker</v>
      </c>
      <c r="G123" s="10" t="str">
        <f>INDEX(Products!$J$2:$J$101,MATCH(B123,Products!$A$2:$A$101,0))</f>
        <v>Electronics</v>
      </c>
      <c r="H123" s="10">
        <f>INDEX(Products!$D$2:$D$101,MATCH(B123,Products!$A$2:$A$101,0))</f>
        <v>7</v>
      </c>
    </row>
    <row r="124" spans="1:8" ht="15" customHeight="1" x14ac:dyDescent="0.25">
      <c r="A124" s="10">
        <v>123</v>
      </c>
      <c r="B124" s="10">
        <v>90</v>
      </c>
      <c r="C124" s="10" t="s">
        <v>1408</v>
      </c>
      <c r="D124" s="10" t="s">
        <v>173</v>
      </c>
      <c r="E124" s="10">
        <v>102</v>
      </c>
      <c r="F124" s="10" t="str">
        <f>INDEX(Products!$B$2:$B$101,MATCH(B124,Products!$A$2:$A$101,0))</f>
        <v>Roof Rack</v>
      </c>
      <c r="G124" s="10" t="str">
        <f>INDEX(Products!$J$2:$J$101,MATCH(B124,Products!$A$2:$A$101,0))</f>
        <v>Automotive Parts</v>
      </c>
      <c r="H124" s="10">
        <f>INDEX(Products!$D$2:$D$101,MATCH(B124,Products!$A$2:$A$101,0))</f>
        <v>8</v>
      </c>
    </row>
    <row r="125" spans="1:8" ht="15" customHeight="1" x14ac:dyDescent="0.25">
      <c r="A125" s="10">
        <v>124</v>
      </c>
      <c r="B125" s="10">
        <v>70</v>
      </c>
      <c r="C125" s="10" t="s">
        <v>785</v>
      </c>
      <c r="D125" s="10" t="s">
        <v>176</v>
      </c>
      <c r="E125" s="10">
        <v>-26</v>
      </c>
      <c r="F125" s="10" t="str">
        <f>INDEX(Products!$B$2:$B$101,MATCH(B125,Products!$A$2:$A$101,0))</f>
        <v>Chess Set</v>
      </c>
      <c r="G125" s="10" t="str">
        <f>INDEX(Products!$J$2:$J$101,MATCH(B125,Products!$A$2:$A$101,0))</f>
        <v>Toys &amp; Games</v>
      </c>
      <c r="H125" s="10">
        <f>INDEX(Products!$D$2:$D$101,MATCH(B125,Products!$A$2:$A$101,0))</f>
        <v>12</v>
      </c>
    </row>
    <row r="126" spans="1:8" ht="15" customHeight="1" x14ac:dyDescent="0.25">
      <c r="A126" s="10">
        <v>125</v>
      </c>
      <c r="B126" s="10">
        <v>100</v>
      </c>
      <c r="C126" s="10" t="s">
        <v>903</v>
      </c>
      <c r="D126" s="10" t="s">
        <v>174</v>
      </c>
      <c r="E126" s="10">
        <v>-3</v>
      </c>
      <c r="F126" s="10" t="str">
        <f>INDEX(Products!$B$2:$B$101,MATCH(B126,Products!$A$2:$A$101,0))</f>
        <v>Trail Mix</v>
      </c>
      <c r="G126" s="10" t="str">
        <f>INDEX(Products!$J$2:$J$101,MATCH(B126,Products!$A$2:$A$101,0))</f>
        <v>Groceries</v>
      </c>
      <c r="H126" s="10">
        <f>INDEX(Products!$D$2:$D$101,MATCH(B126,Products!$A$2:$A$101,0))</f>
        <v>5</v>
      </c>
    </row>
    <row r="127" spans="1:8" ht="15" customHeight="1" x14ac:dyDescent="0.25">
      <c r="A127" s="10">
        <v>126</v>
      </c>
      <c r="B127" s="10">
        <v>69</v>
      </c>
      <c r="C127" s="10" t="s">
        <v>1335</v>
      </c>
      <c r="D127" s="10" t="s">
        <v>173</v>
      </c>
      <c r="E127" s="10">
        <v>234</v>
      </c>
      <c r="F127" s="10" t="str">
        <f>INDEX(Products!$B$2:$B$101,MATCH(B127,Products!$A$2:$A$101,0))</f>
        <v>Toy Drone</v>
      </c>
      <c r="G127" s="10" t="str">
        <f>INDEX(Products!$J$2:$J$101,MATCH(B127,Products!$A$2:$A$101,0))</f>
        <v>Toys &amp; Games</v>
      </c>
      <c r="H127" s="10">
        <f>INDEX(Products!$D$2:$D$101,MATCH(B127,Products!$A$2:$A$101,0))</f>
        <v>7</v>
      </c>
    </row>
    <row r="128" spans="1:8" ht="15" customHeight="1" x14ac:dyDescent="0.25">
      <c r="A128" s="10">
        <v>127</v>
      </c>
      <c r="B128" s="10">
        <v>95</v>
      </c>
      <c r="C128" s="10" t="s">
        <v>1303</v>
      </c>
      <c r="D128" s="10" t="s">
        <v>176</v>
      </c>
      <c r="E128" s="10">
        <v>-19</v>
      </c>
      <c r="F128" s="10" t="str">
        <f>INDEX(Products!$B$2:$B$101,MATCH(B128,Products!$A$2:$A$101,0))</f>
        <v>Green Tea Box</v>
      </c>
      <c r="G128" s="10" t="str">
        <f>INDEX(Products!$J$2:$J$101,MATCH(B128,Products!$A$2:$A$101,0))</f>
        <v>Groceries</v>
      </c>
      <c r="H128" s="10">
        <f>INDEX(Products!$D$2:$D$101,MATCH(B128,Products!$A$2:$A$101,0))</f>
        <v>12</v>
      </c>
    </row>
    <row r="129" spans="1:8" ht="15" customHeight="1" x14ac:dyDescent="0.25">
      <c r="A129" s="10">
        <v>128</v>
      </c>
      <c r="B129" s="10">
        <v>28</v>
      </c>
      <c r="C129" s="10" t="s">
        <v>914</v>
      </c>
      <c r="D129" s="10" t="s">
        <v>177</v>
      </c>
      <c r="E129" s="10">
        <v>-34</v>
      </c>
      <c r="F129" s="10" t="str">
        <f>INDEX(Products!$B$2:$B$101,MATCH(B129,Products!$A$2:$A$101,0))</f>
        <v>Desk Lamp</v>
      </c>
      <c r="G129" s="10" t="str">
        <f>INDEX(Products!$J$2:$J$101,MATCH(B129,Products!$A$2:$A$101,0))</f>
        <v>Furniture</v>
      </c>
      <c r="H129" s="10">
        <f>INDEX(Products!$D$2:$D$101,MATCH(B129,Products!$A$2:$A$101,0))</f>
        <v>8</v>
      </c>
    </row>
    <row r="130" spans="1:8" ht="15" customHeight="1" x14ac:dyDescent="0.25">
      <c r="A130" s="10">
        <v>129</v>
      </c>
      <c r="B130" s="10">
        <v>44</v>
      </c>
      <c r="C130" s="10" t="s">
        <v>1295</v>
      </c>
      <c r="D130" s="10" t="s">
        <v>173</v>
      </c>
      <c r="E130" s="10">
        <v>277</v>
      </c>
      <c r="F130" s="10" t="str">
        <f>INDEX(Products!$B$2:$B$101,MATCH(B130,Products!$A$2:$A$101,0))</f>
        <v>Vacuum Cleaner</v>
      </c>
      <c r="G130" s="10" t="str">
        <f>INDEX(Products!$J$2:$J$101,MATCH(B130,Products!$A$2:$A$101,0))</f>
        <v>Home &amp; Kitchen</v>
      </c>
      <c r="H130" s="10">
        <f>INDEX(Products!$D$2:$D$101,MATCH(B130,Products!$A$2:$A$101,0))</f>
        <v>11</v>
      </c>
    </row>
    <row r="131" spans="1:8" ht="15" customHeight="1" x14ac:dyDescent="0.25">
      <c r="A131" s="10">
        <v>130</v>
      </c>
      <c r="B131" s="10">
        <v>70</v>
      </c>
      <c r="C131" s="10" t="s">
        <v>1409</v>
      </c>
      <c r="D131" s="10" t="s">
        <v>173</v>
      </c>
      <c r="E131" s="10">
        <v>248</v>
      </c>
      <c r="F131" s="10" t="str">
        <f>INDEX(Products!$B$2:$B$101,MATCH(B131,Products!$A$2:$A$101,0))</f>
        <v>Chess Set</v>
      </c>
      <c r="G131" s="10" t="str">
        <f>INDEX(Products!$J$2:$J$101,MATCH(B131,Products!$A$2:$A$101,0))</f>
        <v>Toys &amp; Games</v>
      </c>
      <c r="H131" s="10">
        <f>INDEX(Products!$D$2:$D$101,MATCH(B131,Products!$A$2:$A$101,0))</f>
        <v>12</v>
      </c>
    </row>
    <row r="132" spans="1:8" ht="15" customHeight="1" x14ac:dyDescent="0.25">
      <c r="A132" s="10">
        <v>131</v>
      </c>
      <c r="B132" s="10">
        <v>39</v>
      </c>
      <c r="C132" s="10" t="s">
        <v>1410</v>
      </c>
      <c r="D132" s="10" t="s">
        <v>174</v>
      </c>
      <c r="E132" s="10">
        <v>-4</v>
      </c>
      <c r="F132" s="10" t="str">
        <f>INDEX(Products!$B$2:$B$101,MATCH(B132,Products!$A$2:$A$101,0))</f>
        <v>Winter Gloves</v>
      </c>
      <c r="G132" s="10" t="str">
        <f>INDEX(Products!$J$2:$J$101,MATCH(B132,Products!$A$2:$A$101,0))</f>
        <v>Apparel</v>
      </c>
      <c r="H132" s="10">
        <f>INDEX(Products!$D$2:$D$101,MATCH(B132,Products!$A$2:$A$101,0))</f>
        <v>8</v>
      </c>
    </row>
    <row r="133" spans="1:8" ht="15" customHeight="1" x14ac:dyDescent="0.25">
      <c r="A133" s="10">
        <v>132</v>
      </c>
      <c r="B133" s="10">
        <v>48</v>
      </c>
      <c r="C133" s="10" t="s">
        <v>1387</v>
      </c>
      <c r="D133" s="10" t="s">
        <v>177</v>
      </c>
      <c r="E133" s="10">
        <v>-8</v>
      </c>
      <c r="F133" s="10" t="str">
        <f>INDEX(Products!$B$2:$B$101,MATCH(B133,Products!$A$2:$A$101,0))</f>
        <v>Dish Rack</v>
      </c>
      <c r="G133" s="10" t="str">
        <f>INDEX(Products!$J$2:$J$101,MATCH(B133,Products!$A$2:$A$101,0))</f>
        <v>Home &amp; Kitchen</v>
      </c>
      <c r="H133" s="10">
        <f>INDEX(Products!$D$2:$D$101,MATCH(B133,Products!$A$2:$A$101,0))</f>
        <v>4</v>
      </c>
    </row>
    <row r="134" spans="1:8" ht="15" customHeight="1" x14ac:dyDescent="0.25">
      <c r="A134" s="10">
        <v>133</v>
      </c>
      <c r="B134" s="10">
        <v>7</v>
      </c>
      <c r="C134" s="10" t="s">
        <v>1162</v>
      </c>
      <c r="D134" s="10" t="s">
        <v>173</v>
      </c>
      <c r="E134" s="10">
        <v>196</v>
      </c>
      <c r="F134" s="10" t="str">
        <f>INDEX(Products!$B$2:$B$101,MATCH(B134,Products!$A$2:$A$101,0))</f>
        <v>Smartwatch</v>
      </c>
      <c r="G134" s="10" t="str">
        <f>INDEX(Products!$J$2:$J$101,MATCH(B134,Products!$A$2:$A$101,0))</f>
        <v>Electronics</v>
      </c>
      <c r="H134" s="10">
        <f>INDEX(Products!$D$2:$D$101,MATCH(B134,Products!$A$2:$A$101,0))</f>
        <v>7</v>
      </c>
    </row>
    <row r="135" spans="1:8" ht="15" customHeight="1" x14ac:dyDescent="0.25">
      <c r="A135" s="10">
        <v>134</v>
      </c>
      <c r="B135" s="10">
        <v>95</v>
      </c>
      <c r="C135" s="10" t="s">
        <v>1203</v>
      </c>
      <c r="D135" s="10" t="s">
        <v>174</v>
      </c>
      <c r="E135" s="10">
        <v>-38</v>
      </c>
      <c r="F135" s="10" t="str">
        <f>INDEX(Products!$B$2:$B$101,MATCH(B135,Products!$A$2:$A$101,0))</f>
        <v>Green Tea Box</v>
      </c>
      <c r="G135" s="10" t="str">
        <f>INDEX(Products!$J$2:$J$101,MATCH(B135,Products!$A$2:$A$101,0))</f>
        <v>Groceries</v>
      </c>
      <c r="H135" s="10">
        <f>INDEX(Products!$D$2:$D$101,MATCH(B135,Products!$A$2:$A$101,0))</f>
        <v>12</v>
      </c>
    </row>
    <row r="136" spans="1:8" ht="15" customHeight="1" x14ac:dyDescent="0.25">
      <c r="A136" s="10">
        <v>135</v>
      </c>
      <c r="B136" s="10">
        <v>73</v>
      </c>
      <c r="C136" s="10" t="s">
        <v>1268</v>
      </c>
      <c r="D136" s="10" t="s">
        <v>174</v>
      </c>
      <c r="E136" s="10">
        <v>-23</v>
      </c>
      <c r="F136" s="10" t="str">
        <f>INDEX(Products!$B$2:$B$101,MATCH(B136,Products!$A$2:$A$101,0))</f>
        <v>Skincare Set</v>
      </c>
      <c r="G136" s="10" t="str">
        <f>INDEX(Products!$J$2:$J$101,MATCH(B136,Products!$A$2:$A$101,0))</f>
        <v>Health &amp; Beauty</v>
      </c>
      <c r="H136" s="10">
        <f>INDEX(Products!$D$2:$D$101,MATCH(B136,Products!$A$2:$A$101,0))</f>
        <v>4</v>
      </c>
    </row>
    <row r="137" spans="1:8" ht="15" customHeight="1" x14ac:dyDescent="0.25">
      <c r="A137" s="10">
        <v>136</v>
      </c>
      <c r="B137" s="10">
        <v>39</v>
      </c>
      <c r="C137" s="10" t="s">
        <v>1070</v>
      </c>
      <c r="D137" s="10" t="s">
        <v>176</v>
      </c>
      <c r="E137" s="10">
        <v>-37</v>
      </c>
      <c r="F137" s="10" t="str">
        <f>INDEX(Products!$B$2:$B$101,MATCH(B137,Products!$A$2:$A$101,0))</f>
        <v>Winter Gloves</v>
      </c>
      <c r="G137" s="10" t="str">
        <f>INDEX(Products!$J$2:$J$101,MATCH(B137,Products!$A$2:$A$101,0))</f>
        <v>Apparel</v>
      </c>
      <c r="H137" s="10">
        <f>INDEX(Products!$D$2:$D$101,MATCH(B137,Products!$A$2:$A$101,0))</f>
        <v>8</v>
      </c>
    </row>
    <row r="138" spans="1:8" ht="15" customHeight="1" x14ac:dyDescent="0.25">
      <c r="A138" s="10">
        <v>137</v>
      </c>
      <c r="B138" s="10">
        <v>87</v>
      </c>
      <c r="C138" s="10" t="s">
        <v>1169</v>
      </c>
      <c r="D138" s="10" t="s">
        <v>176</v>
      </c>
      <c r="E138" s="10">
        <v>-16</v>
      </c>
      <c r="F138" s="10" t="str">
        <f>INDEX(Products!$B$2:$B$101,MATCH(B138,Products!$A$2:$A$101,0))</f>
        <v>Floor Mats</v>
      </c>
      <c r="G138" s="10" t="str">
        <f>INDEX(Products!$J$2:$J$101,MATCH(B138,Products!$A$2:$A$101,0))</f>
        <v>Automotive Parts</v>
      </c>
      <c r="H138" s="10">
        <f>INDEX(Products!$D$2:$D$101,MATCH(B138,Products!$A$2:$A$101,0))</f>
        <v>1</v>
      </c>
    </row>
    <row r="139" spans="1:8" ht="15" customHeight="1" x14ac:dyDescent="0.25">
      <c r="A139" s="10">
        <v>138</v>
      </c>
      <c r="B139" s="10">
        <v>14</v>
      </c>
      <c r="C139" s="10" t="s">
        <v>1146</v>
      </c>
      <c r="D139" s="10" t="s">
        <v>174</v>
      </c>
      <c r="E139" s="10">
        <v>-24</v>
      </c>
      <c r="F139" s="10" t="str">
        <f>INDEX(Products!$B$2:$B$101,MATCH(B139,Products!$A$2:$A$101,0))</f>
        <v>Sticky Notes</v>
      </c>
      <c r="G139" s="10" t="str">
        <f>INDEX(Products!$J$2:$J$101,MATCH(B139,Products!$A$2:$A$101,0))</f>
        <v>Office Supplies</v>
      </c>
      <c r="H139" s="10">
        <f>INDEX(Products!$D$2:$D$101,MATCH(B139,Products!$A$2:$A$101,0))</f>
        <v>3</v>
      </c>
    </row>
    <row r="140" spans="1:8" ht="15" customHeight="1" x14ac:dyDescent="0.25">
      <c r="A140" s="10">
        <v>139</v>
      </c>
      <c r="B140" s="10">
        <v>59</v>
      </c>
      <c r="C140" s="10" t="s">
        <v>1411</v>
      </c>
      <c r="D140" s="10" t="s">
        <v>173</v>
      </c>
      <c r="E140" s="10">
        <v>158</v>
      </c>
      <c r="F140" s="10" t="str">
        <f>INDEX(Products!$B$2:$B$101,MATCH(B140,Products!$A$2:$A$101,0))</f>
        <v>Hiking Backpack</v>
      </c>
      <c r="G140" s="10" t="str">
        <f>INDEX(Products!$J$2:$J$101,MATCH(B140,Products!$A$2:$A$101,0))</f>
        <v>Sporting Goods</v>
      </c>
      <c r="H140" s="10">
        <f>INDEX(Products!$D$2:$D$101,MATCH(B140,Products!$A$2:$A$101,0))</f>
        <v>6</v>
      </c>
    </row>
    <row r="141" spans="1:8" ht="15" customHeight="1" x14ac:dyDescent="0.25">
      <c r="A141" s="10">
        <v>140</v>
      </c>
      <c r="B141" s="10">
        <v>53</v>
      </c>
      <c r="C141" s="10" t="s">
        <v>962</v>
      </c>
      <c r="D141" s="10" t="s">
        <v>173</v>
      </c>
      <c r="E141" s="10">
        <v>158</v>
      </c>
      <c r="F141" s="10" t="str">
        <f>INDEX(Products!$B$2:$B$101,MATCH(B141,Products!$A$2:$A$101,0))</f>
        <v>Soccer Ball</v>
      </c>
      <c r="G141" s="10" t="str">
        <f>INDEX(Products!$J$2:$J$101,MATCH(B141,Products!$A$2:$A$101,0))</f>
        <v>Sporting Goods</v>
      </c>
      <c r="H141" s="10">
        <f>INDEX(Products!$D$2:$D$101,MATCH(B141,Products!$A$2:$A$101,0))</f>
        <v>4</v>
      </c>
    </row>
    <row r="142" spans="1:8" ht="15" customHeight="1" x14ac:dyDescent="0.25">
      <c r="A142" s="10">
        <v>141</v>
      </c>
      <c r="B142" s="10">
        <v>17</v>
      </c>
      <c r="C142" s="10" t="s">
        <v>1068</v>
      </c>
      <c r="D142" s="10" t="s">
        <v>173</v>
      </c>
      <c r="E142" s="10">
        <v>69</v>
      </c>
      <c r="F142" s="10" t="str">
        <f>INDEX(Products!$B$2:$B$101,MATCH(B142,Products!$A$2:$A$101,0))</f>
        <v>Binder Clips</v>
      </c>
      <c r="G142" s="10" t="str">
        <f>INDEX(Products!$J$2:$J$101,MATCH(B142,Products!$A$2:$A$101,0))</f>
        <v>Office Supplies</v>
      </c>
      <c r="H142" s="10">
        <f>INDEX(Products!$D$2:$D$101,MATCH(B142,Products!$A$2:$A$101,0))</f>
        <v>11</v>
      </c>
    </row>
    <row r="143" spans="1:8" ht="15" customHeight="1" x14ac:dyDescent="0.25">
      <c r="A143" s="10">
        <v>142</v>
      </c>
      <c r="B143" s="10">
        <v>48</v>
      </c>
      <c r="C143" s="10" t="s">
        <v>877</v>
      </c>
      <c r="D143" s="10" t="s">
        <v>173</v>
      </c>
      <c r="E143" s="10">
        <v>193</v>
      </c>
      <c r="F143" s="10" t="str">
        <f>INDEX(Products!$B$2:$B$101,MATCH(B143,Products!$A$2:$A$101,0))</f>
        <v>Dish Rack</v>
      </c>
      <c r="G143" s="10" t="str">
        <f>INDEX(Products!$J$2:$J$101,MATCH(B143,Products!$A$2:$A$101,0))</f>
        <v>Home &amp; Kitchen</v>
      </c>
      <c r="H143" s="10">
        <f>INDEX(Products!$D$2:$D$101,MATCH(B143,Products!$A$2:$A$101,0))</f>
        <v>4</v>
      </c>
    </row>
    <row r="144" spans="1:8" ht="15" customHeight="1" x14ac:dyDescent="0.25">
      <c r="A144" s="10">
        <v>143</v>
      </c>
      <c r="B144" s="10">
        <v>67</v>
      </c>
      <c r="C144" s="10" t="s">
        <v>1140</v>
      </c>
      <c r="D144" s="10" t="s">
        <v>176</v>
      </c>
      <c r="E144" s="10">
        <v>-32</v>
      </c>
      <c r="F144" s="10" t="str">
        <f>INDEX(Products!$B$2:$B$101,MATCH(B144,Products!$A$2:$A$101,0))</f>
        <v>Plush Toy</v>
      </c>
      <c r="G144" s="10" t="str">
        <f>INDEX(Products!$J$2:$J$101,MATCH(B144,Products!$A$2:$A$101,0))</f>
        <v>Toys &amp; Games</v>
      </c>
      <c r="H144" s="10">
        <f>INDEX(Products!$D$2:$D$101,MATCH(B144,Products!$A$2:$A$101,0))</f>
        <v>8</v>
      </c>
    </row>
    <row r="145" spans="1:8" ht="15" customHeight="1" x14ac:dyDescent="0.25">
      <c r="A145" s="10">
        <v>144</v>
      </c>
      <c r="B145" s="10">
        <v>82</v>
      </c>
      <c r="C145" s="10" t="s">
        <v>1102</v>
      </c>
      <c r="D145" s="10" t="s">
        <v>176</v>
      </c>
      <c r="E145" s="10">
        <v>-32</v>
      </c>
      <c r="F145" s="10" t="str">
        <f>INDEX(Products!$B$2:$B$101,MATCH(B145,Products!$A$2:$A$101,0))</f>
        <v>Brake Pads</v>
      </c>
      <c r="G145" s="10" t="str">
        <f>INDEX(Products!$J$2:$J$101,MATCH(B145,Products!$A$2:$A$101,0))</f>
        <v>Automotive Parts</v>
      </c>
      <c r="H145" s="10">
        <f>INDEX(Products!$D$2:$D$101,MATCH(B145,Products!$A$2:$A$101,0))</f>
        <v>12</v>
      </c>
    </row>
    <row r="146" spans="1:8" ht="15" customHeight="1" x14ac:dyDescent="0.25">
      <c r="A146" s="10">
        <v>145</v>
      </c>
      <c r="B146" s="10">
        <v>94</v>
      </c>
      <c r="C146" s="10" t="s">
        <v>1353</v>
      </c>
      <c r="D146" s="10" t="s">
        <v>174</v>
      </c>
      <c r="E146" s="10">
        <v>-33</v>
      </c>
      <c r="F146" s="10" t="str">
        <f>INDEX(Products!$B$2:$B$101,MATCH(B146,Products!$A$2:$A$101,0))</f>
        <v>Almond Butter</v>
      </c>
      <c r="G146" s="10" t="str">
        <f>INDEX(Products!$J$2:$J$101,MATCH(B146,Products!$A$2:$A$101,0))</f>
        <v>Groceries</v>
      </c>
      <c r="H146" s="10">
        <f>INDEX(Products!$D$2:$D$101,MATCH(B146,Products!$A$2:$A$101,0))</f>
        <v>10</v>
      </c>
    </row>
    <row r="147" spans="1:8" ht="15" customHeight="1" x14ac:dyDescent="0.25">
      <c r="A147" s="10">
        <v>146</v>
      </c>
      <c r="B147" s="10">
        <v>17</v>
      </c>
      <c r="C147" s="10" t="s">
        <v>1264</v>
      </c>
      <c r="D147" s="10" t="s">
        <v>174</v>
      </c>
      <c r="E147" s="10">
        <v>-33</v>
      </c>
      <c r="F147" s="10" t="str">
        <f>INDEX(Products!$B$2:$B$101,MATCH(B147,Products!$A$2:$A$101,0))</f>
        <v>Binder Clips</v>
      </c>
      <c r="G147" s="10" t="str">
        <f>INDEX(Products!$J$2:$J$101,MATCH(B147,Products!$A$2:$A$101,0))</f>
        <v>Office Supplies</v>
      </c>
      <c r="H147" s="10">
        <f>INDEX(Products!$D$2:$D$101,MATCH(B147,Products!$A$2:$A$101,0))</f>
        <v>11</v>
      </c>
    </row>
    <row r="148" spans="1:8" ht="15" customHeight="1" x14ac:dyDescent="0.25">
      <c r="A148" s="10">
        <v>147</v>
      </c>
      <c r="B148" s="10">
        <v>68</v>
      </c>
      <c r="C148" s="10" t="s">
        <v>1412</v>
      </c>
      <c r="D148" s="10" t="s">
        <v>177</v>
      </c>
      <c r="E148" s="10">
        <v>-31</v>
      </c>
      <c r="F148" s="10" t="str">
        <f>INDEX(Products!$B$2:$B$101,MATCH(B148,Products!$A$2:$A$101,0))</f>
        <v>Art Supply Kit</v>
      </c>
      <c r="G148" s="10" t="str">
        <f>INDEX(Products!$J$2:$J$101,MATCH(B148,Products!$A$2:$A$101,0))</f>
        <v>Toys &amp; Games</v>
      </c>
      <c r="H148" s="10">
        <f>INDEX(Products!$D$2:$D$101,MATCH(B148,Products!$A$2:$A$101,0))</f>
        <v>9</v>
      </c>
    </row>
    <row r="149" spans="1:8" ht="15" customHeight="1" x14ac:dyDescent="0.25">
      <c r="A149" s="10">
        <v>148</v>
      </c>
      <c r="B149" s="10">
        <v>5</v>
      </c>
      <c r="C149" s="10" t="s">
        <v>1413</v>
      </c>
      <c r="D149" s="10" t="s">
        <v>177</v>
      </c>
      <c r="E149" s="10">
        <v>-8</v>
      </c>
      <c r="F149" s="10" t="str">
        <f>INDEX(Products!$B$2:$B$101,MATCH(B149,Products!$A$2:$A$101,0))</f>
        <v>Mechanical Keyboard</v>
      </c>
      <c r="G149" s="10" t="str">
        <f>INDEX(Products!$J$2:$J$101,MATCH(B149,Products!$A$2:$A$101,0))</f>
        <v>Electronics</v>
      </c>
      <c r="H149" s="10">
        <f>INDEX(Products!$D$2:$D$101,MATCH(B149,Products!$A$2:$A$101,0))</f>
        <v>10</v>
      </c>
    </row>
    <row r="150" spans="1:8" ht="15" customHeight="1" x14ac:dyDescent="0.25">
      <c r="A150" s="10">
        <v>149</v>
      </c>
      <c r="B150" s="10">
        <v>78</v>
      </c>
      <c r="C150" s="10" t="s">
        <v>1142</v>
      </c>
      <c r="D150" s="10" t="s">
        <v>173</v>
      </c>
      <c r="E150" s="10">
        <v>144</v>
      </c>
      <c r="F150" s="10" t="str">
        <f>INDEX(Products!$B$2:$B$101,MATCH(B150,Products!$A$2:$A$101,0))</f>
        <v>Makeup Kit</v>
      </c>
      <c r="G150" s="10" t="str">
        <f>INDEX(Products!$J$2:$J$101,MATCH(B150,Products!$A$2:$A$101,0))</f>
        <v>Health &amp; Beauty</v>
      </c>
      <c r="H150" s="10">
        <f>INDEX(Products!$D$2:$D$101,MATCH(B150,Products!$A$2:$A$101,0))</f>
        <v>5</v>
      </c>
    </row>
    <row r="151" spans="1:8" ht="15" customHeight="1" x14ac:dyDescent="0.25">
      <c r="A151" s="10">
        <v>150</v>
      </c>
      <c r="B151" s="10">
        <v>74</v>
      </c>
      <c r="C151" s="10" t="s">
        <v>1080</v>
      </c>
      <c r="D151" s="10" t="s">
        <v>173</v>
      </c>
      <c r="E151" s="10">
        <v>89</v>
      </c>
      <c r="F151" s="10" t="str">
        <f>INDEX(Products!$B$2:$B$101,MATCH(B151,Products!$A$2:$A$101,0))</f>
        <v>Vitamin Supplements</v>
      </c>
      <c r="G151" s="10" t="str">
        <f>INDEX(Products!$J$2:$J$101,MATCH(B151,Products!$A$2:$A$101,0))</f>
        <v>Health &amp; Beauty</v>
      </c>
      <c r="H151" s="10">
        <f>INDEX(Products!$D$2:$D$101,MATCH(B151,Products!$A$2:$A$101,0))</f>
        <v>7</v>
      </c>
    </row>
    <row r="152" spans="1:8" ht="15" customHeight="1" x14ac:dyDescent="0.25">
      <c r="A152" s="10">
        <v>151</v>
      </c>
      <c r="B152" s="10">
        <v>16</v>
      </c>
      <c r="C152" s="10" t="s">
        <v>1414</v>
      </c>
      <c r="D152" s="10" t="s">
        <v>173</v>
      </c>
      <c r="E152" s="10">
        <v>145</v>
      </c>
      <c r="F152" s="10" t="str">
        <f>INDEX(Products!$B$2:$B$101,MATCH(B152,Products!$A$2:$A$101,0))</f>
        <v>Whiteboard</v>
      </c>
      <c r="G152" s="10" t="str">
        <f>INDEX(Products!$J$2:$J$101,MATCH(B152,Products!$A$2:$A$101,0))</f>
        <v>Office Supplies</v>
      </c>
      <c r="H152" s="10">
        <f>INDEX(Products!$D$2:$D$101,MATCH(B152,Products!$A$2:$A$101,0))</f>
        <v>10</v>
      </c>
    </row>
    <row r="153" spans="1:8" ht="15" customHeight="1" x14ac:dyDescent="0.25">
      <c r="A153" s="10">
        <v>152</v>
      </c>
      <c r="B153" s="10">
        <v>39</v>
      </c>
      <c r="C153" s="10" t="s">
        <v>1415</v>
      </c>
      <c r="D153" s="10" t="s">
        <v>174</v>
      </c>
      <c r="E153" s="10">
        <v>-10</v>
      </c>
      <c r="F153" s="10" t="str">
        <f>INDEX(Products!$B$2:$B$101,MATCH(B153,Products!$A$2:$A$101,0))</f>
        <v>Winter Gloves</v>
      </c>
      <c r="G153" s="10" t="str">
        <f>INDEX(Products!$J$2:$J$101,MATCH(B153,Products!$A$2:$A$101,0))</f>
        <v>Apparel</v>
      </c>
      <c r="H153" s="10">
        <f>INDEX(Products!$D$2:$D$101,MATCH(B153,Products!$A$2:$A$101,0))</f>
        <v>8</v>
      </c>
    </row>
    <row r="154" spans="1:8" ht="15" customHeight="1" x14ac:dyDescent="0.25">
      <c r="A154" s="10">
        <v>153</v>
      </c>
      <c r="B154" s="10">
        <v>76</v>
      </c>
      <c r="C154" s="10" t="s">
        <v>1416</v>
      </c>
      <c r="D154" s="10" t="s">
        <v>173</v>
      </c>
      <c r="E154" s="10">
        <v>278</v>
      </c>
      <c r="F154" s="10" t="str">
        <f>INDEX(Products!$B$2:$B$101,MATCH(B154,Products!$A$2:$A$101,0))</f>
        <v>Massage Gun</v>
      </c>
      <c r="G154" s="10" t="str">
        <f>INDEX(Products!$J$2:$J$101,MATCH(B154,Products!$A$2:$A$101,0))</f>
        <v>Health &amp; Beauty</v>
      </c>
      <c r="H154" s="10">
        <f>INDEX(Products!$D$2:$D$101,MATCH(B154,Products!$A$2:$A$101,0))</f>
        <v>2</v>
      </c>
    </row>
    <row r="155" spans="1:8" ht="15" customHeight="1" x14ac:dyDescent="0.25">
      <c r="A155" s="10">
        <v>154</v>
      </c>
      <c r="B155" s="10">
        <v>40</v>
      </c>
      <c r="C155" s="10" t="s">
        <v>1160</v>
      </c>
      <c r="D155" s="10" t="s">
        <v>173</v>
      </c>
      <c r="E155" s="10">
        <v>259</v>
      </c>
      <c r="F155" s="10" t="str">
        <f>INDEX(Products!$B$2:$B$101,MATCH(B155,Products!$A$2:$A$101,0))</f>
        <v>Dress Shirt</v>
      </c>
      <c r="G155" s="10" t="str">
        <f>INDEX(Products!$J$2:$J$101,MATCH(B155,Products!$A$2:$A$101,0))</f>
        <v>Apparel</v>
      </c>
      <c r="H155" s="10">
        <f>INDEX(Products!$D$2:$D$101,MATCH(B155,Products!$A$2:$A$101,0))</f>
        <v>10</v>
      </c>
    </row>
    <row r="156" spans="1:8" ht="15" customHeight="1" x14ac:dyDescent="0.25">
      <c r="A156" s="10">
        <v>155</v>
      </c>
      <c r="B156" s="10">
        <v>95</v>
      </c>
      <c r="C156" s="10" t="s">
        <v>853</v>
      </c>
      <c r="D156" s="10" t="s">
        <v>173</v>
      </c>
      <c r="E156" s="10">
        <v>190</v>
      </c>
      <c r="F156" s="10" t="str">
        <f>INDEX(Products!$B$2:$B$101,MATCH(B156,Products!$A$2:$A$101,0))</f>
        <v>Green Tea Box</v>
      </c>
      <c r="G156" s="10" t="str">
        <f>INDEX(Products!$J$2:$J$101,MATCH(B156,Products!$A$2:$A$101,0))</f>
        <v>Groceries</v>
      </c>
      <c r="H156" s="10">
        <f>INDEX(Products!$D$2:$D$101,MATCH(B156,Products!$A$2:$A$101,0))</f>
        <v>12</v>
      </c>
    </row>
    <row r="157" spans="1:8" ht="15" customHeight="1" x14ac:dyDescent="0.25">
      <c r="A157" s="10">
        <v>156</v>
      </c>
      <c r="B157" s="10">
        <v>45</v>
      </c>
      <c r="C157" s="10" t="s">
        <v>1417</v>
      </c>
      <c r="D157" s="10" t="s">
        <v>177</v>
      </c>
      <c r="E157" s="10">
        <v>-31</v>
      </c>
      <c r="F157" s="10" t="str">
        <f>INDEX(Products!$B$2:$B$101,MATCH(B157,Products!$A$2:$A$101,0))</f>
        <v>Toaster</v>
      </c>
      <c r="G157" s="10" t="str">
        <f>INDEX(Products!$J$2:$J$101,MATCH(B157,Products!$A$2:$A$101,0))</f>
        <v>Home &amp; Kitchen</v>
      </c>
      <c r="H157" s="10">
        <f>INDEX(Products!$D$2:$D$101,MATCH(B157,Products!$A$2:$A$101,0))</f>
        <v>2</v>
      </c>
    </row>
    <row r="158" spans="1:8" ht="15" customHeight="1" x14ac:dyDescent="0.25">
      <c r="A158" s="10">
        <v>157</v>
      </c>
      <c r="B158" s="10">
        <v>74</v>
      </c>
      <c r="C158" s="10" t="s">
        <v>1418</v>
      </c>
      <c r="D158" s="10" t="s">
        <v>177</v>
      </c>
      <c r="E158" s="10">
        <v>-25</v>
      </c>
      <c r="F158" s="10" t="str">
        <f>INDEX(Products!$B$2:$B$101,MATCH(B158,Products!$A$2:$A$101,0))</f>
        <v>Vitamin Supplements</v>
      </c>
      <c r="G158" s="10" t="str">
        <f>INDEX(Products!$J$2:$J$101,MATCH(B158,Products!$A$2:$A$101,0))</f>
        <v>Health &amp; Beauty</v>
      </c>
      <c r="H158" s="10">
        <f>INDEX(Products!$D$2:$D$101,MATCH(B158,Products!$A$2:$A$101,0))</f>
        <v>7</v>
      </c>
    </row>
    <row r="159" spans="1:8" ht="15" customHeight="1" x14ac:dyDescent="0.25">
      <c r="A159" s="10">
        <v>158</v>
      </c>
      <c r="B159" s="10">
        <v>61</v>
      </c>
      <c r="C159" s="10" t="s">
        <v>383</v>
      </c>
      <c r="D159" s="10" t="s">
        <v>176</v>
      </c>
      <c r="E159" s="10">
        <v>-30</v>
      </c>
      <c r="F159" s="10" t="str">
        <f>INDEX(Products!$B$2:$B$101,MATCH(B159,Products!$A$2:$A$101,0))</f>
        <v>Building Blocks Set</v>
      </c>
      <c r="G159" s="10" t="str">
        <f>INDEX(Products!$J$2:$J$101,MATCH(B159,Products!$A$2:$A$101,0))</f>
        <v>Toys &amp; Games</v>
      </c>
      <c r="H159" s="10">
        <f>INDEX(Products!$D$2:$D$101,MATCH(B159,Products!$A$2:$A$101,0))</f>
        <v>6</v>
      </c>
    </row>
    <row r="160" spans="1:8" ht="15" customHeight="1" x14ac:dyDescent="0.25">
      <c r="A160" s="10">
        <v>159</v>
      </c>
      <c r="B160" s="10">
        <v>98</v>
      </c>
      <c r="C160" s="10" t="s">
        <v>818</v>
      </c>
      <c r="D160" s="10" t="s">
        <v>174</v>
      </c>
      <c r="E160" s="10">
        <v>-21</v>
      </c>
      <c r="F160" s="10" t="str">
        <f>INDEX(Products!$B$2:$B$101,MATCH(B160,Products!$A$2:$A$101,0))</f>
        <v>Dark Chocolate Bar</v>
      </c>
      <c r="G160" s="10" t="str">
        <f>INDEX(Products!$J$2:$J$101,MATCH(B160,Products!$A$2:$A$101,0))</f>
        <v>Groceries</v>
      </c>
      <c r="H160" s="10">
        <f>INDEX(Products!$D$2:$D$101,MATCH(B160,Products!$A$2:$A$101,0))</f>
        <v>4</v>
      </c>
    </row>
    <row r="161" spans="1:8" ht="15" customHeight="1" x14ac:dyDescent="0.25">
      <c r="A161" s="10">
        <v>160</v>
      </c>
      <c r="B161" s="10">
        <v>12</v>
      </c>
      <c r="C161" s="10" t="s">
        <v>1419</v>
      </c>
      <c r="D161" s="10" t="s">
        <v>173</v>
      </c>
      <c r="E161" s="10">
        <v>280</v>
      </c>
      <c r="F161" s="10" t="str">
        <f>INDEX(Products!$B$2:$B$101,MATCH(B161,Products!$A$2:$A$101,0))</f>
        <v>Printer Paper (Ream)</v>
      </c>
      <c r="G161" s="10" t="str">
        <f>INDEX(Products!$J$2:$J$101,MATCH(B161,Products!$A$2:$A$101,0))</f>
        <v>Office Supplies</v>
      </c>
      <c r="H161" s="10">
        <f>INDEX(Products!$D$2:$D$101,MATCH(B161,Products!$A$2:$A$101,0))</f>
        <v>2</v>
      </c>
    </row>
    <row r="162" spans="1:8" ht="15" customHeight="1" x14ac:dyDescent="0.25">
      <c r="A162" s="10">
        <v>161</v>
      </c>
      <c r="B162" s="10">
        <v>51</v>
      </c>
      <c r="C162" s="10" t="s">
        <v>1396</v>
      </c>
      <c r="D162" s="10" t="s">
        <v>176</v>
      </c>
      <c r="E162" s="10">
        <v>-29</v>
      </c>
      <c r="F162" s="10" t="str">
        <f>INDEX(Products!$B$2:$B$101,MATCH(B162,Products!$A$2:$A$101,0))</f>
        <v>Yoga Mat</v>
      </c>
      <c r="G162" s="10" t="str">
        <f>INDEX(Products!$J$2:$J$101,MATCH(B162,Products!$A$2:$A$101,0))</f>
        <v>Sporting Goods</v>
      </c>
      <c r="H162" s="10">
        <f>INDEX(Products!$D$2:$D$101,MATCH(B162,Products!$A$2:$A$101,0))</f>
        <v>7</v>
      </c>
    </row>
    <row r="163" spans="1:8" ht="15" customHeight="1" x14ac:dyDescent="0.25">
      <c r="A163" s="10">
        <v>162</v>
      </c>
      <c r="B163" s="10">
        <v>95</v>
      </c>
      <c r="C163" s="10" t="s">
        <v>926</v>
      </c>
      <c r="D163" s="10" t="s">
        <v>174</v>
      </c>
      <c r="E163" s="10">
        <v>-2</v>
      </c>
      <c r="F163" s="10" t="str">
        <f>INDEX(Products!$B$2:$B$101,MATCH(B163,Products!$A$2:$A$101,0))</f>
        <v>Green Tea Box</v>
      </c>
      <c r="G163" s="10" t="str">
        <f>INDEX(Products!$J$2:$J$101,MATCH(B163,Products!$A$2:$A$101,0))</f>
        <v>Groceries</v>
      </c>
      <c r="H163" s="10">
        <f>INDEX(Products!$D$2:$D$101,MATCH(B163,Products!$A$2:$A$101,0))</f>
        <v>12</v>
      </c>
    </row>
    <row r="164" spans="1:8" ht="15" customHeight="1" x14ac:dyDescent="0.25">
      <c r="A164" s="10">
        <v>163</v>
      </c>
      <c r="B164" s="10">
        <v>74</v>
      </c>
      <c r="C164" s="10" t="s">
        <v>1420</v>
      </c>
      <c r="D164" s="10" t="s">
        <v>174</v>
      </c>
      <c r="E164" s="10">
        <v>-36</v>
      </c>
      <c r="F164" s="10" t="str">
        <f>INDEX(Products!$B$2:$B$101,MATCH(B164,Products!$A$2:$A$101,0))</f>
        <v>Vitamin Supplements</v>
      </c>
      <c r="G164" s="10" t="str">
        <f>INDEX(Products!$J$2:$J$101,MATCH(B164,Products!$A$2:$A$101,0))</f>
        <v>Health &amp; Beauty</v>
      </c>
      <c r="H164" s="10">
        <f>INDEX(Products!$D$2:$D$101,MATCH(B164,Products!$A$2:$A$101,0))</f>
        <v>7</v>
      </c>
    </row>
    <row r="165" spans="1:8" ht="15" customHeight="1" x14ac:dyDescent="0.25">
      <c r="A165" s="10">
        <v>164</v>
      </c>
      <c r="B165" s="10">
        <v>11</v>
      </c>
      <c r="C165" s="10" t="s">
        <v>1261</v>
      </c>
      <c r="D165" s="10" t="s">
        <v>176</v>
      </c>
      <c r="E165" s="10">
        <v>-37</v>
      </c>
      <c r="F165" s="10" t="str">
        <f>INDEX(Products!$B$2:$B$101,MATCH(B165,Products!$A$2:$A$101,0))</f>
        <v>Stapler</v>
      </c>
      <c r="G165" s="10" t="str">
        <f>INDEX(Products!$J$2:$J$101,MATCH(B165,Products!$A$2:$A$101,0))</f>
        <v>Office Supplies</v>
      </c>
      <c r="H165" s="10">
        <f>INDEX(Products!$D$2:$D$101,MATCH(B165,Products!$A$2:$A$101,0))</f>
        <v>4</v>
      </c>
    </row>
    <row r="166" spans="1:8" ht="15" customHeight="1" x14ac:dyDescent="0.25">
      <c r="A166" s="10">
        <v>165</v>
      </c>
      <c r="B166" s="10">
        <v>97</v>
      </c>
      <c r="C166" s="10" t="s">
        <v>1421</v>
      </c>
      <c r="D166" s="10" t="s">
        <v>176</v>
      </c>
      <c r="E166" s="10">
        <v>-13</v>
      </c>
      <c r="F166" s="10" t="str">
        <f>INDEX(Products!$B$2:$B$101,MATCH(B166,Products!$A$2:$A$101,0))</f>
        <v>Sparkling Water Case</v>
      </c>
      <c r="G166" s="10" t="str">
        <f>INDEX(Products!$J$2:$J$101,MATCH(B166,Products!$A$2:$A$101,0))</f>
        <v>Groceries</v>
      </c>
      <c r="H166" s="10">
        <f>INDEX(Products!$D$2:$D$101,MATCH(B166,Products!$A$2:$A$101,0))</f>
        <v>12</v>
      </c>
    </row>
    <row r="167" spans="1:8" ht="15" customHeight="1" x14ac:dyDescent="0.25">
      <c r="A167" s="10">
        <v>166</v>
      </c>
      <c r="B167" s="10">
        <v>97</v>
      </c>
      <c r="C167" s="10" t="s">
        <v>409</v>
      </c>
      <c r="D167" s="10" t="s">
        <v>174</v>
      </c>
      <c r="E167" s="10">
        <v>-8</v>
      </c>
      <c r="F167" s="10" t="str">
        <f>INDEX(Products!$B$2:$B$101,MATCH(B167,Products!$A$2:$A$101,0))</f>
        <v>Sparkling Water Case</v>
      </c>
      <c r="G167" s="10" t="str">
        <f>INDEX(Products!$J$2:$J$101,MATCH(B167,Products!$A$2:$A$101,0))</f>
        <v>Groceries</v>
      </c>
      <c r="H167" s="10">
        <f>INDEX(Products!$D$2:$D$101,MATCH(B167,Products!$A$2:$A$101,0))</f>
        <v>12</v>
      </c>
    </row>
    <row r="168" spans="1:8" ht="15" customHeight="1" x14ac:dyDescent="0.25">
      <c r="A168" s="10">
        <v>167</v>
      </c>
      <c r="B168" s="10">
        <v>85</v>
      </c>
      <c r="C168" s="10" t="s">
        <v>1422</v>
      </c>
      <c r="D168" s="10" t="s">
        <v>173</v>
      </c>
      <c r="E168" s="10">
        <v>54</v>
      </c>
      <c r="F168" s="10" t="str">
        <f>INDEX(Products!$B$2:$B$101,MATCH(B168,Products!$A$2:$A$101,0))</f>
        <v>Windshield Wipers</v>
      </c>
      <c r="G168" s="10" t="str">
        <f>INDEX(Products!$J$2:$J$101,MATCH(B168,Products!$A$2:$A$101,0))</f>
        <v>Automotive Parts</v>
      </c>
      <c r="H168" s="10">
        <f>INDEX(Products!$D$2:$D$101,MATCH(B168,Products!$A$2:$A$101,0))</f>
        <v>2</v>
      </c>
    </row>
    <row r="169" spans="1:8" ht="15" customHeight="1" x14ac:dyDescent="0.25">
      <c r="A169" s="10">
        <v>168</v>
      </c>
      <c r="B169" s="10">
        <v>36</v>
      </c>
      <c r="C169" s="10" t="s">
        <v>1423</v>
      </c>
      <c r="D169" s="10" t="s">
        <v>173</v>
      </c>
      <c r="E169" s="10">
        <v>230</v>
      </c>
      <c r="F169" s="10" t="str">
        <f>INDEX(Products!$B$2:$B$101,MATCH(B169,Products!$A$2:$A$101,0))</f>
        <v>Rain Jacket</v>
      </c>
      <c r="G169" s="10" t="str">
        <f>INDEX(Products!$J$2:$J$101,MATCH(B169,Products!$A$2:$A$101,0))</f>
        <v>Apparel</v>
      </c>
      <c r="H169" s="10">
        <f>INDEX(Products!$D$2:$D$101,MATCH(B169,Products!$A$2:$A$101,0))</f>
        <v>12</v>
      </c>
    </row>
    <row r="170" spans="1:8" ht="15" customHeight="1" x14ac:dyDescent="0.25">
      <c r="A170" s="10">
        <v>169</v>
      </c>
      <c r="B170" s="10">
        <v>75</v>
      </c>
      <c r="C170" s="10" t="s">
        <v>1424</v>
      </c>
      <c r="D170" s="10" t="s">
        <v>173</v>
      </c>
      <c r="E170" s="10">
        <v>186</v>
      </c>
      <c r="F170" s="10" t="str">
        <f>INDEX(Products!$B$2:$B$101,MATCH(B170,Products!$A$2:$A$101,0))</f>
        <v>Shampoo Bottle</v>
      </c>
      <c r="G170" s="10" t="str">
        <f>INDEX(Products!$J$2:$J$101,MATCH(B170,Products!$A$2:$A$101,0))</f>
        <v>Health &amp; Beauty</v>
      </c>
      <c r="H170" s="10">
        <f>INDEX(Products!$D$2:$D$101,MATCH(B170,Products!$A$2:$A$101,0))</f>
        <v>8</v>
      </c>
    </row>
    <row r="171" spans="1:8" ht="15" customHeight="1" x14ac:dyDescent="0.25">
      <c r="A171" s="10">
        <v>170</v>
      </c>
      <c r="B171" s="10">
        <v>78</v>
      </c>
      <c r="C171" s="10" t="s">
        <v>970</v>
      </c>
      <c r="D171" s="10" t="s">
        <v>173</v>
      </c>
      <c r="E171" s="10">
        <v>61</v>
      </c>
      <c r="F171" s="10" t="str">
        <f>INDEX(Products!$B$2:$B$101,MATCH(B171,Products!$A$2:$A$101,0))</f>
        <v>Makeup Kit</v>
      </c>
      <c r="G171" s="10" t="str">
        <f>INDEX(Products!$J$2:$J$101,MATCH(B171,Products!$A$2:$A$101,0))</f>
        <v>Health &amp; Beauty</v>
      </c>
      <c r="H171" s="10">
        <f>INDEX(Products!$D$2:$D$101,MATCH(B171,Products!$A$2:$A$101,0))</f>
        <v>5</v>
      </c>
    </row>
    <row r="172" spans="1:8" ht="15" customHeight="1" x14ac:dyDescent="0.25">
      <c r="A172" s="10">
        <v>171</v>
      </c>
      <c r="B172" s="10">
        <v>63</v>
      </c>
      <c r="C172" s="10" t="s">
        <v>1425</v>
      </c>
      <c r="D172" s="10" t="s">
        <v>173</v>
      </c>
      <c r="E172" s="10">
        <v>96</v>
      </c>
      <c r="F172" s="10" t="str">
        <f>INDEX(Products!$B$2:$B$101,MATCH(B172,Products!$A$2:$A$101,0))</f>
        <v>Puzzle 1000pc</v>
      </c>
      <c r="G172" s="10" t="str">
        <f>INDEX(Products!$J$2:$J$101,MATCH(B172,Products!$A$2:$A$101,0))</f>
        <v>Toys &amp; Games</v>
      </c>
      <c r="H172" s="10">
        <f>INDEX(Products!$D$2:$D$101,MATCH(B172,Products!$A$2:$A$101,0))</f>
        <v>2</v>
      </c>
    </row>
    <row r="173" spans="1:8" ht="15" customHeight="1" x14ac:dyDescent="0.25">
      <c r="A173" s="10">
        <v>172</v>
      </c>
      <c r="B173" s="10">
        <v>54</v>
      </c>
      <c r="C173" s="10" t="s">
        <v>1426</v>
      </c>
      <c r="D173" s="10" t="s">
        <v>177</v>
      </c>
      <c r="E173" s="10">
        <v>-25</v>
      </c>
      <c r="F173" s="10" t="str">
        <f>INDEX(Products!$B$2:$B$101,MATCH(B173,Products!$A$2:$A$101,0))</f>
        <v>Tennis Racket</v>
      </c>
      <c r="G173" s="10" t="str">
        <f>INDEX(Products!$J$2:$J$101,MATCH(B173,Products!$A$2:$A$101,0))</f>
        <v>Sporting Goods</v>
      </c>
      <c r="H173" s="10">
        <f>INDEX(Products!$D$2:$D$101,MATCH(B173,Products!$A$2:$A$101,0))</f>
        <v>11</v>
      </c>
    </row>
    <row r="174" spans="1:8" ht="15" customHeight="1" x14ac:dyDescent="0.25">
      <c r="A174" s="10">
        <v>173</v>
      </c>
      <c r="B174" s="10">
        <v>33</v>
      </c>
      <c r="C174" s="10" t="s">
        <v>1239</v>
      </c>
      <c r="D174" s="10" t="s">
        <v>173</v>
      </c>
      <c r="E174" s="10">
        <v>75</v>
      </c>
      <c r="F174" s="10" t="str">
        <f>INDEX(Products!$B$2:$B$101,MATCH(B174,Products!$A$2:$A$101,0))</f>
        <v>Running Shoes</v>
      </c>
      <c r="G174" s="10" t="str">
        <f>INDEX(Products!$J$2:$J$101,MATCH(B174,Products!$A$2:$A$101,0))</f>
        <v>Apparel</v>
      </c>
      <c r="H174" s="10">
        <f>INDEX(Products!$D$2:$D$101,MATCH(B174,Products!$A$2:$A$101,0))</f>
        <v>5</v>
      </c>
    </row>
    <row r="175" spans="1:8" ht="15" customHeight="1" x14ac:dyDescent="0.25">
      <c r="A175" s="10">
        <v>174</v>
      </c>
      <c r="B175" s="10">
        <v>70</v>
      </c>
      <c r="C175" s="10" t="s">
        <v>1000</v>
      </c>
      <c r="D175" s="10" t="s">
        <v>173</v>
      </c>
      <c r="E175" s="10">
        <v>96</v>
      </c>
      <c r="F175" s="10" t="str">
        <f>INDEX(Products!$B$2:$B$101,MATCH(B175,Products!$A$2:$A$101,0))</f>
        <v>Chess Set</v>
      </c>
      <c r="G175" s="10" t="str">
        <f>INDEX(Products!$J$2:$J$101,MATCH(B175,Products!$A$2:$A$101,0))</f>
        <v>Toys &amp; Games</v>
      </c>
      <c r="H175" s="10">
        <f>INDEX(Products!$D$2:$D$101,MATCH(B175,Products!$A$2:$A$101,0))</f>
        <v>12</v>
      </c>
    </row>
    <row r="176" spans="1:8" ht="15" customHeight="1" x14ac:dyDescent="0.25">
      <c r="A176" s="10">
        <v>175</v>
      </c>
      <c r="B176" s="10">
        <v>33</v>
      </c>
      <c r="C176" s="10" t="s">
        <v>1427</v>
      </c>
      <c r="D176" s="10" t="s">
        <v>173</v>
      </c>
      <c r="E176" s="10">
        <v>293</v>
      </c>
      <c r="F176" s="10" t="str">
        <f>INDEX(Products!$B$2:$B$101,MATCH(B176,Products!$A$2:$A$101,0))</f>
        <v>Running Shoes</v>
      </c>
      <c r="G176" s="10" t="str">
        <f>INDEX(Products!$J$2:$J$101,MATCH(B176,Products!$A$2:$A$101,0))</f>
        <v>Apparel</v>
      </c>
      <c r="H176" s="10">
        <f>INDEX(Products!$D$2:$D$101,MATCH(B176,Products!$A$2:$A$101,0))</f>
        <v>5</v>
      </c>
    </row>
    <row r="177" spans="1:8" ht="15" customHeight="1" x14ac:dyDescent="0.25">
      <c r="A177" s="10">
        <v>176</v>
      </c>
      <c r="B177" s="10">
        <v>53</v>
      </c>
      <c r="C177" s="10" t="s">
        <v>907</v>
      </c>
      <c r="D177" s="10" t="s">
        <v>173</v>
      </c>
      <c r="E177" s="10">
        <v>296</v>
      </c>
      <c r="F177" s="10" t="str">
        <f>INDEX(Products!$B$2:$B$101,MATCH(B177,Products!$A$2:$A$101,0))</f>
        <v>Soccer Ball</v>
      </c>
      <c r="G177" s="10" t="str">
        <f>INDEX(Products!$J$2:$J$101,MATCH(B177,Products!$A$2:$A$101,0))</f>
        <v>Sporting Goods</v>
      </c>
      <c r="H177" s="10">
        <f>INDEX(Products!$D$2:$D$101,MATCH(B177,Products!$A$2:$A$101,0))</f>
        <v>4</v>
      </c>
    </row>
    <row r="178" spans="1:8" ht="15" customHeight="1" x14ac:dyDescent="0.25">
      <c r="A178" s="10">
        <v>177</v>
      </c>
      <c r="B178" s="10">
        <v>42</v>
      </c>
      <c r="C178" s="10" t="s">
        <v>1027</v>
      </c>
      <c r="D178" s="10" t="s">
        <v>173</v>
      </c>
      <c r="E178" s="10">
        <v>64</v>
      </c>
      <c r="F178" s="10" t="str">
        <f>INDEX(Products!$B$2:$B$101,MATCH(B178,Products!$A$2:$A$101,0))</f>
        <v>Coffee Maker</v>
      </c>
      <c r="G178" s="10" t="str">
        <f>INDEX(Products!$J$2:$J$101,MATCH(B178,Products!$A$2:$A$101,0))</f>
        <v>Home &amp; Kitchen</v>
      </c>
      <c r="H178" s="10">
        <f>INDEX(Products!$D$2:$D$101,MATCH(B178,Products!$A$2:$A$101,0))</f>
        <v>8</v>
      </c>
    </row>
    <row r="179" spans="1:8" ht="15" customHeight="1" x14ac:dyDescent="0.25">
      <c r="A179" s="10">
        <v>178</v>
      </c>
      <c r="B179" s="10">
        <v>39</v>
      </c>
      <c r="C179" s="10" t="s">
        <v>1313</v>
      </c>
      <c r="D179" s="10" t="s">
        <v>173</v>
      </c>
      <c r="E179" s="10">
        <v>86</v>
      </c>
      <c r="F179" s="10" t="str">
        <f>INDEX(Products!$B$2:$B$101,MATCH(B179,Products!$A$2:$A$101,0))</f>
        <v>Winter Gloves</v>
      </c>
      <c r="G179" s="10" t="str">
        <f>INDEX(Products!$J$2:$J$101,MATCH(B179,Products!$A$2:$A$101,0))</f>
        <v>Apparel</v>
      </c>
      <c r="H179" s="10">
        <f>INDEX(Products!$D$2:$D$101,MATCH(B179,Products!$A$2:$A$101,0))</f>
        <v>8</v>
      </c>
    </row>
    <row r="180" spans="1:8" ht="15" customHeight="1" x14ac:dyDescent="0.25">
      <c r="A180" s="10">
        <v>179</v>
      </c>
      <c r="B180" s="10">
        <v>53</v>
      </c>
      <c r="C180" s="10" t="s">
        <v>754</v>
      </c>
      <c r="D180" s="10" t="s">
        <v>173</v>
      </c>
      <c r="E180" s="10">
        <v>291</v>
      </c>
      <c r="F180" s="10" t="str">
        <f>INDEX(Products!$B$2:$B$101,MATCH(B180,Products!$A$2:$A$101,0))</f>
        <v>Soccer Ball</v>
      </c>
      <c r="G180" s="10" t="str">
        <f>INDEX(Products!$J$2:$J$101,MATCH(B180,Products!$A$2:$A$101,0))</f>
        <v>Sporting Goods</v>
      </c>
      <c r="H180" s="10">
        <f>INDEX(Products!$D$2:$D$101,MATCH(B180,Products!$A$2:$A$101,0))</f>
        <v>4</v>
      </c>
    </row>
    <row r="181" spans="1:8" ht="15" customHeight="1" x14ac:dyDescent="0.25">
      <c r="A181" s="10">
        <v>180</v>
      </c>
      <c r="B181" s="10">
        <v>16</v>
      </c>
      <c r="C181" s="10" t="s">
        <v>918</v>
      </c>
      <c r="D181" s="10" t="s">
        <v>173</v>
      </c>
      <c r="E181" s="10">
        <v>242</v>
      </c>
      <c r="F181" s="10" t="str">
        <f>INDEX(Products!$B$2:$B$101,MATCH(B181,Products!$A$2:$A$101,0))</f>
        <v>Whiteboard</v>
      </c>
      <c r="G181" s="10" t="str">
        <f>INDEX(Products!$J$2:$J$101,MATCH(B181,Products!$A$2:$A$101,0))</f>
        <v>Office Supplies</v>
      </c>
      <c r="H181" s="10">
        <f>INDEX(Products!$D$2:$D$101,MATCH(B181,Products!$A$2:$A$101,0))</f>
        <v>10</v>
      </c>
    </row>
    <row r="182" spans="1:8" ht="15" customHeight="1" x14ac:dyDescent="0.25">
      <c r="A182" s="10">
        <v>181</v>
      </c>
      <c r="B182" s="10">
        <v>77</v>
      </c>
      <c r="C182" s="10" t="s">
        <v>1428</v>
      </c>
      <c r="D182" s="10" t="s">
        <v>176</v>
      </c>
      <c r="E182" s="10">
        <v>-25</v>
      </c>
      <c r="F182" s="10" t="str">
        <f>INDEX(Products!$B$2:$B$101,MATCH(B182,Products!$A$2:$A$101,0))</f>
        <v>Sunscreen SPF50</v>
      </c>
      <c r="G182" s="10" t="str">
        <f>INDEX(Products!$J$2:$J$101,MATCH(B182,Products!$A$2:$A$101,0))</f>
        <v>Health &amp; Beauty</v>
      </c>
      <c r="H182" s="10">
        <f>INDEX(Products!$D$2:$D$101,MATCH(B182,Products!$A$2:$A$101,0))</f>
        <v>12</v>
      </c>
    </row>
    <row r="183" spans="1:8" ht="15" customHeight="1" x14ac:dyDescent="0.25">
      <c r="A183" s="10">
        <v>182</v>
      </c>
      <c r="B183" s="10">
        <v>15</v>
      </c>
      <c r="C183" s="10" t="s">
        <v>1284</v>
      </c>
      <c r="D183" s="10" t="s">
        <v>173</v>
      </c>
      <c r="E183" s="10">
        <v>168</v>
      </c>
      <c r="F183" s="10" t="str">
        <f>INDEX(Products!$B$2:$B$101,MATCH(B183,Products!$A$2:$A$101,0))</f>
        <v>Desk Organizer</v>
      </c>
      <c r="G183" s="10" t="str">
        <f>INDEX(Products!$J$2:$J$101,MATCH(B183,Products!$A$2:$A$101,0))</f>
        <v>Office Supplies</v>
      </c>
      <c r="H183" s="10">
        <f>INDEX(Products!$D$2:$D$101,MATCH(B183,Products!$A$2:$A$101,0))</f>
        <v>11</v>
      </c>
    </row>
    <row r="184" spans="1:8" ht="15" customHeight="1" x14ac:dyDescent="0.25">
      <c r="A184" s="10">
        <v>183</v>
      </c>
      <c r="B184" s="10">
        <v>71</v>
      </c>
      <c r="C184" s="10" t="s">
        <v>843</v>
      </c>
      <c r="D184" s="10" t="s">
        <v>173</v>
      </c>
      <c r="E184" s="10">
        <v>57</v>
      </c>
      <c r="F184" s="10" t="str">
        <f>INDEX(Products!$B$2:$B$101,MATCH(B184,Products!$A$2:$A$101,0))</f>
        <v>Electric Toothbrush</v>
      </c>
      <c r="G184" s="10" t="str">
        <f>INDEX(Products!$J$2:$J$101,MATCH(B184,Products!$A$2:$A$101,0))</f>
        <v>Health &amp; Beauty</v>
      </c>
      <c r="H184" s="10">
        <f>INDEX(Products!$D$2:$D$101,MATCH(B184,Products!$A$2:$A$101,0))</f>
        <v>8</v>
      </c>
    </row>
    <row r="185" spans="1:8" ht="15" customHeight="1" x14ac:dyDescent="0.25">
      <c r="A185" s="10">
        <v>184</v>
      </c>
      <c r="B185" s="10">
        <v>53</v>
      </c>
      <c r="C185" s="10" t="s">
        <v>1429</v>
      </c>
      <c r="D185" s="10" t="s">
        <v>174</v>
      </c>
      <c r="E185" s="10">
        <v>-18</v>
      </c>
      <c r="F185" s="10" t="str">
        <f>INDEX(Products!$B$2:$B$101,MATCH(B185,Products!$A$2:$A$101,0))</f>
        <v>Soccer Ball</v>
      </c>
      <c r="G185" s="10" t="str">
        <f>INDEX(Products!$J$2:$J$101,MATCH(B185,Products!$A$2:$A$101,0))</f>
        <v>Sporting Goods</v>
      </c>
      <c r="H185" s="10">
        <f>INDEX(Products!$D$2:$D$101,MATCH(B185,Products!$A$2:$A$101,0))</f>
        <v>4</v>
      </c>
    </row>
    <row r="186" spans="1:8" ht="15" customHeight="1" x14ac:dyDescent="0.25">
      <c r="A186" s="10">
        <v>185</v>
      </c>
      <c r="B186" s="10">
        <v>71</v>
      </c>
      <c r="C186" s="10" t="s">
        <v>1296</v>
      </c>
      <c r="D186" s="10" t="s">
        <v>173</v>
      </c>
      <c r="E186" s="10">
        <v>192</v>
      </c>
      <c r="F186" s="10" t="str">
        <f>INDEX(Products!$B$2:$B$101,MATCH(B186,Products!$A$2:$A$101,0))</f>
        <v>Electric Toothbrush</v>
      </c>
      <c r="G186" s="10" t="str">
        <f>INDEX(Products!$J$2:$J$101,MATCH(B186,Products!$A$2:$A$101,0))</f>
        <v>Health &amp; Beauty</v>
      </c>
      <c r="H186" s="10">
        <f>INDEX(Products!$D$2:$D$101,MATCH(B186,Products!$A$2:$A$101,0))</f>
        <v>8</v>
      </c>
    </row>
    <row r="187" spans="1:8" ht="15" customHeight="1" x14ac:dyDescent="0.25">
      <c r="A187" s="10">
        <v>186</v>
      </c>
      <c r="B187" s="10">
        <v>84</v>
      </c>
      <c r="C187" s="10" t="s">
        <v>978</v>
      </c>
      <c r="D187" s="10" t="s">
        <v>173</v>
      </c>
      <c r="E187" s="10">
        <v>154</v>
      </c>
      <c r="F187" s="10" t="str">
        <f>INDEX(Products!$B$2:$B$101,MATCH(B187,Products!$A$2:$A$101,0))</f>
        <v>Motor Oil (Qt)</v>
      </c>
      <c r="G187" s="10" t="str">
        <f>INDEX(Products!$J$2:$J$101,MATCH(B187,Products!$A$2:$A$101,0))</f>
        <v>Automotive Parts</v>
      </c>
      <c r="H187" s="10">
        <f>INDEX(Products!$D$2:$D$101,MATCH(B187,Products!$A$2:$A$101,0))</f>
        <v>4</v>
      </c>
    </row>
    <row r="188" spans="1:8" ht="15" customHeight="1" x14ac:dyDescent="0.25">
      <c r="A188" s="10">
        <v>187</v>
      </c>
      <c r="B188" s="10">
        <v>58</v>
      </c>
      <c r="C188" s="10" t="s">
        <v>989</v>
      </c>
      <c r="D188" s="10" t="s">
        <v>176</v>
      </c>
      <c r="E188" s="10">
        <v>-14</v>
      </c>
      <c r="F188" s="10" t="str">
        <f>INDEX(Products!$B$2:$B$101,MATCH(B188,Products!$A$2:$A$101,0))</f>
        <v>Water Bottle</v>
      </c>
      <c r="G188" s="10" t="str">
        <f>INDEX(Products!$J$2:$J$101,MATCH(B188,Products!$A$2:$A$101,0))</f>
        <v>Sporting Goods</v>
      </c>
      <c r="H188" s="10">
        <f>INDEX(Products!$D$2:$D$101,MATCH(B188,Products!$A$2:$A$101,0))</f>
        <v>7</v>
      </c>
    </row>
    <row r="189" spans="1:8" ht="15" customHeight="1" x14ac:dyDescent="0.25">
      <c r="A189" s="10">
        <v>188</v>
      </c>
      <c r="B189" s="10">
        <v>19</v>
      </c>
      <c r="C189" s="10" t="s">
        <v>1293</v>
      </c>
      <c r="D189" s="10" t="s">
        <v>174</v>
      </c>
      <c r="E189" s="10">
        <v>-16</v>
      </c>
      <c r="F189" s="10" t="str">
        <f>INDEX(Products!$B$2:$B$101,MATCH(B189,Products!$A$2:$A$101,0))</f>
        <v>Notebook</v>
      </c>
      <c r="G189" s="10" t="str">
        <f>INDEX(Products!$J$2:$J$101,MATCH(B189,Products!$A$2:$A$101,0))</f>
        <v>Office Supplies</v>
      </c>
      <c r="H189" s="10">
        <f>INDEX(Products!$D$2:$D$101,MATCH(B189,Products!$A$2:$A$101,0))</f>
        <v>7</v>
      </c>
    </row>
    <row r="190" spans="1:8" ht="15" customHeight="1" x14ac:dyDescent="0.25">
      <c r="A190" s="10">
        <v>189</v>
      </c>
      <c r="B190" s="10">
        <v>69</v>
      </c>
      <c r="C190" s="10" t="s">
        <v>1102</v>
      </c>
      <c r="D190" s="10" t="s">
        <v>176</v>
      </c>
      <c r="E190" s="10">
        <v>-29</v>
      </c>
      <c r="F190" s="10" t="str">
        <f>INDEX(Products!$B$2:$B$101,MATCH(B190,Products!$A$2:$A$101,0))</f>
        <v>Toy Drone</v>
      </c>
      <c r="G190" s="10" t="str">
        <f>INDEX(Products!$J$2:$J$101,MATCH(B190,Products!$A$2:$A$101,0))</f>
        <v>Toys &amp; Games</v>
      </c>
      <c r="H190" s="10">
        <f>INDEX(Products!$D$2:$D$101,MATCH(B190,Products!$A$2:$A$101,0))</f>
        <v>7</v>
      </c>
    </row>
    <row r="191" spans="1:8" ht="15" customHeight="1" x14ac:dyDescent="0.25">
      <c r="A191" s="10">
        <v>190</v>
      </c>
      <c r="B191" s="10">
        <v>6</v>
      </c>
      <c r="C191" s="10" t="s">
        <v>1430</v>
      </c>
      <c r="D191" s="10" t="s">
        <v>176</v>
      </c>
      <c r="E191" s="10">
        <v>-19</v>
      </c>
      <c r="F191" s="10" t="str">
        <f>INDEX(Products!$B$2:$B$101,MATCH(B191,Products!$A$2:$A$101,0))</f>
        <v>Noise-Cancelling Headphones</v>
      </c>
      <c r="G191" s="10" t="str">
        <f>INDEX(Products!$J$2:$J$101,MATCH(B191,Products!$A$2:$A$101,0))</f>
        <v>Electronics</v>
      </c>
      <c r="H191" s="10">
        <f>INDEX(Products!$D$2:$D$101,MATCH(B191,Products!$A$2:$A$101,0))</f>
        <v>2</v>
      </c>
    </row>
    <row r="192" spans="1:8" ht="15" customHeight="1" x14ac:dyDescent="0.25">
      <c r="A192" s="10">
        <v>191</v>
      </c>
      <c r="B192" s="10">
        <v>84</v>
      </c>
      <c r="C192" s="10" t="s">
        <v>1206</v>
      </c>
      <c r="D192" s="10" t="s">
        <v>173</v>
      </c>
      <c r="E192" s="10">
        <v>288</v>
      </c>
      <c r="F192" s="10" t="str">
        <f>INDEX(Products!$B$2:$B$101,MATCH(B192,Products!$A$2:$A$101,0))</f>
        <v>Motor Oil (Qt)</v>
      </c>
      <c r="G192" s="10" t="str">
        <f>INDEX(Products!$J$2:$J$101,MATCH(B192,Products!$A$2:$A$101,0))</f>
        <v>Automotive Parts</v>
      </c>
      <c r="H192" s="10">
        <f>INDEX(Products!$D$2:$D$101,MATCH(B192,Products!$A$2:$A$101,0))</f>
        <v>4</v>
      </c>
    </row>
    <row r="193" spans="1:8" ht="15" customHeight="1" x14ac:dyDescent="0.25">
      <c r="A193" s="10">
        <v>192</v>
      </c>
      <c r="B193" s="10">
        <v>62</v>
      </c>
      <c r="C193" s="10" t="s">
        <v>1431</v>
      </c>
      <c r="D193" s="10" t="s">
        <v>176</v>
      </c>
      <c r="E193" s="10">
        <v>-25</v>
      </c>
      <c r="F193" s="10" t="str">
        <f>INDEX(Products!$B$2:$B$101,MATCH(B193,Products!$A$2:$A$101,0))</f>
        <v>Board Game</v>
      </c>
      <c r="G193" s="10" t="str">
        <f>INDEX(Products!$J$2:$J$101,MATCH(B193,Products!$A$2:$A$101,0))</f>
        <v>Toys &amp; Games</v>
      </c>
      <c r="H193" s="10">
        <f>INDEX(Products!$D$2:$D$101,MATCH(B193,Products!$A$2:$A$101,0))</f>
        <v>5</v>
      </c>
    </row>
    <row r="194" spans="1:8" ht="15" customHeight="1" x14ac:dyDescent="0.25">
      <c r="A194" s="10">
        <v>193</v>
      </c>
      <c r="B194" s="10">
        <v>45</v>
      </c>
      <c r="C194" s="10" t="s">
        <v>1344</v>
      </c>
      <c r="D194" s="10" t="s">
        <v>176</v>
      </c>
      <c r="E194" s="10">
        <v>-19</v>
      </c>
      <c r="F194" s="10" t="str">
        <f>INDEX(Products!$B$2:$B$101,MATCH(B194,Products!$A$2:$A$101,0))</f>
        <v>Toaster</v>
      </c>
      <c r="G194" s="10" t="str">
        <f>INDEX(Products!$J$2:$J$101,MATCH(B194,Products!$A$2:$A$101,0))</f>
        <v>Home &amp; Kitchen</v>
      </c>
      <c r="H194" s="10">
        <f>INDEX(Products!$D$2:$D$101,MATCH(B194,Products!$A$2:$A$101,0))</f>
        <v>2</v>
      </c>
    </row>
    <row r="195" spans="1:8" ht="15" customHeight="1" x14ac:dyDescent="0.25">
      <c r="A195" s="10">
        <v>194</v>
      </c>
      <c r="B195" s="10">
        <v>6</v>
      </c>
      <c r="C195" s="10" t="s">
        <v>949</v>
      </c>
      <c r="D195" s="10" t="s">
        <v>176</v>
      </c>
      <c r="E195" s="10">
        <v>-5</v>
      </c>
      <c r="F195" s="10" t="str">
        <f>INDEX(Products!$B$2:$B$101,MATCH(B195,Products!$A$2:$A$101,0))</f>
        <v>Noise-Cancelling Headphones</v>
      </c>
      <c r="G195" s="10" t="str">
        <f>INDEX(Products!$J$2:$J$101,MATCH(B195,Products!$A$2:$A$101,0))</f>
        <v>Electronics</v>
      </c>
      <c r="H195" s="10">
        <f>INDEX(Products!$D$2:$D$101,MATCH(B195,Products!$A$2:$A$101,0))</f>
        <v>2</v>
      </c>
    </row>
    <row r="196" spans="1:8" ht="15" customHeight="1" x14ac:dyDescent="0.25">
      <c r="A196" s="10">
        <v>195</v>
      </c>
      <c r="B196" s="10">
        <v>39</v>
      </c>
      <c r="C196" s="10" t="s">
        <v>1427</v>
      </c>
      <c r="D196" s="10" t="s">
        <v>173</v>
      </c>
      <c r="E196" s="10">
        <v>81</v>
      </c>
      <c r="F196" s="10" t="str">
        <f>INDEX(Products!$B$2:$B$101,MATCH(B196,Products!$A$2:$A$101,0))</f>
        <v>Winter Gloves</v>
      </c>
      <c r="G196" s="10" t="str">
        <f>INDEX(Products!$J$2:$J$101,MATCH(B196,Products!$A$2:$A$101,0))</f>
        <v>Apparel</v>
      </c>
      <c r="H196" s="10">
        <f>INDEX(Products!$D$2:$D$101,MATCH(B196,Products!$A$2:$A$101,0))</f>
        <v>8</v>
      </c>
    </row>
    <row r="197" spans="1:8" ht="15" customHeight="1" x14ac:dyDescent="0.25">
      <c r="A197" s="10">
        <v>196</v>
      </c>
      <c r="B197" s="10">
        <v>18</v>
      </c>
      <c r="C197" s="10" t="s">
        <v>1063</v>
      </c>
      <c r="D197" s="10" t="s">
        <v>174</v>
      </c>
      <c r="E197" s="10">
        <v>-40</v>
      </c>
      <c r="F197" s="10" t="str">
        <f>INDEX(Products!$B$2:$B$101,MATCH(B197,Products!$A$2:$A$101,0))</f>
        <v>Filing Cabinet</v>
      </c>
      <c r="G197" s="10" t="str">
        <f>INDEX(Products!$J$2:$J$101,MATCH(B197,Products!$A$2:$A$101,0))</f>
        <v>Office Supplies</v>
      </c>
      <c r="H197" s="10">
        <f>INDEX(Products!$D$2:$D$101,MATCH(B197,Products!$A$2:$A$101,0))</f>
        <v>9</v>
      </c>
    </row>
    <row r="198" spans="1:8" ht="15" customHeight="1" x14ac:dyDescent="0.25">
      <c r="A198" s="10">
        <v>197</v>
      </c>
      <c r="B198" s="10">
        <v>65</v>
      </c>
      <c r="C198" s="10" t="s">
        <v>1432</v>
      </c>
      <c r="D198" s="10" t="s">
        <v>177</v>
      </c>
      <c r="E198" s="10">
        <v>-17</v>
      </c>
      <c r="F198" s="10" t="str">
        <f>INDEX(Products!$B$2:$B$101,MATCH(B198,Products!$A$2:$A$101,0))</f>
        <v>Action Figure</v>
      </c>
      <c r="G198" s="10" t="str">
        <f>INDEX(Products!$J$2:$J$101,MATCH(B198,Products!$A$2:$A$101,0))</f>
        <v>Toys &amp; Games</v>
      </c>
      <c r="H198" s="10">
        <f>INDEX(Products!$D$2:$D$101,MATCH(B198,Products!$A$2:$A$101,0))</f>
        <v>2</v>
      </c>
    </row>
    <row r="199" spans="1:8" ht="15" customHeight="1" x14ac:dyDescent="0.25">
      <c r="A199" s="10">
        <v>198</v>
      </c>
      <c r="B199" s="10">
        <v>97</v>
      </c>
      <c r="C199" s="10" t="s">
        <v>1042</v>
      </c>
      <c r="D199" s="10" t="s">
        <v>173</v>
      </c>
      <c r="E199" s="10">
        <v>219</v>
      </c>
      <c r="F199" s="10" t="str">
        <f>INDEX(Products!$B$2:$B$101,MATCH(B199,Products!$A$2:$A$101,0))</f>
        <v>Sparkling Water Case</v>
      </c>
      <c r="G199" s="10" t="str">
        <f>INDEX(Products!$J$2:$J$101,MATCH(B199,Products!$A$2:$A$101,0))</f>
        <v>Groceries</v>
      </c>
      <c r="H199" s="10">
        <f>INDEX(Products!$D$2:$D$101,MATCH(B199,Products!$A$2:$A$101,0))</f>
        <v>12</v>
      </c>
    </row>
    <row r="200" spans="1:8" ht="15" customHeight="1" x14ac:dyDescent="0.25">
      <c r="A200" s="10">
        <v>199</v>
      </c>
      <c r="B200" s="10">
        <v>42</v>
      </c>
      <c r="C200" s="10" t="s">
        <v>1107</v>
      </c>
      <c r="D200" s="10" t="s">
        <v>173</v>
      </c>
      <c r="E200" s="10">
        <v>295</v>
      </c>
      <c r="F200" s="10" t="str">
        <f>INDEX(Products!$B$2:$B$101,MATCH(B200,Products!$A$2:$A$101,0))</f>
        <v>Coffee Maker</v>
      </c>
      <c r="G200" s="10" t="str">
        <f>INDEX(Products!$J$2:$J$101,MATCH(B200,Products!$A$2:$A$101,0))</f>
        <v>Home &amp; Kitchen</v>
      </c>
      <c r="H200" s="10">
        <f>INDEX(Products!$D$2:$D$101,MATCH(B200,Products!$A$2:$A$101,0))</f>
        <v>8</v>
      </c>
    </row>
    <row r="201" spans="1:8" ht="15" customHeight="1" x14ac:dyDescent="0.25">
      <c r="A201" s="10">
        <v>200</v>
      </c>
      <c r="B201" s="10">
        <v>77</v>
      </c>
      <c r="C201" s="10" t="s">
        <v>752</v>
      </c>
      <c r="D201" s="10" t="s">
        <v>173</v>
      </c>
      <c r="E201" s="10">
        <v>227</v>
      </c>
      <c r="F201" s="10" t="str">
        <f>INDEX(Products!$B$2:$B$101,MATCH(B201,Products!$A$2:$A$101,0))</f>
        <v>Sunscreen SPF50</v>
      </c>
      <c r="G201" s="10" t="str">
        <f>INDEX(Products!$J$2:$J$101,MATCH(B201,Products!$A$2:$A$101,0))</f>
        <v>Health &amp; Beauty</v>
      </c>
      <c r="H201" s="10">
        <f>INDEX(Products!$D$2:$D$101,MATCH(B201,Products!$A$2:$A$101,0))</f>
        <v>12</v>
      </c>
    </row>
    <row r="202" spans="1:8" ht="15" customHeight="1" x14ac:dyDescent="0.25">
      <c r="A202" s="10">
        <v>201</v>
      </c>
      <c r="B202" s="10">
        <v>18</v>
      </c>
      <c r="C202" s="10" t="s">
        <v>1433</v>
      </c>
      <c r="D202" s="10" t="s">
        <v>174</v>
      </c>
      <c r="E202" s="10">
        <v>-1</v>
      </c>
      <c r="F202" s="10" t="str">
        <f>INDEX(Products!$B$2:$B$101,MATCH(B202,Products!$A$2:$A$101,0))</f>
        <v>Filing Cabinet</v>
      </c>
      <c r="G202" s="10" t="str">
        <f>INDEX(Products!$J$2:$J$101,MATCH(B202,Products!$A$2:$A$101,0))</f>
        <v>Office Supplies</v>
      </c>
      <c r="H202" s="10">
        <f>INDEX(Products!$D$2:$D$101,MATCH(B202,Products!$A$2:$A$101,0))</f>
        <v>9</v>
      </c>
    </row>
    <row r="203" spans="1:8" ht="15" customHeight="1" x14ac:dyDescent="0.25">
      <c r="A203" s="10">
        <v>202</v>
      </c>
      <c r="B203" s="10">
        <v>87</v>
      </c>
      <c r="C203" s="10" t="s">
        <v>1434</v>
      </c>
      <c r="D203" s="10" t="s">
        <v>173</v>
      </c>
      <c r="E203" s="10">
        <v>279</v>
      </c>
      <c r="F203" s="10" t="str">
        <f>INDEX(Products!$B$2:$B$101,MATCH(B203,Products!$A$2:$A$101,0))</f>
        <v>Floor Mats</v>
      </c>
      <c r="G203" s="10" t="str">
        <f>INDEX(Products!$J$2:$J$101,MATCH(B203,Products!$A$2:$A$101,0))</f>
        <v>Automotive Parts</v>
      </c>
      <c r="H203" s="10">
        <f>INDEX(Products!$D$2:$D$101,MATCH(B203,Products!$A$2:$A$101,0))</f>
        <v>1</v>
      </c>
    </row>
    <row r="204" spans="1:8" ht="15" customHeight="1" x14ac:dyDescent="0.25">
      <c r="A204" s="10">
        <v>203</v>
      </c>
      <c r="B204" s="10">
        <v>90</v>
      </c>
      <c r="C204" s="10" t="s">
        <v>853</v>
      </c>
      <c r="D204" s="10" t="s">
        <v>176</v>
      </c>
      <c r="E204" s="10">
        <v>-6</v>
      </c>
      <c r="F204" s="10" t="str">
        <f>INDEX(Products!$B$2:$B$101,MATCH(B204,Products!$A$2:$A$101,0))</f>
        <v>Roof Rack</v>
      </c>
      <c r="G204" s="10" t="str">
        <f>INDEX(Products!$J$2:$J$101,MATCH(B204,Products!$A$2:$A$101,0))</f>
        <v>Automotive Parts</v>
      </c>
      <c r="H204" s="10">
        <f>INDEX(Products!$D$2:$D$101,MATCH(B204,Products!$A$2:$A$101,0))</f>
        <v>8</v>
      </c>
    </row>
    <row r="205" spans="1:8" ht="15" customHeight="1" x14ac:dyDescent="0.25">
      <c r="A205" s="10">
        <v>204</v>
      </c>
      <c r="B205" s="10">
        <v>84</v>
      </c>
      <c r="C205" s="10" t="s">
        <v>1097</v>
      </c>
      <c r="D205" s="10" t="s">
        <v>176</v>
      </c>
      <c r="E205" s="10">
        <v>-29</v>
      </c>
      <c r="F205" s="10" t="str">
        <f>INDEX(Products!$B$2:$B$101,MATCH(B205,Products!$A$2:$A$101,0))</f>
        <v>Motor Oil (Qt)</v>
      </c>
      <c r="G205" s="10" t="str">
        <f>INDEX(Products!$J$2:$J$101,MATCH(B205,Products!$A$2:$A$101,0))</f>
        <v>Automotive Parts</v>
      </c>
      <c r="H205" s="10">
        <f>INDEX(Products!$D$2:$D$101,MATCH(B205,Products!$A$2:$A$101,0))</f>
        <v>4</v>
      </c>
    </row>
    <row r="206" spans="1:8" ht="15" customHeight="1" x14ac:dyDescent="0.25">
      <c r="A206" s="10">
        <v>205</v>
      </c>
      <c r="B206" s="10">
        <v>87</v>
      </c>
      <c r="C206" s="10" t="s">
        <v>1026</v>
      </c>
      <c r="D206" s="10" t="s">
        <v>173</v>
      </c>
      <c r="E206" s="10">
        <v>258</v>
      </c>
      <c r="F206" s="10" t="str">
        <f>INDEX(Products!$B$2:$B$101,MATCH(B206,Products!$A$2:$A$101,0))</f>
        <v>Floor Mats</v>
      </c>
      <c r="G206" s="10" t="str">
        <f>INDEX(Products!$J$2:$J$101,MATCH(B206,Products!$A$2:$A$101,0))</f>
        <v>Automotive Parts</v>
      </c>
      <c r="H206" s="10">
        <f>INDEX(Products!$D$2:$D$101,MATCH(B206,Products!$A$2:$A$101,0))</f>
        <v>1</v>
      </c>
    </row>
    <row r="207" spans="1:8" ht="15" customHeight="1" x14ac:dyDescent="0.25">
      <c r="A207" s="10">
        <v>206</v>
      </c>
      <c r="B207" s="10">
        <v>49</v>
      </c>
      <c r="C207" s="10" t="s">
        <v>1435</v>
      </c>
      <c r="D207" s="10" t="s">
        <v>173</v>
      </c>
      <c r="E207" s="10">
        <v>264</v>
      </c>
      <c r="F207" s="10" t="str">
        <f>INDEX(Products!$B$2:$B$101,MATCH(B207,Products!$A$2:$A$101,0))</f>
        <v>Storage Containers</v>
      </c>
      <c r="G207" s="10" t="str">
        <f>INDEX(Products!$J$2:$J$101,MATCH(B207,Products!$A$2:$A$101,0))</f>
        <v>Home &amp; Kitchen</v>
      </c>
      <c r="H207" s="10">
        <f>INDEX(Products!$D$2:$D$101,MATCH(B207,Products!$A$2:$A$101,0))</f>
        <v>3</v>
      </c>
    </row>
    <row r="208" spans="1:8" ht="15" customHeight="1" x14ac:dyDescent="0.25">
      <c r="A208" s="10">
        <v>207</v>
      </c>
      <c r="B208" s="10">
        <v>99</v>
      </c>
      <c r="C208" s="10" t="s">
        <v>1436</v>
      </c>
      <c r="D208" s="10" t="s">
        <v>173</v>
      </c>
      <c r="E208" s="10">
        <v>144</v>
      </c>
      <c r="F208" s="10" t="str">
        <f>INDEX(Products!$B$2:$B$101,MATCH(B208,Products!$A$2:$A$101,0))</f>
        <v>Honey Jar</v>
      </c>
      <c r="G208" s="10" t="str">
        <f>INDEX(Products!$J$2:$J$101,MATCH(B208,Products!$A$2:$A$101,0))</f>
        <v>Groceries</v>
      </c>
      <c r="H208" s="10">
        <f>INDEX(Products!$D$2:$D$101,MATCH(B208,Products!$A$2:$A$101,0))</f>
        <v>5</v>
      </c>
    </row>
    <row r="209" spans="1:8" ht="15" customHeight="1" x14ac:dyDescent="0.25">
      <c r="A209" s="10">
        <v>208</v>
      </c>
      <c r="B209" s="10">
        <v>25</v>
      </c>
      <c r="C209" s="10" t="s">
        <v>1076</v>
      </c>
      <c r="D209" s="10" t="s">
        <v>173</v>
      </c>
      <c r="E209" s="10">
        <v>240</v>
      </c>
      <c r="F209" s="10" t="str">
        <f>INDEX(Products!$B$2:$B$101,MATCH(B209,Products!$A$2:$A$101,0))</f>
        <v>Conference Table</v>
      </c>
      <c r="G209" s="10" t="str">
        <f>INDEX(Products!$J$2:$J$101,MATCH(B209,Products!$A$2:$A$101,0))</f>
        <v>Furniture</v>
      </c>
      <c r="H209" s="10">
        <f>INDEX(Products!$D$2:$D$101,MATCH(B209,Products!$A$2:$A$101,0))</f>
        <v>6</v>
      </c>
    </row>
    <row r="210" spans="1:8" ht="15" customHeight="1" x14ac:dyDescent="0.25">
      <c r="A210" s="10">
        <v>209</v>
      </c>
      <c r="B210" s="10">
        <v>3</v>
      </c>
      <c r="C210" s="10" t="s">
        <v>1064</v>
      </c>
      <c r="D210" s="10" t="s">
        <v>176</v>
      </c>
      <c r="E210" s="10">
        <v>-23</v>
      </c>
      <c r="F210" s="10" t="str">
        <f>INDEX(Products!$B$2:$B$101,MATCH(B210,Products!$A$2:$A$101,0))</f>
        <v>USB-C Hub</v>
      </c>
      <c r="G210" s="10" t="str">
        <f>INDEX(Products!$J$2:$J$101,MATCH(B210,Products!$A$2:$A$101,0))</f>
        <v>Electronics</v>
      </c>
      <c r="H210" s="10">
        <f>INDEX(Products!$D$2:$D$101,MATCH(B210,Products!$A$2:$A$101,0))</f>
        <v>8</v>
      </c>
    </row>
    <row r="211" spans="1:8" ht="15" customHeight="1" x14ac:dyDescent="0.25">
      <c r="A211" s="10">
        <v>210</v>
      </c>
      <c r="B211" s="10">
        <v>25</v>
      </c>
      <c r="C211" s="10" t="s">
        <v>828</v>
      </c>
      <c r="D211" s="10" t="s">
        <v>176</v>
      </c>
      <c r="E211" s="10">
        <v>-20</v>
      </c>
      <c r="F211" s="10" t="str">
        <f>INDEX(Products!$B$2:$B$101,MATCH(B211,Products!$A$2:$A$101,0))</f>
        <v>Conference Table</v>
      </c>
      <c r="G211" s="10" t="str">
        <f>INDEX(Products!$J$2:$J$101,MATCH(B211,Products!$A$2:$A$101,0))</f>
        <v>Furniture</v>
      </c>
      <c r="H211" s="10">
        <f>INDEX(Products!$D$2:$D$101,MATCH(B211,Products!$A$2:$A$101,0))</f>
        <v>6</v>
      </c>
    </row>
    <row r="212" spans="1:8" ht="15" customHeight="1" x14ac:dyDescent="0.25">
      <c r="A212" s="10">
        <v>211</v>
      </c>
      <c r="B212" s="10">
        <v>92</v>
      </c>
      <c r="C212" s="10" t="s">
        <v>1437</v>
      </c>
      <c r="D212" s="10" t="s">
        <v>173</v>
      </c>
      <c r="E212" s="10">
        <v>176</v>
      </c>
      <c r="F212" s="10" t="str">
        <f>INDEX(Products!$B$2:$B$101,MATCH(B212,Products!$A$2:$A$101,0))</f>
        <v>Olive Oil 1L</v>
      </c>
      <c r="G212" s="10" t="str">
        <f>INDEX(Products!$J$2:$J$101,MATCH(B212,Products!$A$2:$A$101,0))</f>
        <v>Groceries</v>
      </c>
      <c r="H212" s="10">
        <f>INDEX(Products!$D$2:$D$101,MATCH(B212,Products!$A$2:$A$101,0))</f>
        <v>10</v>
      </c>
    </row>
    <row r="213" spans="1:8" ht="15" customHeight="1" x14ac:dyDescent="0.25">
      <c r="A213" s="10">
        <v>212</v>
      </c>
      <c r="B213" s="10">
        <v>47</v>
      </c>
      <c r="C213" s="10" t="s">
        <v>803</v>
      </c>
      <c r="D213" s="10" t="s">
        <v>173</v>
      </c>
      <c r="E213" s="10">
        <v>281</v>
      </c>
      <c r="F213" s="10" t="str">
        <f>INDEX(Products!$B$2:$B$101,MATCH(B213,Products!$A$2:$A$101,0))</f>
        <v>Air Fryer</v>
      </c>
      <c r="G213" s="10" t="str">
        <f>INDEX(Products!$J$2:$J$101,MATCH(B213,Products!$A$2:$A$101,0))</f>
        <v>Home &amp; Kitchen</v>
      </c>
      <c r="H213" s="10">
        <f>INDEX(Products!$D$2:$D$101,MATCH(B213,Products!$A$2:$A$101,0))</f>
        <v>11</v>
      </c>
    </row>
    <row r="214" spans="1:8" ht="15" customHeight="1" x14ac:dyDescent="0.25">
      <c r="A214" s="10">
        <v>213</v>
      </c>
      <c r="B214" s="10">
        <v>91</v>
      </c>
      <c r="C214" s="10" t="s">
        <v>1126</v>
      </c>
      <c r="D214" s="10" t="s">
        <v>173</v>
      </c>
      <c r="E214" s="10">
        <v>260</v>
      </c>
      <c r="F214" s="10" t="str">
        <f>INDEX(Products!$B$2:$B$101,MATCH(B214,Products!$A$2:$A$101,0))</f>
        <v>Organic Coffee Beans</v>
      </c>
      <c r="G214" s="10" t="str">
        <f>INDEX(Products!$J$2:$J$101,MATCH(B214,Products!$A$2:$A$101,0))</f>
        <v>Groceries</v>
      </c>
      <c r="H214" s="10">
        <f>INDEX(Products!$D$2:$D$101,MATCH(B214,Products!$A$2:$A$101,0))</f>
        <v>12</v>
      </c>
    </row>
    <row r="215" spans="1:8" ht="15" customHeight="1" x14ac:dyDescent="0.25">
      <c r="A215" s="10">
        <v>214</v>
      </c>
      <c r="B215" s="10">
        <v>82</v>
      </c>
      <c r="C215" s="10" t="s">
        <v>898</v>
      </c>
      <c r="D215" s="10" t="s">
        <v>173</v>
      </c>
      <c r="E215" s="10">
        <v>121</v>
      </c>
      <c r="F215" s="10" t="str">
        <f>INDEX(Products!$B$2:$B$101,MATCH(B215,Products!$A$2:$A$101,0))</f>
        <v>Brake Pads</v>
      </c>
      <c r="G215" s="10" t="str">
        <f>INDEX(Products!$J$2:$J$101,MATCH(B215,Products!$A$2:$A$101,0))</f>
        <v>Automotive Parts</v>
      </c>
      <c r="H215" s="10">
        <f>INDEX(Products!$D$2:$D$101,MATCH(B215,Products!$A$2:$A$101,0))</f>
        <v>12</v>
      </c>
    </row>
    <row r="216" spans="1:8" ht="15" customHeight="1" x14ac:dyDescent="0.25">
      <c r="A216" s="10">
        <v>215</v>
      </c>
      <c r="B216" s="10">
        <v>73</v>
      </c>
      <c r="C216" s="10" t="s">
        <v>824</v>
      </c>
      <c r="D216" s="10" t="s">
        <v>176</v>
      </c>
      <c r="E216" s="10">
        <v>-13</v>
      </c>
      <c r="F216" s="10" t="str">
        <f>INDEX(Products!$B$2:$B$101,MATCH(B216,Products!$A$2:$A$101,0))</f>
        <v>Skincare Set</v>
      </c>
      <c r="G216" s="10" t="str">
        <f>INDEX(Products!$J$2:$J$101,MATCH(B216,Products!$A$2:$A$101,0))</f>
        <v>Health &amp; Beauty</v>
      </c>
      <c r="H216" s="10">
        <f>INDEX(Products!$D$2:$D$101,MATCH(B216,Products!$A$2:$A$101,0))</f>
        <v>4</v>
      </c>
    </row>
    <row r="217" spans="1:8" ht="15" customHeight="1" x14ac:dyDescent="0.25">
      <c r="A217" s="10">
        <v>216</v>
      </c>
      <c r="B217" s="10">
        <v>85</v>
      </c>
      <c r="C217" s="10" t="s">
        <v>1299</v>
      </c>
      <c r="D217" s="10" t="s">
        <v>173</v>
      </c>
      <c r="E217" s="10">
        <v>82</v>
      </c>
      <c r="F217" s="10" t="str">
        <f>INDEX(Products!$B$2:$B$101,MATCH(B217,Products!$A$2:$A$101,0))</f>
        <v>Windshield Wipers</v>
      </c>
      <c r="G217" s="10" t="str">
        <f>INDEX(Products!$J$2:$J$101,MATCH(B217,Products!$A$2:$A$101,0))</f>
        <v>Automotive Parts</v>
      </c>
      <c r="H217" s="10">
        <f>INDEX(Products!$D$2:$D$101,MATCH(B217,Products!$A$2:$A$101,0))</f>
        <v>2</v>
      </c>
    </row>
    <row r="218" spans="1:8" ht="15" customHeight="1" x14ac:dyDescent="0.25">
      <c r="A218" s="10">
        <v>217</v>
      </c>
      <c r="B218" s="10">
        <v>96</v>
      </c>
      <c r="C218" s="10" t="s">
        <v>1438</v>
      </c>
      <c r="D218" s="10" t="s">
        <v>173</v>
      </c>
      <c r="E218" s="10">
        <v>288</v>
      </c>
      <c r="F218" s="10" t="str">
        <f>INDEX(Products!$B$2:$B$101,MATCH(B218,Products!$A$2:$A$101,0))</f>
        <v>Granola Bars</v>
      </c>
      <c r="G218" s="10" t="str">
        <f>INDEX(Products!$J$2:$J$101,MATCH(B218,Products!$A$2:$A$101,0))</f>
        <v>Groceries</v>
      </c>
      <c r="H218" s="10">
        <f>INDEX(Products!$D$2:$D$101,MATCH(B218,Products!$A$2:$A$101,0))</f>
        <v>11</v>
      </c>
    </row>
    <row r="219" spans="1:8" ht="15" customHeight="1" x14ac:dyDescent="0.25">
      <c r="A219" s="10">
        <v>218</v>
      </c>
      <c r="B219" s="10">
        <v>73</v>
      </c>
      <c r="C219" s="10" t="s">
        <v>496</v>
      </c>
      <c r="D219" s="10" t="s">
        <v>176</v>
      </c>
      <c r="E219" s="10">
        <v>-18</v>
      </c>
      <c r="F219" s="10" t="str">
        <f>INDEX(Products!$B$2:$B$101,MATCH(B219,Products!$A$2:$A$101,0))</f>
        <v>Skincare Set</v>
      </c>
      <c r="G219" s="10" t="str">
        <f>INDEX(Products!$J$2:$J$101,MATCH(B219,Products!$A$2:$A$101,0))</f>
        <v>Health &amp; Beauty</v>
      </c>
      <c r="H219" s="10">
        <f>INDEX(Products!$D$2:$D$101,MATCH(B219,Products!$A$2:$A$101,0))</f>
        <v>4</v>
      </c>
    </row>
    <row r="220" spans="1:8" ht="15" customHeight="1" x14ac:dyDescent="0.25">
      <c r="A220" s="10">
        <v>219</v>
      </c>
      <c r="B220" s="10">
        <v>25</v>
      </c>
      <c r="C220" s="10" t="s">
        <v>1425</v>
      </c>
      <c r="D220" s="10" t="s">
        <v>176</v>
      </c>
      <c r="E220" s="10">
        <v>-35</v>
      </c>
      <c r="F220" s="10" t="str">
        <f>INDEX(Products!$B$2:$B$101,MATCH(B220,Products!$A$2:$A$101,0))</f>
        <v>Conference Table</v>
      </c>
      <c r="G220" s="10" t="str">
        <f>INDEX(Products!$J$2:$J$101,MATCH(B220,Products!$A$2:$A$101,0))</f>
        <v>Furniture</v>
      </c>
      <c r="H220" s="10">
        <f>INDEX(Products!$D$2:$D$101,MATCH(B220,Products!$A$2:$A$101,0))</f>
        <v>6</v>
      </c>
    </row>
    <row r="221" spans="1:8" ht="15" customHeight="1" x14ac:dyDescent="0.25">
      <c r="A221" s="10">
        <v>220</v>
      </c>
      <c r="B221" s="10">
        <v>79</v>
      </c>
      <c r="C221" s="10" t="s">
        <v>1323</v>
      </c>
      <c r="D221" s="10" t="s">
        <v>177</v>
      </c>
      <c r="E221" s="10">
        <v>-1</v>
      </c>
      <c r="F221" s="10" t="str">
        <f>INDEX(Products!$B$2:$B$101,MATCH(B221,Products!$A$2:$A$101,0))</f>
        <v>Essential Oil Set</v>
      </c>
      <c r="G221" s="10" t="str">
        <f>INDEX(Products!$J$2:$J$101,MATCH(B221,Products!$A$2:$A$101,0))</f>
        <v>Health &amp; Beauty</v>
      </c>
      <c r="H221" s="10">
        <f>INDEX(Products!$D$2:$D$101,MATCH(B221,Products!$A$2:$A$101,0))</f>
        <v>11</v>
      </c>
    </row>
    <row r="222" spans="1:8" ht="15" customHeight="1" x14ac:dyDescent="0.25">
      <c r="A222" s="10">
        <v>221</v>
      </c>
      <c r="B222" s="10">
        <v>55</v>
      </c>
      <c r="C222" s="10" t="s">
        <v>918</v>
      </c>
      <c r="D222" s="10" t="s">
        <v>177</v>
      </c>
      <c r="E222" s="10">
        <v>-28</v>
      </c>
      <c r="F222" s="10" t="str">
        <f>INDEX(Products!$B$2:$B$101,MATCH(B222,Products!$A$2:$A$101,0))</f>
        <v>Camping Tent</v>
      </c>
      <c r="G222" s="10" t="str">
        <f>INDEX(Products!$J$2:$J$101,MATCH(B222,Products!$A$2:$A$101,0))</f>
        <v>Sporting Goods</v>
      </c>
      <c r="H222" s="10">
        <f>INDEX(Products!$D$2:$D$101,MATCH(B222,Products!$A$2:$A$101,0))</f>
        <v>9</v>
      </c>
    </row>
    <row r="223" spans="1:8" ht="15" customHeight="1" x14ac:dyDescent="0.25">
      <c r="A223" s="10">
        <v>222</v>
      </c>
      <c r="B223" s="10">
        <v>53</v>
      </c>
      <c r="C223" s="10" t="s">
        <v>1439</v>
      </c>
      <c r="D223" s="10" t="s">
        <v>173</v>
      </c>
      <c r="E223" s="10">
        <v>182</v>
      </c>
      <c r="F223" s="10" t="str">
        <f>INDEX(Products!$B$2:$B$101,MATCH(B223,Products!$A$2:$A$101,0))</f>
        <v>Soccer Ball</v>
      </c>
      <c r="G223" s="10" t="str">
        <f>INDEX(Products!$J$2:$J$101,MATCH(B223,Products!$A$2:$A$101,0))</f>
        <v>Sporting Goods</v>
      </c>
      <c r="H223" s="10">
        <f>INDEX(Products!$D$2:$D$101,MATCH(B223,Products!$A$2:$A$101,0))</f>
        <v>4</v>
      </c>
    </row>
    <row r="224" spans="1:8" ht="15" customHeight="1" x14ac:dyDescent="0.25">
      <c r="A224" s="10">
        <v>223</v>
      </c>
      <c r="B224" s="10">
        <v>60</v>
      </c>
      <c r="C224" s="10" t="s">
        <v>1440</v>
      </c>
      <c r="D224" s="10" t="s">
        <v>173</v>
      </c>
      <c r="E224" s="10">
        <v>244</v>
      </c>
      <c r="F224" s="10" t="str">
        <f>INDEX(Products!$B$2:$B$101,MATCH(B224,Products!$A$2:$A$101,0))</f>
        <v>Jump Rope</v>
      </c>
      <c r="G224" s="10" t="str">
        <f>INDEX(Products!$J$2:$J$101,MATCH(B224,Products!$A$2:$A$101,0))</f>
        <v>Sporting Goods</v>
      </c>
      <c r="H224" s="10">
        <f>INDEX(Products!$D$2:$D$101,MATCH(B224,Products!$A$2:$A$101,0))</f>
        <v>1</v>
      </c>
    </row>
    <row r="225" spans="1:8" ht="15" customHeight="1" x14ac:dyDescent="0.25">
      <c r="A225" s="10">
        <v>224</v>
      </c>
      <c r="B225" s="10">
        <v>6</v>
      </c>
      <c r="C225" s="10" t="s">
        <v>1441</v>
      </c>
      <c r="D225" s="10" t="s">
        <v>173</v>
      </c>
      <c r="E225" s="10">
        <v>285</v>
      </c>
      <c r="F225" s="10" t="str">
        <f>INDEX(Products!$B$2:$B$101,MATCH(B225,Products!$A$2:$A$101,0))</f>
        <v>Noise-Cancelling Headphones</v>
      </c>
      <c r="G225" s="10" t="str">
        <f>INDEX(Products!$J$2:$J$101,MATCH(B225,Products!$A$2:$A$101,0))</f>
        <v>Electronics</v>
      </c>
      <c r="H225" s="10">
        <f>INDEX(Products!$D$2:$D$101,MATCH(B225,Products!$A$2:$A$101,0))</f>
        <v>2</v>
      </c>
    </row>
    <row r="226" spans="1:8" ht="15" customHeight="1" x14ac:dyDescent="0.25">
      <c r="A226" s="10">
        <v>225</v>
      </c>
      <c r="B226" s="10">
        <v>54</v>
      </c>
      <c r="C226" s="10" t="s">
        <v>1359</v>
      </c>
      <c r="D226" s="10" t="s">
        <v>173</v>
      </c>
      <c r="E226" s="10">
        <v>51</v>
      </c>
      <c r="F226" s="10" t="str">
        <f>INDEX(Products!$B$2:$B$101,MATCH(B226,Products!$A$2:$A$101,0))</f>
        <v>Tennis Racket</v>
      </c>
      <c r="G226" s="10" t="str">
        <f>INDEX(Products!$J$2:$J$101,MATCH(B226,Products!$A$2:$A$101,0))</f>
        <v>Sporting Goods</v>
      </c>
      <c r="H226" s="10">
        <f>INDEX(Products!$D$2:$D$101,MATCH(B226,Products!$A$2:$A$101,0))</f>
        <v>11</v>
      </c>
    </row>
    <row r="227" spans="1:8" ht="15" customHeight="1" x14ac:dyDescent="0.25">
      <c r="A227" s="10">
        <v>226</v>
      </c>
      <c r="B227" s="10">
        <v>51</v>
      </c>
      <c r="C227" s="10" t="s">
        <v>1442</v>
      </c>
      <c r="D227" s="10" t="s">
        <v>173</v>
      </c>
      <c r="E227" s="10">
        <v>275</v>
      </c>
      <c r="F227" s="10" t="str">
        <f>INDEX(Products!$B$2:$B$101,MATCH(B227,Products!$A$2:$A$101,0))</f>
        <v>Yoga Mat</v>
      </c>
      <c r="G227" s="10" t="str">
        <f>INDEX(Products!$J$2:$J$101,MATCH(B227,Products!$A$2:$A$101,0))</f>
        <v>Sporting Goods</v>
      </c>
      <c r="H227" s="10">
        <f>INDEX(Products!$D$2:$D$101,MATCH(B227,Products!$A$2:$A$101,0))</f>
        <v>7</v>
      </c>
    </row>
    <row r="228" spans="1:8" ht="15" customHeight="1" x14ac:dyDescent="0.25">
      <c r="A228" s="10">
        <v>227</v>
      </c>
      <c r="B228" s="10">
        <v>74</v>
      </c>
      <c r="C228" s="10" t="s">
        <v>473</v>
      </c>
      <c r="D228" s="10" t="s">
        <v>174</v>
      </c>
      <c r="E228" s="10">
        <v>-28</v>
      </c>
      <c r="F228" s="10" t="str">
        <f>INDEX(Products!$B$2:$B$101,MATCH(B228,Products!$A$2:$A$101,0))</f>
        <v>Vitamin Supplements</v>
      </c>
      <c r="G228" s="10" t="str">
        <f>INDEX(Products!$J$2:$J$101,MATCH(B228,Products!$A$2:$A$101,0))</f>
        <v>Health &amp; Beauty</v>
      </c>
      <c r="H228" s="10">
        <f>INDEX(Products!$D$2:$D$101,MATCH(B228,Products!$A$2:$A$101,0))</f>
        <v>7</v>
      </c>
    </row>
    <row r="229" spans="1:8" ht="15" customHeight="1" x14ac:dyDescent="0.25">
      <c r="A229" s="10">
        <v>228</v>
      </c>
      <c r="B229" s="10">
        <v>10</v>
      </c>
      <c r="C229" s="10" t="s">
        <v>1443</v>
      </c>
      <c r="D229" s="10" t="s">
        <v>173</v>
      </c>
      <c r="E229" s="10">
        <v>134</v>
      </c>
      <c r="F229" s="10" t="str">
        <f>INDEX(Products!$B$2:$B$101,MATCH(B229,Products!$A$2:$A$101,0))</f>
        <v>Laptop Stand</v>
      </c>
      <c r="G229" s="10" t="str">
        <f>INDEX(Products!$J$2:$J$101,MATCH(B229,Products!$A$2:$A$101,0))</f>
        <v>Electronics</v>
      </c>
      <c r="H229" s="10">
        <f>INDEX(Products!$D$2:$D$101,MATCH(B229,Products!$A$2:$A$101,0))</f>
        <v>2</v>
      </c>
    </row>
    <row r="230" spans="1:8" ht="15" customHeight="1" x14ac:dyDescent="0.25">
      <c r="A230" s="10">
        <v>229</v>
      </c>
      <c r="B230" s="10">
        <v>40</v>
      </c>
      <c r="C230" s="10" t="s">
        <v>1325</v>
      </c>
      <c r="D230" s="10" t="s">
        <v>174</v>
      </c>
      <c r="E230" s="10">
        <v>-2</v>
      </c>
      <c r="F230" s="10" t="str">
        <f>INDEX(Products!$B$2:$B$101,MATCH(B230,Products!$A$2:$A$101,0))</f>
        <v>Dress Shirt</v>
      </c>
      <c r="G230" s="10" t="str">
        <f>INDEX(Products!$J$2:$J$101,MATCH(B230,Products!$A$2:$A$101,0))</f>
        <v>Apparel</v>
      </c>
      <c r="H230" s="10">
        <f>INDEX(Products!$D$2:$D$101,MATCH(B230,Products!$A$2:$A$101,0))</f>
        <v>10</v>
      </c>
    </row>
    <row r="231" spans="1:8" ht="15" customHeight="1" x14ac:dyDescent="0.25">
      <c r="A231" s="10">
        <v>230</v>
      </c>
      <c r="B231" s="10">
        <v>62</v>
      </c>
      <c r="C231" s="10" t="s">
        <v>1393</v>
      </c>
      <c r="D231" s="10" t="s">
        <v>176</v>
      </c>
      <c r="E231" s="10">
        <v>-22</v>
      </c>
      <c r="F231" s="10" t="str">
        <f>INDEX(Products!$B$2:$B$101,MATCH(B231,Products!$A$2:$A$101,0))</f>
        <v>Board Game</v>
      </c>
      <c r="G231" s="10" t="str">
        <f>INDEX(Products!$J$2:$J$101,MATCH(B231,Products!$A$2:$A$101,0))</f>
        <v>Toys &amp; Games</v>
      </c>
      <c r="H231" s="10">
        <f>INDEX(Products!$D$2:$D$101,MATCH(B231,Products!$A$2:$A$101,0))</f>
        <v>5</v>
      </c>
    </row>
    <row r="232" spans="1:8" ht="15" customHeight="1" x14ac:dyDescent="0.25">
      <c r="A232" s="10">
        <v>231</v>
      </c>
      <c r="B232" s="10">
        <v>33</v>
      </c>
      <c r="C232" s="10" t="s">
        <v>851</v>
      </c>
      <c r="D232" s="10" t="s">
        <v>173</v>
      </c>
      <c r="E232" s="10">
        <v>111</v>
      </c>
      <c r="F232" s="10" t="str">
        <f>INDEX(Products!$B$2:$B$101,MATCH(B232,Products!$A$2:$A$101,0))</f>
        <v>Running Shoes</v>
      </c>
      <c r="G232" s="10" t="str">
        <f>INDEX(Products!$J$2:$J$101,MATCH(B232,Products!$A$2:$A$101,0))</f>
        <v>Apparel</v>
      </c>
      <c r="H232" s="10">
        <f>INDEX(Products!$D$2:$D$101,MATCH(B232,Products!$A$2:$A$101,0))</f>
        <v>5</v>
      </c>
    </row>
    <row r="233" spans="1:8" ht="15" customHeight="1" x14ac:dyDescent="0.25">
      <c r="A233" s="10">
        <v>232</v>
      </c>
      <c r="B233" s="10">
        <v>44</v>
      </c>
      <c r="C233" s="10" t="s">
        <v>1182</v>
      </c>
      <c r="D233" s="10" t="s">
        <v>176</v>
      </c>
      <c r="E233" s="10">
        <v>-16</v>
      </c>
      <c r="F233" s="10" t="str">
        <f>INDEX(Products!$B$2:$B$101,MATCH(B233,Products!$A$2:$A$101,0))</f>
        <v>Vacuum Cleaner</v>
      </c>
      <c r="G233" s="10" t="str">
        <f>INDEX(Products!$J$2:$J$101,MATCH(B233,Products!$A$2:$A$101,0))</f>
        <v>Home &amp; Kitchen</v>
      </c>
      <c r="H233" s="10">
        <f>INDEX(Products!$D$2:$D$101,MATCH(B233,Products!$A$2:$A$101,0))</f>
        <v>11</v>
      </c>
    </row>
    <row r="234" spans="1:8" ht="15" customHeight="1" x14ac:dyDescent="0.25">
      <c r="A234" s="10">
        <v>233</v>
      </c>
      <c r="B234" s="10">
        <v>10</v>
      </c>
      <c r="C234" s="10" t="s">
        <v>1258</v>
      </c>
      <c r="D234" s="10" t="s">
        <v>176</v>
      </c>
      <c r="E234" s="10">
        <v>-29</v>
      </c>
      <c r="F234" s="10" t="str">
        <f>INDEX(Products!$B$2:$B$101,MATCH(B234,Products!$A$2:$A$101,0))</f>
        <v>Laptop Stand</v>
      </c>
      <c r="G234" s="10" t="str">
        <f>INDEX(Products!$J$2:$J$101,MATCH(B234,Products!$A$2:$A$101,0))</f>
        <v>Electronics</v>
      </c>
      <c r="H234" s="10">
        <f>INDEX(Products!$D$2:$D$101,MATCH(B234,Products!$A$2:$A$101,0))</f>
        <v>2</v>
      </c>
    </row>
    <row r="235" spans="1:8" ht="15" customHeight="1" x14ac:dyDescent="0.25">
      <c r="A235" s="10">
        <v>234</v>
      </c>
      <c r="B235" s="10">
        <v>75</v>
      </c>
      <c r="C235" s="10" t="s">
        <v>1162</v>
      </c>
      <c r="D235" s="10" t="s">
        <v>173</v>
      </c>
      <c r="E235" s="10">
        <v>65</v>
      </c>
      <c r="F235" s="10" t="str">
        <f>INDEX(Products!$B$2:$B$101,MATCH(B235,Products!$A$2:$A$101,0))</f>
        <v>Shampoo Bottle</v>
      </c>
      <c r="G235" s="10" t="str">
        <f>INDEX(Products!$J$2:$J$101,MATCH(B235,Products!$A$2:$A$101,0))</f>
        <v>Health &amp; Beauty</v>
      </c>
      <c r="H235" s="10">
        <f>INDEX(Products!$D$2:$D$101,MATCH(B235,Products!$A$2:$A$101,0))</f>
        <v>8</v>
      </c>
    </row>
    <row r="236" spans="1:8" ht="15" customHeight="1" x14ac:dyDescent="0.25">
      <c r="A236" s="10">
        <v>235</v>
      </c>
      <c r="B236" s="10">
        <v>5</v>
      </c>
      <c r="C236" s="10" t="s">
        <v>934</v>
      </c>
      <c r="D236" s="10" t="s">
        <v>173</v>
      </c>
      <c r="E236" s="10">
        <v>267</v>
      </c>
      <c r="F236" s="10" t="str">
        <f>INDEX(Products!$B$2:$B$101,MATCH(B236,Products!$A$2:$A$101,0))</f>
        <v>Mechanical Keyboard</v>
      </c>
      <c r="G236" s="10" t="str">
        <f>INDEX(Products!$J$2:$J$101,MATCH(B236,Products!$A$2:$A$101,0))</f>
        <v>Electronics</v>
      </c>
      <c r="H236" s="10">
        <f>INDEX(Products!$D$2:$D$101,MATCH(B236,Products!$A$2:$A$101,0))</f>
        <v>10</v>
      </c>
    </row>
    <row r="237" spans="1:8" ht="15" customHeight="1" x14ac:dyDescent="0.25">
      <c r="A237" s="10">
        <v>236</v>
      </c>
      <c r="B237" s="10">
        <v>89</v>
      </c>
      <c r="C237" s="10" t="s">
        <v>1438</v>
      </c>
      <c r="D237" s="10" t="s">
        <v>174</v>
      </c>
      <c r="E237" s="10">
        <v>-29</v>
      </c>
      <c r="F237" s="10" t="str">
        <f>INDEX(Products!$B$2:$B$101,MATCH(B237,Products!$A$2:$A$101,0))</f>
        <v>Car Charger</v>
      </c>
      <c r="G237" s="10" t="str">
        <f>INDEX(Products!$J$2:$J$101,MATCH(B237,Products!$A$2:$A$101,0))</f>
        <v>Automotive Parts</v>
      </c>
      <c r="H237" s="10">
        <f>INDEX(Products!$D$2:$D$101,MATCH(B237,Products!$A$2:$A$101,0))</f>
        <v>7</v>
      </c>
    </row>
    <row r="238" spans="1:8" ht="15" customHeight="1" x14ac:dyDescent="0.25">
      <c r="A238" s="10">
        <v>237</v>
      </c>
      <c r="B238" s="10">
        <v>8</v>
      </c>
      <c r="C238" s="10" t="s">
        <v>910</v>
      </c>
      <c r="D238" s="10" t="s">
        <v>177</v>
      </c>
      <c r="E238" s="10">
        <v>-5</v>
      </c>
      <c r="F238" s="10" t="str">
        <f>INDEX(Products!$B$2:$B$101,MATCH(B238,Products!$A$2:$A$101,0))</f>
        <v>Portable Charger</v>
      </c>
      <c r="G238" s="10" t="str">
        <f>INDEX(Products!$J$2:$J$101,MATCH(B238,Products!$A$2:$A$101,0))</f>
        <v>Electronics</v>
      </c>
      <c r="H238" s="10">
        <f>INDEX(Products!$D$2:$D$101,MATCH(B238,Products!$A$2:$A$101,0))</f>
        <v>5</v>
      </c>
    </row>
    <row r="239" spans="1:8" ht="15" customHeight="1" x14ac:dyDescent="0.25">
      <c r="A239" s="10">
        <v>238</v>
      </c>
      <c r="B239" s="10">
        <v>14</v>
      </c>
      <c r="C239" s="10" t="s">
        <v>1444</v>
      </c>
      <c r="D239" s="10" t="s">
        <v>177</v>
      </c>
      <c r="E239" s="10">
        <v>-25</v>
      </c>
      <c r="F239" s="10" t="str">
        <f>INDEX(Products!$B$2:$B$101,MATCH(B239,Products!$A$2:$A$101,0))</f>
        <v>Sticky Notes</v>
      </c>
      <c r="G239" s="10" t="str">
        <f>INDEX(Products!$J$2:$J$101,MATCH(B239,Products!$A$2:$A$101,0))</f>
        <v>Office Supplies</v>
      </c>
      <c r="H239" s="10">
        <f>INDEX(Products!$D$2:$D$101,MATCH(B239,Products!$A$2:$A$101,0))</f>
        <v>3</v>
      </c>
    </row>
    <row r="240" spans="1:8" ht="15" customHeight="1" x14ac:dyDescent="0.25">
      <c r="A240" s="10">
        <v>239</v>
      </c>
      <c r="B240" s="10">
        <v>52</v>
      </c>
      <c r="C240" s="10" t="s">
        <v>915</v>
      </c>
      <c r="D240" s="10" t="s">
        <v>177</v>
      </c>
      <c r="E240" s="10">
        <v>-15</v>
      </c>
      <c r="F240" s="10" t="str">
        <f>INDEX(Products!$B$2:$B$101,MATCH(B240,Products!$A$2:$A$101,0))</f>
        <v>Dumbbell Set</v>
      </c>
      <c r="G240" s="10" t="str">
        <f>INDEX(Products!$J$2:$J$101,MATCH(B240,Products!$A$2:$A$101,0))</f>
        <v>Sporting Goods</v>
      </c>
      <c r="H240" s="10">
        <f>INDEX(Products!$D$2:$D$101,MATCH(B240,Products!$A$2:$A$101,0))</f>
        <v>1</v>
      </c>
    </row>
    <row r="241" spans="1:8" ht="15" customHeight="1" x14ac:dyDescent="0.25">
      <c r="A241" s="10">
        <v>240</v>
      </c>
      <c r="B241" s="10">
        <v>77</v>
      </c>
      <c r="C241" s="10" t="s">
        <v>982</v>
      </c>
      <c r="D241" s="10" t="s">
        <v>177</v>
      </c>
      <c r="E241" s="10">
        <v>-28</v>
      </c>
      <c r="F241" s="10" t="str">
        <f>INDEX(Products!$B$2:$B$101,MATCH(B241,Products!$A$2:$A$101,0))</f>
        <v>Sunscreen SPF50</v>
      </c>
      <c r="G241" s="10" t="str">
        <f>INDEX(Products!$J$2:$J$101,MATCH(B241,Products!$A$2:$A$101,0))</f>
        <v>Health &amp; Beauty</v>
      </c>
      <c r="H241" s="10">
        <f>INDEX(Products!$D$2:$D$101,MATCH(B241,Products!$A$2:$A$101,0))</f>
        <v>12</v>
      </c>
    </row>
    <row r="242" spans="1:8" ht="15" customHeight="1" x14ac:dyDescent="0.25">
      <c r="A242" s="10">
        <v>241</v>
      </c>
      <c r="B242" s="10">
        <v>80</v>
      </c>
      <c r="C242" s="10" t="s">
        <v>1296</v>
      </c>
      <c r="D242" s="10" t="s">
        <v>173</v>
      </c>
      <c r="E242" s="10">
        <v>290</v>
      </c>
      <c r="F242" s="10" t="str">
        <f>INDEX(Products!$B$2:$B$101,MATCH(B242,Products!$A$2:$A$101,0))</f>
        <v>Body Lotion</v>
      </c>
      <c r="G242" s="10" t="str">
        <f>INDEX(Products!$J$2:$J$101,MATCH(B242,Products!$A$2:$A$101,0))</f>
        <v>Health &amp; Beauty</v>
      </c>
      <c r="H242" s="10">
        <f>INDEX(Products!$D$2:$D$101,MATCH(B242,Products!$A$2:$A$101,0))</f>
        <v>8</v>
      </c>
    </row>
    <row r="243" spans="1:8" ht="15" customHeight="1" x14ac:dyDescent="0.25">
      <c r="A243" s="10">
        <v>242</v>
      </c>
      <c r="B243" s="10">
        <v>87</v>
      </c>
      <c r="C243" s="10" t="s">
        <v>817</v>
      </c>
      <c r="D243" s="10" t="s">
        <v>177</v>
      </c>
      <c r="E243" s="10">
        <v>-38</v>
      </c>
      <c r="F243" s="10" t="str">
        <f>INDEX(Products!$B$2:$B$101,MATCH(B243,Products!$A$2:$A$101,0))</f>
        <v>Floor Mats</v>
      </c>
      <c r="G243" s="10" t="str">
        <f>INDEX(Products!$J$2:$J$101,MATCH(B243,Products!$A$2:$A$101,0))</f>
        <v>Automotive Parts</v>
      </c>
      <c r="H243" s="10">
        <f>INDEX(Products!$D$2:$D$101,MATCH(B243,Products!$A$2:$A$101,0))</f>
        <v>1</v>
      </c>
    </row>
    <row r="244" spans="1:8" ht="15" customHeight="1" x14ac:dyDescent="0.25">
      <c r="A244" s="10">
        <v>243</v>
      </c>
      <c r="B244" s="10">
        <v>25</v>
      </c>
      <c r="C244" s="10" t="s">
        <v>956</v>
      </c>
      <c r="D244" s="10" t="s">
        <v>173</v>
      </c>
      <c r="E244" s="10">
        <v>202</v>
      </c>
      <c r="F244" s="10" t="str">
        <f>INDEX(Products!$B$2:$B$101,MATCH(B244,Products!$A$2:$A$101,0))</f>
        <v>Conference Table</v>
      </c>
      <c r="G244" s="10" t="str">
        <f>INDEX(Products!$J$2:$J$101,MATCH(B244,Products!$A$2:$A$101,0))</f>
        <v>Furniture</v>
      </c>
      <c r="H244" s="10">
        <f>INDEX(Products!$D$2:$D$101,MATCH(B244,Products!$A$2:$A$101,0))</f>
        <v>6</v>
      </c>
    </row>
    <row r="245" spans="1:8" ht="15" customHeight="1" x14ac:dyDescent="0.25">
      <c r="A245" s="10">
        <v>244</v>
      </c>
      <c r="B245" s="10">
        <v>92</v>
      </c>
      <c r="C245" s="10" t="s">
        <v>1417</v>
      </c>
      <c r="D245" s="10" t="s">
        <v>174</v>
      </c>
      <c r="E245" s="10">
        <v>-37</v>
      </c>
      <c r="F245" s="10" t="str">
        <f>INDEX(Products!$B$2:$B$101,MATCH(B245,Products!$A$2:$A$101,0))</f>
        <v>Olive Oil 1L</v>
      </c>
      <c r="G245" s="10" t="str">
        <f>INDEX(Products!$J$2:$J$101,MATCH(B245,Products!$A$2:$A$101,0))</f>
        <v>Groceries</v>
      </c>
      <c r="H245" s="10">
        <f>INDEX(Products!$D$2:$D$101,MATCH(B245,Products!$A$2:$A$101,0))</f>
        <v>10</v>
      </c>
    </row>
    <row r="246" spans="1:8" ht="15" customHeight="1" x14ac:dyDescent="0.25">
      <c r="A246" s="10">
        <v>245</v>
      </c>
      <c r="B246" s="10">
        <v>17</v>
      </c>
      <c r="C246" s="10" t="s">
        <v>1445</v>
      </c>
      <c r="D246" s="10" t="s">
        <v>173</v>
      </c>
      <c r="E246" s="10">
        <v>157</v>
      </c>
      <c r="F246" s="10" t="str">
        <f>INDEX(Products!$B$2:$B$101,MATCH(B246,Products!$A$2:$A$101,0))</f>
        <v>Binder Clips</v>
      </c>
      <c r="G246" s="10" t="str">
        <f>INDEX(Products!$J$2:$J$101,MATCH(B246,Products!$A$2:$A$101,0))</f>
        <v>Office Supplies</v>
      </c>
      <c r="H246" s="10">
        <f>INDEX(Products!$D$2:$D$101,MATCH(B246,Products!$A$2:$A$101,0))</f>
        <v>11</v>
      </c>
    </row>
    <row r="247" spans="1:8" ht="15" customHeight="1" x14ac:dyDescent="0.25">
      <c r="A247" s="10">
        <v>246</v>
      </c>
      <c r="B247" s="10">
        <v>62</v>
      </c>
      <c r="C247" s="10" t="s">
        <v>1076</v>
      </c>
      <c r="D247" s="10" t="s">
        <v>173</v>
      </c>
      <c r="E247" s="10">
        <v>85</v>
      </c>
      <c r="F247" s="10" t="str">
        <f>INDEX(Products!$B$2:$B$101,MATCH(B247,Products!$A$2:$A$101,0))</f>
        <v>Board Game</v>
      </c>
      <c r="G247" s="10" t="str">
        <f>INDEX(Products!$J$2:$J$101,MATCH(B247,Products!$A$2:$A$101,0))</f>
        <v>Toys &amp; Games</v>
      </c>
      <c r="H247" s="10">
        <f>INDEX(Products!$D$2:$D$101,MATCH(B247,Products!$A$2:$A$101,0))</f>
        <v>5</v>
      </c>
    </row>
    <row r="248" spans="1:8" ht="15" customHeight="1" x14ac:dyDescent="0.25">
      <c r="A248" s="10">
        <v>247</v>
      </c>
      <c r="B248" s="10">
        <v>6</v>
      </c>
      <c r="C248" s="10" t="s">
        <v>925</v>
      </c>
      <c r="D248" s="10" t="s">
        <v>173</v>
      </c>
      <c r="E248" s="10">
        <v>199</v>
      </c>
      <c r="F248" s="10" t="str">
        <f>INDEX(Products!$B$2:$B$101,MATCH(B248,Products!$A$2:$A$101,0))</f>
        <v>Noise-Cancelling Headphones</v>
      </c>
      <c r="G248" s="10" t="str">
        <f>INDEX(Products!$J$2:$J$101,MATCH(B248,Products!$A$2:$A$101,0))</f>
        <v>Electronics</v>
      </c>
      <c r="H248" s="10">
        <f>INDEX(Products!$D$2:$D$101,MATCH(B248,Products!$A$2:$A$101,0))</f>
        <v>2</v>
      </c>
    </row>
    <row r="249" spans="1:8" ht="15" customHeight="1" x14ac:dyDescent="0.25">
      <c r="A249" s="10">
        <v>248</v>
      </c>
      <c r="B249" s="10">
        <v>56</v>
      </c>
      <c r="C249" s="10" t="s">
        <v>1446</v>
      </c>
      <c r="D249" s="10" t="s">
        <v>177</v>
      </c>
      <c r="E249" s="10">
        <v>-20</v>
      </c>
      <c r="F249" s="10" t="str">
        <f>INDEX(Products!$B$2:$B$101,MATCH(B249,Products!$A$2:$A$101,0))</f>
        <v>Bicycle Helmet</v>
      </c>
      <c r="G249" s="10" t="str">
        <f>INDEX(Products!$J$2:$J$101,MATCH(B249,Products!$A$2:$A$101,0))</f>
        <v>Sporting Goods</v>
      </c>
      <c r="H249" s="10">
        <f>INDEX(Products!$D$2:$D$101,MATCH(B249,Products!$A$2:$A$101,0))</f>
        <v>8</v>
      </c>
    </row>
    <row r="250" spans="1:8" ht="15" customHeight="1" x14ac:dyDescent="0.25">
      <c r="A250" s="10">
        <v>249</v>
      </c>
      <c r="B250" s="10">
        <v>75</v>
      </c>
      <c r="C250" s="10" t="s">
        <v>869</v>
      </c>
      <c r="D250" s="10" t="s">
        <v>173</v>
      </c>
      <c r="E250" s="10">
        <v>129</v>
      </c>
      <c r="F250" s="10" t="str">
        <f>INDEX(Products!$B$2:$B$101,MATCH(B250,Products!$A$2:$A$101,0))</f>
        <v>Shampoo Bottle</v>
      </c>
      <c r="G250" s="10" t="str">
        <f>INDEX(Products!$J$2:$J$101,MATCH(B250,Products!$A$2:$A$101,0))</f>
        <v>Health &amp; Beauty</v>
      </c>
      <c r="H250" s="10">
        <f>INDEX(Products!$D$2:$D$101,MATCH(B250,Products!$A$2:$A$101,0))</f>
        <v>8</v>
      </c>
    </row>
    <row r="251" spans="1:8" ht="15" customHeight="1" x14ac:dyDescent="0.25">
      <c r="A251" s="10">
        <v>250</v>
      </c>
      <c r="B251" s="10">
        <v>78</v>
      </c>
      <c r="C251" s="10" t="s">
        <v>899</v>
      </c>
      <c r="D251" s="10" t="s">
        <v>173</v>
      </c>
      <c r="E251" s="10">
        <v>298</v>
      </c>
      <c r="F251" s="10" t="str">
        <f>INDEX(Products!$B$2:$B$101,MATCH(B251,Products!$A$2:$A$101,0))</f>
        <v>Makeup Kit</v>
      </c>
      <c r="G251" s="10" t="str">
        <f>INDEX(Products!$J$2:$J$101,MATCH(B251,Products!$A$2:$A$101,0))</f>
        <v>Health &amp; Beauty</v>
      </c>
      <c r="H251" s="10">
        <f>INDEX(Products!$D$2:$D$101,MATCH(B251,Products!$A$2:$A$101,0))</f>
        <v>5</v>
      </c>
    </row>
    <row r="252" spans="1:8" ht="15" customHeight="1" x14ac:dyDescent="0.25">
      <c r="A252" s="10">
        <v>251</v>
      </c>
      <c r="B252" s="10">
        <v>2</v>
      </c>
      <c r="C252" s="10" t="s">
        <v>1095</v>
      </c>
      <c r="D252" s="10" t="s">
        <v>176</v>
      </c>
      <c r="E252" s="10">
        <v>-10</v>
      </c>
      <c r="F252" s="10" t="str">
        <f>INDEX(Products!$B$2:$B$101,MATCH(B252,Products!$A$2:$A$101,0))</f>
        <v>Bluetooth Speaker</v>
      </c>
      <c r="G252" s="10" t="str">
        <f>INDEX(Products!$J$2:$J$101,MATCH(B252,Products!$A$2:$A$101,0))</f>
        <v>Electronics</v>
      </c>
      <c r="H252" s="10">
        <f>INDEX(Products!$D$2:$D$101,MATCH(B252,Products!$A$2:$A$101,0))</f>
        <v>7</v>
      </c>
    </row>
    <row r="253" spans="1:8" ht="15" customHeight="1" x14ac:dyDescent="0.25">
      <c r="A253" s="10">
        <v>252</v>
      </c>
      <c r="B253" s="10">
        <v>8</v>
      </c>
      <c r="C253" s="10" t="s">
        <v>798</v>
      </c>
      <c r="D253" s="10" t="s">
        <v>176</v>
      </c>
      <c r="E253" s="10">
        <v>-4</v>
      </c>
      <c r="F253" s="10" t="str">
        <f>INDEX(Products!$B$2:$B$101,MATCH(B253,Products!$A$2:$A$101,0))</f>
        <v>Portable Charger</v>
      </c>
      <c r="G253" s="10" t="str">
        <f>INDEX(Products!$J$2:$J$101,MATCH(B253,Products!$A$2:$A$101,0))</f>
        <v>Electronics</v>
      </c>
      <c r="H253" s="10">
        <f>INDEX(Products!$D$2:$D$101,MATCH(B253,Products!$A$2:$A$101,0))</f>
        <v>5</v>
      </c>
    </row>
    <row r="254" spans="1:8" ht="15" customHeight="1" x14ac:dyDescent="0.25">
      <c r="A254" s="10">
        <v>253</v>
      </c>
      <c r="B254" s="10">
        <v>55</v>
      </c>
      <c r="C254" s="10" t="s">
        <v>947</v>
      </c>
      <c r="D254" s="10" t="s">
        <v>173</v>
      </c>
      <c r="E254" s="10">
        <v>101</v>
      </c>
      <c r="F254" s="10" t="str">
        <f>INDEX(Products!$B$2:$B$101,MATCH(B254,Products!$A$2:$A$101,0))</f>
        <v>Camping Tent</v>
      </c>
      <c r="G254" s="10" t="str">
        <f>INDEX(Products!$J$2:$J$101,MATCH(B254,Products!$A$2:$A$101,0))</f>
        <v>Sporting Goods</v>
      </c>
      <c r="H254" s="10">
        <f>INDEX(Products!$D$2:$D$101,MATCH(B254,Products!$A$2:$A$101,0))</f>
        <v>9</v>
      </c>
    </row>
    <row r="255" spans="1:8" ht="15" customHeight="1" x14ac:dyDescent="0.25">
      <c r="A255" s="10">
        <v>254</v>
      </c>
      <c r="B255" s="10">
        <v>82</v>
      </c>
      <c r="C255" s="10" t="s">
        <v>1447</v>
      </c>
      <c r="D255" s="10" t="s">
        <v>177</v>
      </c>
      <c r="E255" s="10">
        <v>-13</v>
      </c>
      <c r="F255" s="10" t="str">
        <f>INDEX(Products!$B$2:$B$101,MATCH(B255,Products!$A$2:$A$101,0))</f>
        <v>Brake Pads</v>
      </c>
      <c r="G255" s="10" t="str">
        <f>INDEX(Products!$J$2:$J$101,MATCH(B255,Products!$A$2:$A$101,0))</f>
        <v>Automotive Parts</v>
      </c>
      <c r="H255" s="10">
        <f>INDEX(Products!$D$2:$D$101,MATCH(B255,Products!$A$2:$A$101,0))</f>
        <v>12</v>
      </c>
    </row>
    <row r="256" spans="1:8" ht="15" customHeight="1" x14ac:dyDescent="0.25">
      <c r="A256" s="10">
        <v>255</v>
      </c>
      <c r="B256" s="10">
        <v>86</v>
      </c>
      <c r="C256" s="10" t="s">
        <v>409</v>
      </c>
      <c r="D256" s="10" t="s">
        <v>177</v>
      </c>
      <c r="E256" s="10">
        <v>-39</v>
      </c>
      <c r="F256" s="10" t="str">
        <f>INDEX(Products!$B$2:$B$101,MATCH(B256,Products!$A$2:$A$101,0))</f>
        <v>Spark Plugs</v>
      </c>
      <c r="G256" s="10" t="str">
        <f>INDEX(Products!$J$2:$J$101,MATCH(B256,Products!$A$2:$A$101,0))</f>
        <v>Automotive Parts</v>
      </c>
      <c r="H256" s="10">
        <f>INDEX(Products!$D$2:$D$101,MATCH(B256,Products!$A$2:$A$101,0))</f>
        <v>10</v>
      </c>
    </row>
    <row r="257" spans="1:8" ht="15" customHeight="1" x14ac:dyDescent="0.25">
      <c r="A257" s="10">
        <v>256</v>
      </c>
      <c r="B257" s="10">
        <v>89</v>
      </c>
      <c r="C257" s="10" t="s">
        <v>1448</v>
      </c>
      <c r="D257" s="10" t="s">
        <v>176</v>
      </c>
      <c r="E257" s="10">
        <v>-22</v>
      </c>
      <c r="F257" s="10" t="str">
        <f>INDEX(Products!$B$2:$B$101,MATCH(B257,Products!$A$2:$A$101,0))</f>
        <v>Car Charger</v>
      </c>
      <c r="G257" s="10" t="str">
        <f>INDEX(Products!$J$2:$J$101,MATCH(B257,Products!$A$2:$A$101,0))</f>
        <v>Automotive Parts</v>
      </c>
      <c r="H257" s="10">
        <f>INDEX(Products!$D$2:$D$101,MATCH(B257,Products!$A$2:$A$101,0))</f>
        <v>7</v>
      </c>
    </row>
    <row r="258" spans="1:8" ht="15" customHeight="1" x14ac:dyDescent="0.25">
      <c r="A258" s="10">
        <v>257</v>
      </c>
      <c r="B258" s="10">
        <v>79</v>
      </c>
      <c r="C258" s="10" t="s">
        <v>1449</v>
      </c>
      <c r="D258" s="10" t="s">
        <v>173</v>
      </c>
      <c r="E258" s="10">
        <v>91</v>
      </c>
      <c r="F258" s="10" t="str">
        <f>INDEX(Products!$B$2:$B$101,MATCH(B258,Products!$A$2:$A$101,0))</f>
        <v>Essential Oil Set</v>
      </c>
      <c r="G258" s="10" t="str">
        <f>INDEX(Products!$J$2:$J$101,MATCH(B258,Products!$A$2:$A$101,0))</f>
        <v>Health &amp; Beauty</v>
      </c>
      <c r="H258" s="10">
        <f>INDEX(Products!$D$2:$D$101,MATCH(B258,Products!$A$2:$A$101,0))</f>
        <v>11</v>
      </c>
    </row>
    <row r="259" spans="1:8" ht="15" customHeight="1" x14ac:dyDescent="0.25">
      <c r="A259" s="10">
        <v>258</v>
      </c>
      <c r="B259" s="10">
        <v>14</v>
      </c>
      <c r="C259" s="10" t="s">
        <v>819</v>
      </c>
      <c r="D259" s="10" t="s">
        <v>174</v>
      </c>
      <c r="E259" s="10">
        <v>-32</v>
      </c>
      <c r="F259" s="10" t="str">
        <f>INDEX(Products!$B$2:$B$101,MATCH(B259,Products!$A$2:$A$101,0))</f>
        <v>Sticky Notes</v>
      </c>
      <c r="G259" s="10" t="str">
        <f>INDEX(Products!$J$2:$J$101,MATCH(B259,Products!$A$2:$A$101,0))</f>
        <v>Office Supplies</v>
      </c>
      <c r="H259" s="10">
        <f>INDEX(Products!$D$2:$D$101,MATCH(B259,Products!$A$2:$A$101,0))</f>
        <v>3</v>
      </c>
    </row>
    <row r="260" spans="1:8" ht="15" customHeight="1" x14ac:dyDescent="0.25">
      <c r="A260" s="10">
        <v>259</v>
      </c>
      <c r="B260" s="10">
        <v>29</v>
      </c>
      <c r="C260" s="10" t="s">
        <v>1354</v>
      </c>
      <c r="D260" s="10" t="s">
        <v>176</v>
      </c>
      <c r="E260" s="10">
        <v>-15</v>
      </c>
      <c r="F260" s="10" t="str">
        <f>INDEX(Products!$B$2:$B$101,MATCH(B260,Products!$A$2:$A$101,0))</f>
        <v>Storage Cabinet</v>
      </c>
      <c r="G260" s="10" t="str">
        <f>INDEX(Products!$J$2:$J$101,MATCH(B260,Products!$A$2:$A$101,0))</f>
        <v>Furniture</v>
      </c>
      <c r="H260" s="10">
        <f>INDEX(Products!$D$2:$D$101,MATCH(B260,Products!$A$2:$A$101,0))</f>
        <v>4</v>
      </c>
    </row>
    <row r="261" spans="1:8" ht="15" customHeight="1" x14ac:dyDescent="0.25">
      <c r="A261" s="10">
        <v>260</v>
      </c>
      <c r="B261" s="10">
        <v>60</v>
      </c>
      <c r="C261" s="10" t="s">
        <v>922</v>
      </c>
      <c r="D261" s="10" t="s">
        <v>173</v>
      </c>
      <c r="E261" s="10">
        <v>238</v>
      </c>
      <c r="F261" s="10" t="str">
        <f>INDEX(Products!$B$2:$B$101,MATCH(B261,Products!$A$2:$A$101,0))</f>
        <v>Jump Rope</v>
      </c>
      <c r="G261" s="10" t="str">
        <f>INDEX(Products!$J$2:$J$101,MATCH(B261,Products!$A$2:$A$101,0))</f>
        <v>Sporting Goods</v>
      </c>
      <c r="H261" s="10">
        <f>INDEX(Products!$D$2:$D$101,MATCH(B261,Products!$A$2:$A$101,0))</f>
        <v>1</v>
      </c>
    </row>
    <row r="262" spans="1:8" ht="15" customHeight="1" x14ac:dyDescent="0.25">
      <c r="A262" s="10">
        <v>261</v>
      </c>
      <c r="B262" s="10">
        <v>99</v>
      </c>
      <c r="C262" s="10" t="s">
        <v>1448</v>
      </c>
      <c r="D262" s="10" t="s">
        <v>177</v>
      </c>
      <c r="E262" s="10">
        <v>-14</v>
      </c>
      <c r="F262" s="10" t="str">
        <f>INDEX(Products!$B$2:$B$101,MATCH(B262,Products!$A$2:$A$101,0))</f>
        <v>Honey Jar</v>
      </c>
      <c r="G262" s="10" t="str">
        <f>INDEX(Products!$J$2:$J$101,MATCH(B262,Products!$A$2:$A$101,0))</f>
        <v>Groceries</v>
      </c>
      <c r="H262" s="10">
        <f>INDEX(Products!$D$2:$D$101,MATCH(B262,Products!$A$2:$A$101,0))</f>
        <v>5</v>
      </c>
    </row>
    <row r="263" spans="1:8" ht="15" customHeight="1" x14ac:dyDescent="0.25">
      <c r="A263" s="10">
        <v>262</v>
      </c>
      <c r="B263" s="10">
        <v>52</v>
      </c>
      <c r="C263" s="10" t="s">
        <v>1450</v>
      </c>
      <c r="D263" s="10" t="s">
        <v>174</v>
      </c>
      <c r="E263" s="10">
        <v>-24</v>
      </c>
      <c r="F263" s="10" t="str">
        <f>INDEX(Products!$B$2:$B$101,MATCH(B263,Products!$A$2:$A$101,0))</f>
        <v>Dumbbell Set</v>
      </c>
      <c r="G263" s="10" t="str">
        <f>INDEX(Products!$J$2:$J$101,MATCH(B263,Products!$A$2:$A$101,0))</f>
        <v>Sporting Goods</v>
      </c>
      <c r="H263" s="10">
        <f>INDEX(Products!$D$2:$D$101,MATCH(B263,Products!$A$2:$A$101,0))</f>
        <v>1</v>
      </c>
    </row>
    <row r="264" spans="1:8" ht="15" customHeight="1" x14ac:dyDescent="0.25">
      <c r="A264" s="10">
        <v>263</v>
      </c>
      <c r="B264" s="10">
        <v>2</v>
      </c>
      <c r="C264" s="10" t="s">
        <v>1316</v>
      </c>
      <c r="D264" s="10" t="s">
        <v>173</v>
      </c>
      <c r="E264" s="10">
        <v>192</v>
      </c>
      <c r="F264" s="10" t="str">
        <f>INDEX(Products!$B$2:$B$101,MATCH(B264,Products!$A$2:$A$101,0))</f>
        <v>Bluetooth Speaker</v>
      </c>
      <c r="G264" s="10" t="str">
        <f>INDEX(Products!$J$2:$J$101,MATCH(B264,Products!$A$2:$A$101,0))</f>
        <v>Electronics</v>
      </c>
      <c r="H264" s="10">
        <f>INDEX(Products!$D$2:$D$101,MATCH(B264,Products!$A$2:$A$101,0))</f>
        <v>7</v>
      </c>
    </row>
    <row r="265" spans="1:8" ht="15" customHeight="1" x14ac:dyDescent="0.25">
      <c r="A265" s="10">
        <v>264</v>
      </c>
      <c r="B265" s="10">
        <v>15</v>
      </c>
      <c r="C265" s="10" t="s">
        <v>1343</v>
      </c>
      <c r="D265" s="10" t="s">
        <v>173</v>
      </c>
      <c r="E265" s="10">
        <v>99</v>
      </c>
      <c r="F265" s="10" t="str">
        <f>INDEX(Products!$B$2:$B$101,MATCH(B265,Products!$A$2:$A$101,0))</f>
        <v>Desk Organizer</v>
      </c>
      <c r="G265" s="10" t="str">
        <f>INDEX(Products!$J$2:$J$101,MATCH(B265,Products!$A$2:$A$101,0))</f>
        <v>Office Supplies</v>
      </c>
      <c r="H265" s="10">
        <f>INDEX(Products!$D$2:$D$101,MATCH(B265,Products!$A$2:$A$101,0))</f>
        <v>11</v>
      </c>
    </row>
    <row r="266" spans="1:8" ht="15" customHeight="1" x14ac:dyDescent="0.25">
      <c r="A266" s="10">
        <v>265</v>
      </c>
      <c r="B266" s="10">
        <v>81</v>
      </c>
      <c r="C266" s="10" t="s">
        <v>1001</v>
      </c>
      <c r="D266" s="10" t="s">
        <v>173</v>
      </c>
      <c r="E266" s="10">
        <v>57</v>
      </c>
      <c r="F266" s="10" t="str">
        <f>INDEX(Products!$B$2:$B$101,MATCH(B266,Products!$A$2:$A$101,0))</f>
        <v>Car Battery</v>
      </c>
      <c r="G266" s="10" t="str">
        <f>INDEX(Products!$J$2:$J$101,MATCH(B266,Products!$A$2:$A$101,0))</f>
        <v>Automotive Parts</v>
      </c>
      <c r="H266" s="10">
        <f>INDEX(Products!$D$2:$D$101,MATCH(B266,Products!$A$2:$A$101,0))</f>
        <v>5</v>
      </c>
    </row>
    <row r="267" spans="1:8" ht="15" customHeight="1" x14ac:dyDescent="0.25">
      <c r="A267" s="10">
        <v>266</v>
      </c>
      <c r="B267" s="10">
        <v>26</v>
      </c>
      <c r="C267" s="10" t="s">
        <v>1282</v>
      </c>
      <c r="D267" s="10" t="s">
        <v>173</v>
      </c>
      <c r="E267" s="10">
        <v>106</v>
      </c>
      <c r="F267" s="10" t="str">
        <f>INDEX(Products!$B$2:$B$101,MATCH(B267,Products!$A$2:$A$101,0))</f>
        <v>Sofa</v>
      </c>
      <c r="G267" s="10" t="str">
        <f>INDEX(Products!$J$2:$J$101,MATCH(B267,Products!$A$2:$A$101,0))</f>
        <v>Furniture</v>
      </c>
      <c r="H267" s="10">
        <f>INDEX(Products!$D$2:$D$101,MATCH(B267,Products!$A$2:$A$101,0))</f>
        <v>5</v>
      </c>
    </row>
    <row r="268" spans="1:8" ht="15" customHeight="1" x14ac:dyDescent="0.25">
      <c r="A268" s="10">
        <v>267</v>
      </c>
      <c r="B268" s="10">
        <v>34</v>
      </c>
      <c r="C268" s="10" t="s">
        <v>1451</v>
      </c>
      <c r="D268" s="10" t="s">
        <v>173</v>
      </c>
      <c r="E268" s="10">
        <v>191</v>
      </c>
      <c r="F268" s="10" t="str">
        <f>INDEX(Products!$B$2:$B$101,MATCH(B268,Products!$A$2:$A$101,0))</f>
        <v>Wool Sweater</v>
      </c>
      <c r="G268" s="10" t="str">
        <f>INDEX(Products!$J$2:$J$101,MATCH(B268,Products!$A$2:$A$101,0))</f>
        <v>Apparel</v>
      </c>
      <c r="H268" s="10">
        <f>INDEX(Products!$D$2:$D$101,MATCH(B268,Products!$A$2:$A$101,0))</f>
        <v>2</v>
      </c>
    </row>
    <row r="269" spans="1:8" ht="15" customHeight="1" x14ac:dyDescent="0.25">
      <c r="A269" s="10">
        <v>268</v>
      </c>
      <c r="B269" s="10">
        <v>32</v>
      </c>
      <c r="C269" s="10" t="s">
        <v>1452</v>
      </c>
      <c r="D269" s="10" t="s">
        <v>173</v>
      </c>
      <c r="E269" s="10">
        <v>95</v>
      </c>
      <c r="F269" s="10" t="str">
        <f>INDEX(Products!$B$2:$B$101,MATCH(B269,Products!$A$2:$A$101,0))</f>
        <v>Denim Jacket</v>
      </c>
      <c r="G269" s="10" t="str">
        <f>INDEX(Products!$J$2:$J$101,MATCH(B269,Products!$A$2:$A$101,0))</f>
        <v>Apparel</v>
      </c>
      <c r="H269" s="10">
        <f>INDEX(Products!$D$2:$D$101,MATCH(B269,Products!$A$2:$A$101,0))</f>
        <v>9</v>
      </c>
    </row>
    <row r="270" spans="1:8" ht="15" customHeight="1" x14ac:dyDescent="0.25">
      <c r="A270" s="10">
        <v>269</v>
      </c>
      <c r="B270" s="10">
        <v>34</v>
      </c>
      <c r="C270" s="10" t="s">
        <v>1296</v>
      </c>
      <c r="D270" s="10" t="s">
        <v>173</v>
      </c>
      <c r="E270" s="10">
        <v>223</v>
      </c>
      <c r="F270" s="10" t="str">
        <f>INDEX(Products!$B$2:$B$101,MATCH(B270,Products!$A$2:$A$101,0))</f>
        <v>Wool Sweater</v>
      </c>
      <c r="G270" s="10" t="str">
        <f>INDEX(Products!$J$2:$J$101,MATCH(B270,Products!$A$2:$A$101,0))</f>
        <v>Apparel</v>
      </c>
      <c r="H270" s="10">
        <f>INDEX(Products!$D$2:$D$101,MATCH(B270,Products!$A$2:$A$101,0))</f>
        <v>2</v>
      </c>
    </row>
    <row r="271" spans="1:8" ht="15" customHeight="1" x14ac:dyDescent="0.25">
      <c r="A271" s="10">
        <v>270</v>
      </c>
      <c r="B271" s="10">
        <v>18</v>
      </c>
      <c r="C271" s="10" t="s">
        <v>878</v>
      </c>
      <c r="D271" s="10" t="s">
        <v>174</v>
      </c>
      <c r="E271" s="10">
        <v>-22</v>
      </c>
      <c r="F271" s="10" t="str">
        <f>INDEX(Products!$B$2:$B$101,MATCH(B271,Products!$A$2:$A$101,0))</f>
        <v>Filing Cabinet</v>
      </c>
      <c r="G271" s="10" t="str">
        <f>INDEX(Products!$J$2:$J$101,MATCH(B271,Products!$A$2:$A$101,0))</f>
        <v>Office Supplies</v>
      </c>
      <c r="H271" s="10">
        <f>INDEX(Products!$D$2:$D$101,MATCH(B271,Products!$A$2:$A$101,0))</f>
        <v>9</v>
      </c>
    </row>
    <row r="272" spans="1:8" ht="15" customHeight="1" x14ac:dyDescent="0.25">
      <c r="A272" s="10">
        <v>271</v>
      </c>
      <c r="B272" s="10">
        <v>27</v>
      </c>
      <c r="C272" s="10" t="s">
        <v>1453</v>
      </c>
      <c r="D272" s="10" t="s">
        <v>177</v>
      </c>
      <c r="E272" s="10">
        <v>-24</v>
      </c>
      <c r="F272" s="10" t="str">
        <f>INDEX(Products!$B$2:$B$101,MATCH(B272,Products!$A$2:$A$101,0))</f>
        <v>Coffee Table</v>
      </c>
      <c r="G272" s="10" t="str">
        <f>INDEX(Products!$J$2:$J$101,MATCH(B272,Products!$A$2:$A$101,0))</f>
        <v>Furniture</v>
      </c>
      <c r="H272" s="10">
        <f>INDEX(Products!$D$2:$D$101,MATCH(B272,Products!$A$2:$A$101,0))</f>
        <v>7</v>
      </c>
    </row>
    <row r="273" spans="1:8" ht="15" customHeight="1" x14ac:dyDescent="0.25">
      <c r="A273" s="10">
        <v>272</v>
      </c>
      <c r="B273" s="10">
        <v>85</v>
      </c>
      <c r="C273" s="10" t="s">
        <v>1184</v>
      </c>
      <c r="D273" s="10" t="s">
        <v>176</v>
      </c>
      <c r="E273" s="10">
        <v>-28</v>
      </c>
      <c r="F273" s="10" t="str">
        <f>INDEX(Products!$B$2:$B$101,MATCH(B273,Products!$A$2:$A$101,0))</f>
        <v>Windshield Wipers</v>
      </c>
      <c r="G273" s="10" t="str">
        <f>INDEX(Products!$J$2:$J$101,MATCH(B273,Products!$A$2:$A$101,0))</f>
        <v>Automotive Parts</v>
      </c>
      <c r="H273" s="10">
        <f>INDEX(Products!$D$2:$D$101,MATCH(B273,Products!$A$2:$A$101,0))</f>
        <v>2</v>
      </c>
    </row>
    <row r="274" spans="1:8" ht="15" customHeight="1" x14ac:dyDescent="0.25">
      <c r="A274" s="10">
        <v>273</v>
      </c>
      <c r="B274" s="10">
        <v>92</v>
      </c>
      <c r="C274" s="10" t="s">
        <v>1438</v>
      </c>
      <c r="D274" s="10" t="s">
        <v>173</v>
      </c>
      <c r="E274" s="10">
        <v>275</v>
      </c>
      <c r="F274" s="10" t="str">
        <f>INDEX(Products!$B$2:$B$101,MATCH(B274,Products!$A$2:$A$101,0))</f>
        <v>Olive Oil 1L</v>
      </c>
      <c r="G274" s="10" t="str">
        <f>INDEX(Products!$J$2:$J$101,MATCH(B274,Products!$A$2:$A$101,0))</f>
        <v>Groceries</v>
      </c>
      <c r="H274" s="10">
        <f>INDEX(Products!$D$2:$D$101,MATCH(B274,Products!$A$2:$A$101,0))</f>
        <v>10</v>
      </c>
    </row>
    <row r="275" spans="1:8" ht="15" customHeight="1" x14ac:dyDescent="0.25">
      <c r="A275" s="10">
        <v>274</v>
      </c>
      <c r="B275" s="10">
        <v>17</v>
      </c>
      <c r="C275" s="10" t="s">
        <v>975</v>
      </c>
      <c r="D275" s="10" t="s">
        <v>173</v>
      </c>
      <c r="E275" s="10">
        <v>146</v>
      </c>
      <c r="F275" s="10" t="str">
        <f>INDEX(Products!$B$2:$B$101,MATCH(B275,Products!$A$2:$A$101,0))</f>
        <v>Binder Clips</v>
      </c>
      <c r="G275" s="10" t="str">
        <f>INDEX(Products!$J$2:$J$101,MATCH(B275,Products!$A$2:$A$101,0))</f>
        <v>Office Supplies</v>
      </c>
      <c r="H275" s="10">
        <f>INDEX(Products!$D$2:$D$101,MATCH(B275,Products!$A$2:$A$101,0))</f>
        <v>11</v>
      </c>
    </row>
    <row r="276" spans="1:8" ht="15" customHeight="1" x14ac:dyDescent="0.25">
      <c r="A276" s="10">
        <v>275</v>
      </c>
      <c r="B276" s="10">
        <v>89</v>
      </c>
      <c r="C276" s="10" t="s">
        <v>761</v>
      </c>
      <c r="D276" s="10" t="s">
        <v>173</v>
      </c>
      <c r="E276" s="10">
        <v>159</v>
      </c>
      <c r="F276" s="10" t="str">
        <f>INDEX(Products!$B$2:$B$101,MATCH(B276,Products!$A$2:$A$101,0))</f>
        <v>Car Charger</v>
      </c>
      <c r="G276" s="10" t="str">
        <f>INDEX(Products!$J$2:$J$101,MATCH(B276,Products!$A$2:$A$101,0))</f>
        <v>Automotive Parts</v>
      </c>
      <c r="H276" s="10">
        <f>INDEX(Products!$D$2:$D$101,MATCH(B276,Products!$A$2:$A$101,0))</f>
        <v>7</v>
      </c>
    </row>
    <row r="277" spans="1:8" ht="15" customHeight="1" x14ac:dyDescent="0.25">
      <c r="A277" s="10">
        <v>276</v>
      </c>
      <c r="B277" s="10">
        <v>82</v>
      </c>
      <c r="C277" s="10" t="s">
        <v>1454</v>
      </c>
      <c r="D277" s="10" t="s">
        <v>176</v>
      </c>
      <c r="E277" s="10">
        <v>-38</v>
      </c>
      <c r="F277" s="10" t="str">
        <f>INDEX(Products!$B$2:$B$101,MATCH(B277,Products!$A$2:$A$101,0))</f>
        <v>Brake Pads</v>
      </c>
      <c r="G277" s="10" t="str">
        <f>INDEX(Products!$J$2:$J$101,MATCH(B277,Products!$A$2:$A$101,0))</f>
        <v>Automotive Parts</v>
      </c>
      <c r="H277" s="10">
        <f>INDEX(Products!$D$2:$D$101,MATCH(B277,Products!$A$2:$A$101,0))</f>
        <v>12</v>
      </c>
    </row>
    <row r="278" spans="1:8" ht="15" customHeight="1" x14ac:dyDescent="0.25">
      <c r="A278" s="10">
        <v>277</v>
      </c>
      <c r="B278" s="10">
        <v>25</v>
      </c>
      <c r="C278" s="10" t="s">
        <v>1415</v>
      </c>
      <c r="D278" s="10" t="s">
        <v>177</v>
      </c>
      <c r="E278" s="10">
        <v>-16</v>
      </c>
      <c r="F278" s="10" t="str">
        <f>INDEX(Products!$B$2:$B$101,MATCH(B278,Products!$A$2:$A$101,0))</f>
        <v>Conference Table</v>
      </c>
      <c r="G278" s="10" t="str">
        <f>INDEX(Products!$J$2:$J$101,MATCH(B278,Products!$A$2:$A$101,0))</f>
        <v>Furniture</v>
      </c>
      <c r="H278" s="10">
        <f>INDEX(Products!$D$2:$D$101,MATCH(B278,Products!$A$2:$A$101,0))</f>
        <v>6</v>
      </c>
    </row>
    <row r="279" spans="1:8" ht="15" customHeight="1" x14ac:dyDescent="0.25">
      <c r="A279" s="10">
        <v>278</v>
      </c>
      <c r="B279" s="10">
        <v>7</v>
      </c>
      <c r="C279" s="10" t="s">
        <v>927</v>
      </c>
      <c r="D279" s="10" t="s">
        <v>176</v>
      </c>
      <c r="E279" s="10">
        <v>-38</v>
      </c>
      <c r="F279" s="10" t="str">
        <f>INDEX(Products!$B$2:$B$101,MATCH(B279,Products!$A$2:$A$101,0))</f>
        <v>Smartwatch</v>
      </c>
      <c r="G279" s="10" t="str">
        <f>INDEX(Products!$J$2:$J$101,MATCH(B279,Products!$A$2:$A$101,0))</f>
        <v>Electronics</v>
      </c>
      <c r="H279" s="10">
        <f>INDEX(Products!$D$2:$D$101,MATCH(B279,Products!$A$2:$A$101,0))</f>
        <v>7</v>
      </c>
    </row>
    <row r="280" spans="1:8" ht="15" customHeight="1" x14ac:dyDescent="0.25">
      <c r="A280" s="10">
        <v>279</v>
      </c>
      <c r="B280" s="10">
        <v>63</v>
      </c>
      <c r="C280" s="10" t="s">
        <v>1126</v>
      </c>
      <c r="D280" s="10" t="s">
        <v>177</v>
      </c>
      <c r="E280" s="10">
        <v>-40</v>
      </c>
      <c r="F280" s="10" t="str">
        <f>INDEX(Products!$B$2:$B$101,MATCH(B280,Products!$A$2:$A$101,0))</f>
        <v>Puzzle 1000pc</v>
      </c>
      <c r="G280" s="10" t="str">
        <f>INDEX(Products!$J$2:$J$101,MATCH(B280,Products!$A$2:$A$101,0))</f>
        <v>Toys &amp; Games</v>
      </c>
      <c r="H280" s="10">
        <f>INDEX(Products!$D$2:$D$101,MATCH(B280,Products!$A$2:$A$101,0))</f>
        <v>2</v>
      </c>
    </row>
    <row r="281" spans="1:8" ht="15" customHeight="1" x14ac:dyDescent="0.25">
      <c r="A281" s="10">
        <v>280</v>
      </c>
      <c r="B281" s="10">
        <v>9</v>
      </c>
      <c r="C281" s="10" t="s">
        <v>1206</v>
      </c>
      <c r="D281" s="10" t="s">
        <v>176</v>
      </c>
      <c r="E281" s="10">
        <v>-33</v>
      </c>
      <c r="F281" s="10" t="str">
        <f>INDEX(Products!$B$2:$B$101,MATCH(B281,Products!$A$2:$A$101,0))</f>
        <v>Webcam HD</v>
      </c>
      <c r="G281" s="10" t="str">
        <f>INDEX(Products!$J$2:$J$101,MATCH(B281,Products!$A$2:$A$101,0))</f>
        <v>Electronics</v>
      </c>
      <c r="H281" s="10">
        <f>INDEX(Products!$D$2:$D$101,MATCH(B281,Products!$A$2:$A$101,0))</f>
        <v>1</v>
      </c>
    </row>
    <row r="282" spans="1:8" ht="15" customHeight="1" x14ac:dyDescent="0.25">
      <c r="A282" s="10">
        <v>281</v>
      </c>
      <c r="B282" s="10">
        <v>48</v>
      </c>
      <c r="C282" s="10" t="s">
        <v>865</v>
      </c>
      <c r="D282" s="10" t="s">
        <v>174</v>
      </c>
      <c r="E282" s="10">
        <v>-21</v>
      </c>
      <c r="F282" s="10" t="str">
        <f>INDEX(Products!$B$2:$B$101,MATCH(B282,Products!$A$2:$A$101,0))</f>
        <v>Dish Rack</v>
      </c>
      <c r="G282" s="10" t="str">
        <f>INDEX(Products!$J$2:$J$101,MATCH(B282,Products!$A$2:$A$101,0))</f>
        <v>Home &amp; Kitchen</v>
      </c>
      <c r="H282" s="10">
        <f>INDEX(Products!$D$2:$D$101,MATCH(B282,Products!$A$2:$A$101,0))</f>
        <v>4</v>
      </c>
    </row>
    <row r="283" spans="1:8" ht="15" customHeight="1" x14ac:dyDescent="0.25">
      <c r="A283" s="10">
        <v>282</v>
      </c>
      <c r="B283" s="10">
        <v>92</v>
      </c>
      <c r="C283" s="10" t="s">
        <v>1351</v>
      </c>
      <c r="D283" s="10" t="s">
        <v>177</v>
      </c>
      <c r="E283" s="10">
        <v>-32</v>
      </c>
      <c r="F283" s="10" t="str">
        <f>INDEX(Products!$B$2:$B$101,MATCH(B283,Products!$A$2:$A$101,0))</f>
        <v>Olive Oil 1L</v>
      </c>
      <c r="G283" s="10" t="str">
        <f>INDEX(Products!$J$2:$J$101,MATCH(B283,Products!$A$2:$A$101,0))</f>
        <v>Groceries</v>
      </c>
      <c r="H283" s="10">
        <f>INDEX(Products!$D$2:$D$101,MATCH(B283,Products!$A$2:$A$101,0))</f>
        <v>10</v>
      </c>
    </row>
    <row r="284" spans="1:8" ht="15" customHeight="1" x14ac:dyDescent="0.25">
      <c r="A284" s="10">
        <v>283</v>
      </c>
      <c r="B284" s="10">
        <v>61</v>
      </c>
      <c r="C284" s="10" t="s">
        <v>1455</v>
      </c>
      <c r="D284" s="10" t="s">
        <v>176</v>
      </c>
      <c r="E284" s="10">
        <v>-38</v>
      </c>
      <c r="F284" s="10" t="str">
        <f>INDEX(Products!$B$2:$B$101,MATCH(B284,Products!$A$2:$A$101,0))</f>
        <v>Building Blocks Set</v>
      </c>
      <c r="G284" s="10" t="str">
        <f>INDEX(Products!$J$2:$J$101,MATCH(B284,Products!$A$2:$A$101,0))</f>
        <v>Toys &amp; Games</v>
      </c>
      <c r="H284" s="10">
        <f>INDEX(Products!$D$2:$D$101,MATCH(B284,Products!$A$2:$A$101,0))</f>
        <v>6</v>
      </c>
    </row>
    <row r="285" spans="1:8" ht="15" customHeight="1" x14ac:dyDescent="0.25">
      <c r="A285" s="10">
        <v>284</v>
      </c>
      <c r="B285" s="10">
        <v>84</v>
      </c>
      <c r="C285" s="10" t="s">
        <v>1456</v>
      </c>
      <c r="D285" s="10" t="s">
        <v>173</v>
      </c>
      <c r="E285" s="10">
        <v>279</v>
      </c>
      <c r="F285" s="10" t="str">
        <f>INDEX(Products!$B$2:$B$101,MATCH(B285,Products!$A$2:$A$101,0))</f>
        <v>Motor Oil (Qt)</v>
      </c>
      <c r="G285" s="10" t="str">
        <f>INDEX(Products!$J$2:$J$101,MATCH(B285,Products!$A$2:$A$101,0))</f>
        <v>Automotive Parts</v>
      </c>
      <c r="H285" s="10">
        <f>INDEX(Products!$D$2:$D$101,MATCH(B285,Products!$A$2:$A$101,0))</f>
        <v>4</v>
      </c>
    </row>
    <row r="286" spans="1:8" ht="15" customHeight="1" x14ac:dyDescent="0.25">
      <c r="A286" s="10">
        <v>285</v>
      </c>
      <c r="B286" s="10">
        <v>26</v>
      </c>
      <c r="C286" s="10" t="s">
        <v>781</v>
      </c>
      <c r="D286" s="10" t="s">
        <v>177</v>
      </c>
      <c r="E286" s="10">
        <v>-14</v>
      </c>
      <c r="F286" s="10" t="str">
        <f>INDEX(Products!$B$2:$B$101,MATCH(B286,Products!$A$2:$A$101,0))</f>
        <v>Sofa</v>
      </c>
      <c r="G286" s="10" t="str">
        <f>INDEX(Products!$J$2:$J$101,MATCH(B286,Products!$A$2:$A$101,0))</f>
        <v>Furniture</v>
      </c>
      <c r="H286" s="10">
        <f>INDEX(Products!$D$2:$D$101,MATCH(B286,Products!$A$2:$A$101,0))</f>
        <v>5</v>
      </c>
    </row>
    <row r="287" spans="1:8" ht="15" customHeight="1" x14ac:dyDescent="0.25">
      <c r="A287" s="10">
        <v>286</v>
      </c>
      <c r="B287" s="10">
        <v>40</v>
      </c>
      <c r="C287" s="10" t="s">
        <v>1362</v>
      </c>
      <c r="D287" s="10" t="s">
        <v>176</v>
      </c>
      <c r="E287" s="10">
        <v>-11</v>
      </c>
      <c r="F287" s="10" t="str">
        <f>INDEX(Products!$B$2:$B$101,MATCH(B287,Products!$A$2:$A$101,0))</f>
        <v>Dress Shirt</v>
      </c>
      <c r="G287" s="10" t="str">
        <f>INDEX(Products!$J$2:$J$101,MATCH(B287,Products!$A$2:$A$101,0))</f>
        <v>Apparel</v>
      </c>
      <c r="H287" s="10">
        <f>INDEX(Products!$D$2:$D$101,MATCH(B287,Products!$A$2:$A$101,0))</f>
        <v>10</v>
      </c>
    </row>
    <row r="288" spans="1:8" ht="15" customHeight="1" x14ac:dyDescent="0.25">
      <c r="A288" s="10">
        <v>287</v>
      </c>
      <c r="B288" s="10">
        <v>48</v>
      </c>
      <c r="C288" s="10" t="s">
        <v>1091</v>
      </c>
      <c r="D288" s="10" t="s">
        <v>174</v>
      </c>
      <c r="E288" s="10">
        <v>-6</v>
      </c>
      <c r="F288" s="10" t="str">
        <f>INDEX(Products!$B$2:$B$101,MATCH(B288,Products!$A$2:$A$101,0))</f>
        <v>Dish Rack</v>
      </c>
      <c r="G288" s="10" t="str">
        <f>INDEX(Products!$J$2:$J$101,MATCH(B288,Products!$A$2:$A$101,0))</f>
        <v>Home &amp; Kitchen</v>
      </c>
      <c r="H288" s="10">
        <f>INDEX(Products!$D$2:$D$101,MATCH(B288,Products!$A$2:$A$101,0))</f>
        <v>4</v>
      </c>
    </row>
    <row r="289" spans="1:8" ht="15" customHeight="1" x14ac:dyDescent="0.25">
      <c r="A289" s="10">
        <v>288</v>
      </c>
      <c r="B289" s="10">
        <v>38</v>
      </c>
      <c r="C289" s="10" t="s">
        <v>1076</v>
      </c>
      <c r="D289" s="10" t="s">
        <v>174</v>
      </c>
      <c r="E289" s="10">
        <v>-38</v>
      </c>
      <c r="F289" s="10" t="str">
        <f>INDEX(Products!$B$2:$B$101,MATCH(B289,Products!$A$2:$A$101,0))</f>
        <v>Leather Belt</v>
      </c>
      <c r="G289" s="10" t="str">
        <f>INDEX(Products!$J$2:$J$101,MATCH(B289,Products!$A$2:$A$101,0))</f>
        <v>Apparel</v>
      </c>
      <c r="H289" s="10">
        <f>INDEX(Products!$D$2:$D$101,MATCH(B289,Products!$A$2:$A$101,0))</f>
        <v>1</v>
      </c>
    </row>
    <row r="290" spans="1:8" ht="15" customHeight="1" x14ac:dyDescent="0.25">
      <c r="A290" s="10">
        <v>289</v>
      </c>
      <c r="B290" s="10">
        <v>6</v>
      </c>
      <c r="C290" s="10" t="s">
        <v>1257</v>
      </c>
      <c r="D290" s="10" t="s">
        <v>177</v>
      </c>
      <c r="E290" s="10">
        <v>-28</v>
      </c>
      <c r="F290" s="10" t="str">
        <f>INDEX(Products!$B$2:$B$101,MATCH(B290,Products!$A$2:$A$101,0))</f>
        <v>Noise-Cancelling Headphones</v>
      </c>
      <c r="G290" s="10" t="str">
        <f>INDEX(Products!$J$2:$J$101,MATCH(B290,Products!$A$2:$A$101,0))</f>
        <v>Electronics</v>
      </c>
      <c r="H290" s="10">
        <f>INDEX(Products!$D$2:$D$101,MATCH(B290,Products!$A$2:$A$101,0))</f>
        <v>2</v>
      </c>
    </row>
    <row r="291" spans="1:8" ht="15" customHeight="1" x14ac:dyDescent="0.25">
      <c r="A291" s="10">
        <v>290</v>
      </c>
      <c r="B291" s="10">
        <v>58</v>
      </c>
      <c r="C291" s="10" t="s">
        <v>1457</v>
      </c>
      <c r="D291" s="10" t="s">
        <v>173</v>
      </c>
      <c r="E291" s="10">
        <v>144</v>
      </c>
      <c r="F291" s="10" t="str">
        <f>INDEX(Products!$B$2:$B$101,MATCH(B291,Products!$A$2:$A$101,0))</f>
        <v>Water Bottle</v>
      </c>
      <c r="G291" s="10" t="str">
        <f>INDEX(Products!$J$2:$J$101,MATCH(B291,Products!$A$2:$A$101,0))</f>
        <v>Sporting Goods</v>
      </c>
      <c r="H291" s="10">
        <f>INDEX(Products!$D$2:$D$101,MATCH(B291,Products!$A$2:$A$101,0))</f>
        <v>7</v>
      </c>
    </row>
    <row r="292" spans="1:8" ht="15" customHeight="1" x14ac:dyDescent="0.25">
      <c r="A292" s="10">
        <v>291</v>
      </c>
      <c r="B292" s="10">
        <v>64</v>
      </c>
      <c r="C292" s="10" t="s">
        <v>1373</v>
      </c>
      <c r="D292" s="10" t="s">
        <v>173</v>
      </c>
      <c r="E292" s="10">
        <v>56</v>
      </c>
      <c r="F292" s="10" t="str">
        <f>INDEX(Products!$B$2:$B$101,MATCH(B292,Products!$A$2:$A$101,0))</f>
        <v>Remote Control Car</v>
      </c>
      <c r="G292" s="10" t="str">
        <f>INDEX(Products!$J$2:$J$101,MATCH(B292,Products!$A$2:$A$101,0))</f>
        <v>Toys &amp; Games</v>
      </c>
      <c r="H292" s="10">
        <f>INDEX(Products!$D$2:$D$101,MATCH(B292,Products!$A$2:$A$101,0))</f>
        <v>5</v>
      </c>
    </row>
    <row r="293" spans="1:8" ht="15" customHeight="1" x14ac:dyDescent="0.25">
      <c r="A293" s="10">
        <v>292</v>
      </c>
      <c r="B293" s="10">
        <v>23</v>
      </c>
      <c r="C293" s="10" t="s">
        <v>1075</v>
      </c>
      <c r="D293" s="10" t="s">
        <v>173</v>
      </c>
      <c r="E293" s="10">
        <v>215</v>
      </c>
      <c r="F293" s="10" t="str">
        <f>INDEX(Products!$B$2:$B$101,MATCH(B293,Products!$A$2:$A$101,0))</f>
        <v>Bookshelf</v>
      </c>
      <c r="G293" s="10" t="str">
        <f>INDEX(Products!$J$2:$J$101,MATCH(B293,Products!$A$2:$A$101,0))</f>
        <v>Furniture</v>
      </c>
      <c r="H293" s="10">
        <f>INDEX(Products!$D$2:$D$101,MATCH(B293,Products!$A$2:$A$101,0))</f>
        <v>5</v>
      </c>
    </row>
    <row r="294" spans="1:8" ht="15" customHeight="1" x14ac:dyDescent="0.25">
      <c r="A294" s="10">
        <v>293</v>
      </c>
      <c r="B294" s="10">
        <v>10</v>
      </c>
      <c r="C294" s="10" t="s">
        <v>1458</v>
      </c>
      <c r="D294" s="10" t="s">
        <v>177</v>
      </c>
      <c r="E294" s="10">
        <v>-33</v>
      </c>
      <c r="F294" s="10" t="str">
        <f>INDEX(Products!$B$2:$B$101,MATCH(B294,Products!$A$2:$A$101,0))</f>
        <v>Laptop Stand</v>
      </c>
      <c r="G294" s="10" t="str">
        <f>INDEX(Products!$J$2:$J$101,MATCH(B294,Products!$A$2:$A$101,0))</f>
        <v>Electronics</v>
      </c>
      <c r="H294" s="10">
        <f>INDEX(Products!$D$2:$D$101,MATCH(B294,Products!$A$2:$A$101,0))</f>
        <v>2</v>
      </c>
    </row>
    <row r="295" spans="1:8" ht="15" customHeight="1" x14ac:dyDescent="0.25">
      <c r="A295" s="10">
        <v>294</v>
      </c>
      <c r="B295" s="10">
        <v>66</v>
      </c>
      <c r="C295" s="10" t="s">
        <v>936</v>
      </c>
      <c r="D295" s="10" t="s">
        <v>174</v>
      </c>
      <c r="E295" s="10">
        <v>-7</v>
      </c>
      <c r="F295" s="10" t="str">
        <f>INDEX(Products!$B$2:$B$101,MATCH(B295,Products!$A$2:$A$101,0))</f>
        <v>Card Game Deck</v>
      </c>
      <c r="G295" s="10" t="str">
        <f>INDEX(Products!$J$2:$J$101,MATCH(B295,Products!$A$2:$A$101,0))</f>
        <v>Toys &amp; Games</v>
      </c>
      <c r="H295" s="10">
        <f>INDEX(Products!$D$2:$D$101,MATCH(B295,Products!$A$2:$A$101,0))</f>
        <v>12</v>
      </c>
    </row>
    <row r="296" spans="1:8" ht="15" customHeight="1" x14ac:dyDescent="0.25">
      <c r="A296" s="10">
        <v>295</v>
      </c>
      <c r="B296" s="10">
        <v>16</v>
      </c>
      <c r="C296" s="10" t="s">
        <v>1459</v>
      </c>
      <c r="D296" s="10" t="s">
        <v>173</v>
      </c>
      <c r="E296" s="10">
        <v>189</v>
      </c>
      <c r="F296" s="10" t="str">
        <f>INDEX(Products!$B$2:$B$101,MATCH(B296,Products!$A$2:$A$101,0))</f>
        <v>Whiteboard</v>
      </c>
      <c r="G296" s="10" t="str">
        <f>INDEX(Products!$J$2:$J$101,MATCH(B296,Products!$A$2:$A$101,0))</f>
        <v>Office Supplies</v>
      </c>
      <c r="H296" s="10">
        <f>INDEX(Products!$D$2:$D$101,MATCH(B296,Products!$A$2:$A$101,0))</f>
        <v>10</v>
      </c>
    </row>
    <row r="297" spans="1:8" ht="15" customHeight="1" x14ac:dyDescent="0.25">
      <c r="A297" s="10">
        <v>296</v>
      </c>
      <c r="B297" s="10">
        <v>26</v>
      </c>
      <c r="C297" s="10" t="s">
        <v>1128</v>
      </c>
      <c r="D297" s="10" t="s">
        <v>173</v>
      </c>
      <c r="E297" s="10">
        <v>134</v>
      </c>
      <c r="F297" s="10" t="str">
        <f>INDEX(Products!$B$2:$B$101,MATCH(B297,Products!$A$2:$A$101,0))</f>
        <v>Sofa</v>
      </c>
      <c r="G297" s="10" t="str">
        <f>INDEX(Products!$J$2:$J$101,MATCH(B297,Products!$A$2:$A$101,0))</f>
        <v>Furniture</v>
      </c>
      <c r="H297" s="10">
        <f>INDEX(Products!$D$2:$D$101,MATCH(B297,Products!$A$2:$A$101,0))</f>
        <v>5</v>
      </c>
    </row>
    <row r="298" spans="1:8" ht="15" customHeight="1" x14ac:dyDescent="0.25">
      <c r="A298" s="10">
        <v>297</v>
      </c>
      <c r="B298" s="10">
        <v>33</v>
      </c>
      <c r="C298" s="10" t="s">
        <v>983</v>
      </c>
      <c r="D298" s="10" t="s">
        <v>176</v>
      </c>
      <c r="E298" s="10">
        <v>-18</v>
      </c>
      <c r="F298" s="10" t="str">
        <f>INDEX(Products!$B$2:$B$101,MATCH(B298,Products!$A$2:$A$101,0))</f>
        <v>Running Shoes</v>
      </c>
      <c r="G298" s="10" t="str">
        <f>INDEX(Products!$J$2:$J$101,MATCH(B298,Products!$A$2:$A$101,0))</f>
        <v>Apparel</v>
      </c>
      <c r="H298" s="10">
        <f>INDEX(Products!$D$2:$D$101,MATCH(B298,Products!$A$2:$A$101,0))</f>
        <v>5</v>
      </c>
    </row>
    <row r="299" spans="1:8" ht="15" customHeight="1" x14ac:dyDescent="0.25">
      <c r="A299" s="10">
        <v>298</v>
      </c>
      <c r="B299" s="10">
        <v>25</v>
      </c>
      <c r="C299" s="10" t="s">
        <v>1460</v>
      </c>
      <c r="D299" s="10" t="s">
        <v>176</v>
      </c>
      <c r="E299" s="10">
        <v>-35</v>
      </c>
      <c r="F299" s="10" t="str">
        <f>INDEX(Products!$B$2:$B$101,MATCH(B299,Products!$A$2:$A$101,0))</f>
        <v>Conference Table</v>
      </c>
      <c r="G299" s="10" t="str">
        <f>INDEX(Products!$J$2:$J$101,MATCH(B299,Products!$A$2:$A$101,0))</f>
        <v>Furniture</v>
      </c>
      <c r="H299" s="10">
        <f>INDEX(Products!$D$2:$D$101,MATCH(B299,Products!$A$2:$A$101,0))</f>
        <v>6</v>
      </c>
    </row>
    <row r="300" spans="1:8" ht="15" customHeight="1" x14ac:dyDescent="0.25">
      <c r="A300" s="10">
        <v>299</v>
      </c>
      <c r="B300" s="10">
        <v>34</v>
      </c>
      <c r="C300" s="10" t="s">
        <v>1436</v>
      </c>
      <c r="D300" s="10" t="s">
        <v>177</v>
      </c>
      <c r="E300" s="10">
        <v>-23</v>
      </c>
      <c r="F300" s="10" t="str">
        <f>INDEX(Products!$B$2:$B$101,MATCH(B300,Products!$A$2:$A$101,0))</f>
        <v>Wool Sweater</v>
      </c>
      <c r="G300" s="10" t="str">
        <f>INDEX(Products!$J$2:$J$101,MATCH(B300,Products!$A$2:$A$101,0))</f>
        <v>Apparel</v>
      </c>
      <c r="H300" s="10">
        <f>INDEX(Products!$D$2:$D$101,MATCH(B300,Products!$A$2:$A$101,0))</f>
        <v>2</v>
      </c>
    </row>
    <row r="301" spans="1:8" ht="15" customHeight="1" x14ac:dyDescent="0.25">
      <c r="A301" s="10">
        <v>300</v>
      </c>
      <c r="B301" s="10">
        <v>52</v>
      </c>
      <c r="C301" s="10" t="s">
        <v>1141</v>
      </c>
      <c r="D301" s="10" t="s">
        <v>176</v>
      </c>
      <c r="E301" s="10">
        <v>-1</v>
      </c>
      <c r="F301" s="10" t="str">
        <f>INDEX(Products!$B$2:$B$101,MATCH(B301,Products!$A$2:$A$101,0))</f>
        <v>Dumbbell Set</v>
      </c>
      <c r="G301" s="10" t="str">
        <f>INDEX(Products!$J$2:$J$101,MATCH(B301,Products!$A$2:$A$101,0))</f>
        <v>Sporting Goods</v>
      </c>
      <c r="H301" s="10">
        <f>INDEX(Products!$D$2:$D$101,MATCH(B301,Products!$A$2:$A$101,0))</f>
        <v>1</v>
      </c>
    </row>
    <row r="302" spans="1:8" ht="15" customHeight="1" x14ac:dyDescent="0.25">
      <c r="A302" s="10">
        <v>301</v>
      </c>
      <c r="B302" s="10">
        <v>61</v>
      </c>
      <c r="C302" s="10" t="s">
        <v>1461</v>
      </c>
      <c r="D302" s="10" t="s">
        <v>174</v>
      </c>
      <c r="E302" s="10">
        <v>-26</v>
      </c>
      <c r="F302" s="10" t="str">
        <f>INDEX(Products!$B$2:$B$101,MATCH(B302,Products!$A$2:$A$101,0))</f>
        <v>Building Blocks Set</v>
      </c>
      <c r="G302" s="10" t="str">
        <f>INDEX(Products!$J$2:$J$101,MATCH(B302,Products!$A$2:$A$101,0))</f>
        <v>Toys &amp; Games</v>
      </c>
      <c r="H302" s="10">
        <f>INDEX(Products!$D$2:$D$101,MATCH(B302,Products!$A$2:$A$101,0))</f>
        <v>6</v>
      </c>
    </row>
    <row r="303" spans="1:8" ht="15" customHeight="1" x14ac:dyDescent="0.25">
      <c r="A303" s="10">
        <v>302</v>
      </c>
      <c r="B303" s="10">
        <v>30</v>
      </c>
      <c r="C303" s="10" t="s">
        <v>1399</v>
      </c>
      <c r="D303" s="10" t="s">
        <v>174</v>
      </c>
      <c r="E303" s="10">
        <v>-31</v>
      </c>
      <c r="F303" s="10" t="str">
        <f>INDEX(Products!$B$2:$B$101,MATCH(B303,Products!$A$2:$A$101,0))</f>
        <v>Bar Stool</v>
      </c>
      <c r="G303" s="10" t="str">
        <f>INDEX(Products!$J$2:$J$101,MATCH(B303,Products!$A$2:$A$101,0))</f>
        <v>Furniture</v>
      </c>
      <c r="H303" s="10">
        <f>INDEX(Products!$D$2:$D$101,MATCH(B303,Products!$A$2:$A$101,0))</f>
        <v>7</v>
      </c>
    </row>
    <row r="304" spans="1:8" ht="15" customHeight="1" x14ac:dyDescent="0.25">
      <c r="A304" s="10">
        <v>303</v>
      </c>
      <c r="B304" s="10">
        <v>30</v>
      </c>
      <c r="C304" s="10" t="s">
        <v>901</v>
      </c>
      <c r="D304" s="10" t="s">
        <v>176</v>
      </c>
      <c r="E304" s="10">
        <v>-30</v>
      </c>
      <c r="F304" s="10" t="str">
        <f>INDEX(Products!$B$2:$B$101,MATCH(B304,Products!$A$2:$A$101,0))</f>
        <v>Bar Stool</v>
      </c>
      <c r="G304" s="10" t="str">
        <f>INDEX(Products!$J$2:$J$101,MATCH(B304,Products!$A$2:$A$101,0))</f>
        <v>Furniture</v>
      </c>
      <c r="H304" s="10">
        <f>INDEX(Products!$D$2:$D$101,MATCH(B304,Products!$A$2:$A$101,0))</f>
        <v>7</v>
      </c>
    </row>
    <row r="305" spans="1:8" ht="15" customHeight="1" x14ac:dyDescent="0.25">
      <c r="A305" s="10">
        <v>304</v>
      </c>
      <c r="B305" s="10">
        <v>93</v>
      </c>
      <c r="C305" s="10" t="s">
        <v>1462</v>
      </c>
      <c r="D305" s="10" t="s">
        <v>173</v>
      </c>
      <c r="E305" s="10">
        <v>71</v>
      </c>
      <c r="F305" s="10" t="str">
        <f>INDEX(Products!$B$2:$B$101,MATCH(B305,Products!$A$2:$A$101,0))</f>
        <v>Pasta Pack</v>
      </c>
      <c r="G305" s="10" t="str">
        <f>INDEX(Products!$J$2:$J$101,MATCH(B305,Products!$A$2:$A$101,0))</f>
        <v>Groceries</v>
      </c>
      <c r="H305" s="10">
        <f>INDEX(Products!$D$2:$D$101,MATCH(B305,Products!$A$2:$A$101,0))</f>
        <v>12</v>
      </c>
    </row>
    <row r="306" spans="1:8" ht="15" customHeight="1" x14ac:dyDescent="0.25">
      <c r="A306" s="10">
        <v>305</v>
      </c>
      <c r="B306" s="10">
        <v>41</v>
      </c>
      <c r="C306" s="10" t="s">
        <v>974</v>
      </c>
      <c r="D306" s="10" t="s">
        <v>173</v>
      </c>
      <c r="E306" s="10">
        <v>291</v>
      </c>
      <c r="F306" s="10" t="str">
        <f>INDEX(Products!$B$2:$B$101,MATCH(B306,Products!$A$2:$A$101,0))</f>
        <v>Blender</v>
      </c>
      <c r="G306" s="10" t="str">
        <f>INDEX(Products!$J$2:$J$101,MATCH(B306,Products!$A$2:$A$101,0))</f>
        <v>Home &amp; Kitchen</v>
      </c>
      <c r="H306" s="10">
        <f>INDEX(Products!$D$2:$D$101,MATCH(B306,Products!$A$2:$A$101,0))</f>
        <v>7</v>
      </c>
    </row>
    <row r="307" spans="1:8" ht="15" customHeight="1" x14ac:dyDescent="0.25">
      <c r="A307" s="10">
        <v>306</v>
      </c>
      <c r="B307" s="10">
        <v>90</v>
      </c>
      <c r="C307" s="10" t="s">
        <v>773</v>
      </c>
      <c r="D307" s="10" t="s">
        <v>173</v>
      </c>
      <c r="E307" s="10">
        <v>165</v>
      </c>
      <c r="F307" s="10" t="str">
        <f>INDEX(Products!$B$2:$B$101,MATCH(B307,Products!$A$2:$A$101,0))</f>
        <v>Roof Rack</v>
      </c>
      <c r="G307" s="10" t="str">
        <f>INDEX(Products!$J$2:$J$101,MATCH(B307,Products!$A$2:$A$101,0))</f>
        <v>Automotive Parts</v>
      </c>
      <c r="H307" s="10">
        <f>INDEX(Products!$D$2:$D$101,MATCH(B307,Products!$A$2:$A$101,0))</f>
        <v>8</v>
      </c>
    </row>
    <row r="308" spans="1:8" ht="15" customHeight="1" x14ac:dyDescent="0.25">
      <c r="A308" s="10">
        <v>307</v>
      </c>
      <c r="B308" s="10">
        <v>72</v>
      </c>
      <c r="C308" s="10" t="s">
        <v>1463</v>
      </c>
      <c r="D308" s="10" t="s">
        <v>173</v>
      </c>
      <c r="E308" s="10">
        <v>197</v>
      </c>
      <c r="F308" s="10" t="str">
        <f>INDEX(Products!$B$2:$B$101,MATCH(B308,Products!$A$2:$A$101,0))</f>
        <v>Hair Dryer</v>
      </c>
      <c r="G308" s="10" t="str">
        <f>INDEX(Products!$J$2:$J$101,MATCH(B308,Products!$A$2:$A$101,0))</f>
        <v>Health &amp; Beauty</v>
      </c>
      <c r="H308" s="10">
        <f>INDEX(Products!$D$2:$D$101,MATCH(B308,Products!$A$2:$A$101,0))</f>
        <v>8</v>
      </c>
    </row>
    <row r="309" spans="1:8" ht="15" customHeight="1" x14ac:dyDescent="0.25">
      <c r="A309" s="10">
        <v>308</v>
      </c>
      <c r="B309" s="10">
        <v>17</v>
      </c>
      <c r="C309" s="10" t="s">
        <v>1464</v>
      </c>
      <c r="D309" s="10" t="s">
        <v>174</v>
      </c>
      <c r="E309" s="10">
        <v>-32</v>
      </c>
      <c r="F309" s="10" t="str">
        <f>INDEX(Products!$B$2:$B$101,MATCH(B309,Products!$A$2:$A$101,0))</f>
        <v>Binder Clips</v>
      </c>
      <c r="G309" s="10" t="str">
        <f>INDEX(Products!$J$2:$J$101,MATCH(B309,Products!$A$2:$A$101,0))</f>
        <v>Office Supplies</v>
      </c>
      <c r="H309" s="10">
        <f>INDEX(Products!$D$2:$D$101,MATCH(B309,Products!$A$2:$A$101,0))</f>
        <v>11</v>
      </c>
    </row>
    <row r="310" spans="1:8" ht="15" customHeight="1" x14ac:dyDescent="0.25">
      <c r="A310" s="10">
        <v>309</v>
      </c>
      <c r="B310" s="10">
        <v>85</v>
      </c>
      <c r="C310" s="10" t="s">
        <v>1465</v>
      </c>
      <c r="D310" s="10" t="s">
        <v>173</v>
      </c>
      <c r="E310" s="10">
        <v>157</v>
      </c>
      <c r="F310" s="10" t="str">
        <f>INDEX(Products!$B$2:$B$101,MATCH(B310,Products!$A$2:$A$101,0))</f>
        <v>Windshield Wipers</v>
      </c>
      <c r="G310" s="10" t="str">
        <f>INDEX(Products!$J$2:$J$101,MATCH(B310,Products!$A$2:$A$101,0))</f>
        <v>Automotive Parts</v>
      </c>
      <c r="H310" s="10">
        <f>INDEX(Products!$D$2:$D$101,MATCH(B310,Products!$A$2:$A$101,0))</f>
        <v>2</v>
      </c>
    </row>
    <row r="311" spans="1:8" ht="15" customHeight="1" x14ac:dyDescent="0.25">
      <c r="A311" s="10">
        <v>310</v>
      </c>
      <c r="B311" s="10">
        <v>55</v>
      </c>
      <c r="C311" s="10" t="s">
        <v>1466</v>
      </c>
      <c r="D311" s="10" t="s">
        <v>176</v>
      </c>
      <c r="E311" s="10">
        <v>-35</v>
      </c>
      <c r="F311" s="10" t="str">
        <f>INDEX(Products!$B$2:$B$101,MATCH(B311,Products!$A$2:$A$101,0))</f>
        <v>Camping Tent</v>
      </c>
      <c r="G311" s="10" t="str">
        <f>INDEX(Products!$J$2:$J$101,MATCH(B311,Products!$A$2:$A$101,0))</f>
        <v>Sporting Goods</v>
      </c>
      <c r="H311" s="10">
        <f>INDEX(Products!$D$2:$D$101,MATCH(B311,Products!$A$2:$A$101,0))</f>
        <v>9</v>
      </c>
    </row>
    <row r="312" spans="1:8" ht="15" customHeight="1" x14ac:dyDescent="0.25">
      <c r="A312" s="10">
        <v>311</v>
      </c>
      <c r="B312" s="10">
        <v>39</v>
      </c>
      <c r="C312" s="10" t="s">
        <v>784</v>
      </c>
      <c r="D312" s="10" t="s">
        <v>176</v>
      </c>
      <c r="E312" s="10">
        <v>-3</v>
      </c>
      <c r="F312" s="10" t="str">
        <f>INDEX(Products!$B$2:$B$101,MATCH(B312,Products!$A$2:$A$101,0))</f>
        <v>Winter Gloves</v>
      </c>
      <c r="G312" s="10" t="str">
        <f>INDEX(Products!$J$2:$J$101,MATCH(B312,Products!$A$2:$A$101,0))</f>
        <v>Apparel</v>
      </c>
      <c r="H312" s="10">
        <f>INDEX(Products!$D$2:$D$101,MATCH(B312,Products!$A$2:$A$101,0))</f>
        <v>8</v>
      </c>
    </row>
    <row r="313" spans="1:8" ht="15" customHeight="1" x14ac:dyDescent="0.25">
      <c r="A313" s="10">
        <v>312</v>
      </c>
      <c r="B313" s="10">
        <v>18</v>
      </c>
      <c r="C313" s="10" t="s">
        <v>1467</v>
      </c>
      <c r="D313" s="10" t="s">
        <v>177</v>
      </c>
      <c r="E313" s="10">
        <v>-37</v>
      </c>
      <c r="F313" s="10" t="str">
        <f>INDEX(Products!$B$2:$B$101,MATCH(B313,Products!$A$2:$A$101,0))</f>
        <v>Filing Cabinet</v>
      </c>
      <c r="G313" s="10" t="str">
        <f>INDEX(Products!$J$2:$J$101,MATCH(B313,Products!$A$2:$A$101,0))</f>
        <v>Office Supplies</v>
      </c>
      <c r="H313" s="10">
        <f>INDEX(Products!$D$2:$D$101,MATCH(B313,Products!$A$2:$A$101,0))</f>
        <v>9</v>
      </c>
    </row>
    <row r="314" spans="1:8" ht="15" customHeight="1" x14ac:dyDescent="0.25">
      <c r="A314" s="10">
        <v>313</v>
      </c>
      <c r="B314" s="10">
        <v>81</v>
      </c>
      <c r="C314" s="10" t="s">
        <v>1468</v>
      </c>
      <c r="D314" s="10" t="s">
        <v>174</v>
      </c>
      <c r="E314" s="10">
        <v>-26</v>
      </c>
      <c r="F314" s="10" t="str">
        <f>INDEX(Products!$B$2:$B$101,MATCH(B314,Products!$A$2:$A$101,0))</f>
        <v>Car Battery</v>
      </c>
      <c r="G314" s="10" t="str">
        <f>INDEX(Products!$J$2:$J$101,MATCH(B314,Products!$A$2:$A$101,0))</f>
        <v>Automotive Parts</v>
      </c>
      <c r="H314" s="10">
        <f>INDEX(Products!$D$2:$D$101,MATCH(B314,Products!$A$2:$A$101,0))</f>
        <v>5</v>
      </c>
    </row>
    <row r="315" spans="1:8" ht="15" customHeight="1" x14ac:dyDescent="0.25">
      <c r="A315" s="10">
        <v>314</v>
      </c>
      <c r="B315" s="10">
        <v>9</v>
      </c>
      <c r="C315" s="10" t="s">
        <v>894</v>
      </c>
      <c r="D315" s="10" t="s">
        <v>173</v>
      </c>
      <c r="E315" s="10">
        <v>171</v>
      </c>
      <c r="F315" s="10" t="str">
        <f>INDEX(Products!$B$2:$B$101,MATCH(B315,Products!$A$2:$A$101,0))</f>
        <v>Webcam HD</v>
      </c>
      <c r="G315" s="10" t="str">
        <f>INDEX(Products!$J$2:$J$101,MATCH(B315,Products!$A$2:$A$101,0))</f>
        <v>Electronics</v>
      </c>
      <c r="H315" s="10">
        <f>INDEX(Products!$D$2:$D$101,MATCH(B315,Products!$A$2:$A$101,0))</f>
        <v>1</v>
      </c>
    </row>
    <row r="316" spans="1:8" ht="15" customHeight="1" x14ac:dyDescent="0.25">
      <c r="A316" s="10">
        <v>315</v>
      </c>
      <c r="B316" s="10">
        <v>14</v>
      </c>
      <c r="C316" s="10" t="s">
        <v>884</v>
      </c>
      <c r="D316" s="10" t="s">
        <v>177</v>
      </c>
      <c r="E316" s="10">
        <v>-20</v>
      </c>
      <c r="F316" s="10" t="str">
        <f>INDEX(Products!$B$2:$B$101,MATCH(B316,Products!$A$2:$A$101,0))</f>
        <v>Sticky Notes</v>
      </c>
      <c r="G316" s="10" t="str">
        <f>INDEX(Products!$J$2:$J$101,MATCH(B316,Products!$A$2:$A$101,0))</f>
        <v>Office Supplies</v>
      </c>
      <c r="H316" s="10">
        <f>INDEX(Products!$D$2:$D$101,MATCH(B316,Products!$A$2:$A$101,0))</f>
        <v>3</v>
      </c>
    </row>
    <row r="317" spans="1:8" ht="15" customHeight="1" x14ac:dyDescent="0.25">
      <c r="A317" s="10">
        <v>316</v>
      </c>
      <c r="B317" s="10">
        <v>12</v>
      </c>
      <c r="C317" s="10" t="s">
        <v>1388</v>
      </c>
      <c r="D317" s="10" t="s">
        <v>173</v>
      </c>
      <c r="E317" s="10">
        <v>191</v>
      </c>
      <c r="F317" s="10" t="str">
        <f>INDEX(Products!$B$2:$B$101,MATCH(B317,Products!$A$2:$A$101,0))</f>
        <v>Printer Paper (Ream)</v>
      </c>
      <c r="G317" s="10" t="str">
        <f>INDEX(Products!$J$2:$J$101,MATCH(B317,Products!$A$2:$A$101,0))</f>
        <v>Office Supplies</v>
      </c>
      <c r="H317" s="10">
        <f>INDEX(Products!$D$2:$D$101,MATCH(B317,Products!$A$2:$A$101,0))</f>
        <v>2</v>
      </c>
    </row>
    <row r="318" spans="1:8" ht="15" customHeight="1" x14ac:dyDescent="0.25">
      <c r="A318" s="10">
        <v>317</v>
      </c>
      <c r="B318" s="10">
        <v>23</v>
      </c>
      <c r="C318" s="10" t="s">
        <v>1092</v>
      </c>
      <c r="D318" s="10" t="s">
        <v>176</v>
      </c>
      <c r="E318" s="10">
        <v>-32</v>
      </c>
      <c r="F318" s="10" t="str">
        <f>INDEX(Products!$B$2:$B$101,MATCH(B318,Products!$A$2:$A$101,0))</f>
        <v>Bookshelf</v>
      </c>
      <c r="G318" s="10" t="str">
        <f>INDEX(Products!$J$2:$J$101,MATCH(B318,Products!$A$2:$A$101,0))</f>
        <v>Furniture</v>
      </c>
      <c r="H318" s="10">
        <f>INDEX(Products!$D$2:$D$101,MATCH(B318,Products!$A$2:$A$101,0))</f>
        <v>5</v>
      </c>
    </row>
    <row r="319" spans="1:8" ht="15" customHeight="1" x14ac:dyDescent="0.25">
      <c r="A319" s="10">
        <v>318</v>
      </c>
      <c r="B319" s="10">
        <v>4</v>
      </c>
      <c r="C319" s="10" t="s">
        <v>1469</v>
      </c>
      <c r="D319" s="10" t="s">
        <v>173</v>
      </c>
      <c r="E319" s="10">
        <v>283</v>
      </c>
      <c r="F319" s="10" t="str">
        <f>INDEX(Products!$B$2:$B$101,MATCH(B319,Products!$A$2:$A$101,0))</f>
        <v>4K Monitor</v>
      </c>
      <c r="G319" s="10" t="str">
        <f>INDEX(Products!$J$2:$J$101,MATCH(B319,Products!$A$2:$A$101,0))</f>
        <v>Electronics</v>
      </c>
      <c r="H319" s="10">
        <f>INDEX(Products!$D$2:$D$101,MATCH(B319,Products!$A$2:$A$101,0))</f>
        <v>11</v>
      </c>
    </row>
    <row r="320" spans="1:8" ht="15" customHeight="1" x14ac:dyDescent="0.25">
      <c r="A320" s="10">
        <v>319</v>
      </c>
      <c r="B320" s="10">
        <v>50</v>
      </c>
      <c r="C320" s="10" t="s">
        <v>1470</v>
      </c>
      <c r="D320" s="10" t="s">
        <v>173</v>
      </c>
      <c r="E320" s="10">
        <v>124</v>
      </c>
      <c r="F320" s="10" t="str">
        <f>INDEX(Products!$B$2:$B$101,MATCH(B320,Products!$A$2:$A$101,0))</f>
        <v>Electric Kettle</v>
      </c>
      <c r="G320" s="10" t="str">
        <f>INDEX(Products!$J$2:$J$101,MATCH(B320,Products!$A$2:$A$101,0))</f>
        <v>Home &amp; Kitchen</v>
      </c>
      <c r="H320" s="10">
        <f>INDEX(Products!$D$2:$D$101,MATCH(B320,Products!$A$2:$A$101,0))</f>
        <v>10</v>
      </c>
    </row>
    <row r="321" spans="1:8" ht="15" customHeight="1" x14ac:dyDescent="0.25">
      <c r="A321" s="10">
        <v>320</v>
      </c>
      <c r="B321" s="10">
        <v>85</v>
      </c>
      <c r="C321" s="10" t="s">
        <v>876</v>
      </c>
      <c r="D321" s="10" t="s">
        <v>173</v>
      </c>
      <c r="E321" s="10">
        <v>64</v>
      </c>
      <c r="F321" s="10" t="str">
        <f>INDEX(Products!$B$2:$B$101,MATCH(B321,Products!$A$2:$A$101,0))</f>
        <v>Windshield Wipers</v>
      </c>
      <c r="G321" s="10" t="str">
        <f>INDEX(Products!$J$2:$J$101,MATCH(B321,Products!$A$2:$A$101,0))</f>
        <v>Automotive Parts</v>
      </c>
      <c r="H321" s="10">
        <f>INDEX(Products!$D$2:$D$101,MATCH(B321,Products!$A$2:$A$101,0))</f>
        <v>2</v>
      </c>
    </row>
    <row r="322" spans="1:8" ht="15" customHeight="1" x14ac:dyDescent="0.25">
      <c r="A322" s="10">
        <v>321</v>
      </c>
      <c r="B322" s="10">
        <v>48</v>
      </c>
      <c r="C322" s="10" t="s">
        <v>1281</v>
      </c>
      <c r="D322" s="10" t="s">
        <v>173</v>
      </c>
      <c r="E322" s="10">
        <v>133</v>
      </c>
      <c r="F322" s="10" t="str">
        <f>INDEX(Products!$B$2:$B$101,MATCH(B322,Products!$A$2:$A$101,0))</f>
        <v>Dish Rack</v>
      </c>
      <c r="G322" s="10" t="str">
        <f>INDEX(Products!$J$2:$J$101,MATCH(B322,Products!$A$2:$A$101,0))</f>
        <v>Home &amp; Kitchen</v>
      </c>
      <c r="H322" s="10">
        <f>INDEX(Products!$D$2:$D$101,MATCH(B322,Products!$A$2:$A$101,0))</f>
        <v>4</v>
      </c>
    </row>
    <row r="323" spans="1:8" ht="15" customHeight="1" x14ac:dyDescent="0.25">
      <c r="A323" s="10">
        <v>322</v>
      </c>
      <c r="B323" s="10">
        <v>53</v>
      </c>
      <c r="C323" s="10" t="s">
        <v>1468</v>
      </c>
      <c r="D323" s="10" t="s">
        <v>173</v>
      </c>
      <c r="E323" s="10">
        <v>78</v>
      </c>
      <c r="F323" s="10" t="str">
        <f>INDEX(Products!$B$2:$B$101,MATCH(B323,Products!$A$2:$A$101,0))</f>
        <v>Soccer Ball</v>
      </c>
      <c r="G323" s="10" t="str">
        <f>INDEX(Products!$J$2:$J$101,MATCH(B323,Products!$A$2:$A$101,0))</f>
        <v>Sporting Goods</v>
      </c>
      <c r="H323" s="10">
        <f>INDEX(Products!$D$2:$D$101,MATCH(B323,Products!$A$2:$A$101,0))</f>
        <v>4</v>
      </c>
    </row>
    <row r="324" spans="1:8" ht="15" customHeight="1" x14ac:dyDescent="0.25">
      <c r="A324" s="10">
        <v>323</v>
      </c>
      <c r="B324" s="10">
        <v>17</v>
      </c>
      <c r="C324" s="10" t="s">
        <v>1201</v>
      </c>
      <c r="D324" s="10" t="s">
        <v>174</v>
      </c>
      <c r="E324" s="10">
        <v>-25</v>
      </c>
      <c r="F324" s="10" t="str">
        <f>INDEX(Products!$B$2:$B$101,MATCH(B324,Products!$A$2:$A$101,0))</f>
        <v>Binder Clips</v>
      </c>
      <c r="G324" s="10" t="str">
        <f>INDEX(Products!$J$2:$J$101,MATCH(B324,Products!$A$2:$A$101,0))</f>
        <v>Office Supplies</v>
      </c>
      <c r="H324" s="10">
        <f>INDEX(Products!$D$2:$D$101,MATCH(B324,Products!$A$2:$A$101,0))</f>
        <v>11</v>
      </c>
    </row>
    <row r="325" spans="1:8" ht="15" customHeight="1" x14ac:dyDescent="0.25">
      <c r="A325" s="10">
        <v>324</v>
      </c>
      <c r="B325" s="10">
        <v>27</v>
      </c>
      <c r="C325" s="10" t="s">
        <v>1014</v>
      </c>
      <c r="D325" s="10" t="s">
        <v>177</v>
      </c>
      <c r="E325" s="10">
        <v>-28</v>
      </c>
      <c r="F325" s="10" t="str">
        <f>INDEX(Products!$B$2:$B$101,MATCH(B325,Products!$A$2:$A$101,0))</f>
        <v>Coffee Table</v>
      </c>
      <c r="G325" s="10" t="str">
        <f>INDEX(Products!$J$2:$J$101,MATCH(B325,Products!$A$2:$A$101,0))</f>
        <v>Furniture</v>
      </c>
      <c r="H325" s="10">
        <f>INDEX(Products!$D$2:$D$101,MATCH(B325,Products!$A$2:$A$101,0))</f>
        <v>7</v>
      </c>
    </row>
    <row r="326" spans="1:8" ht="15" customHeight="1" x14ac:dyDescent="0.25">
      <c r="A326" s="10">
        <v>325</v>
      </c>
      <c r="B326" s="10">
        <v>91</v>
      </c>
      <c r="C326" s="10" t="s">
        <v>1471</v>
      </c>
      <c r="D326" s="10" t="s">
        <v>173</v>
      </c>
      <c r="E326" s="10">
        <v>197</v>
      </c>
      <c r="F326" s="10" t="str">
        <f>INDEX(Products!$B$2:$B$101,MATCH(B326,Products!$A$2:$A$101,0))</f>
        <v>Organic Coffee Beans</v>
      </c>
      <c r="G326" s="10" t="str">
        <f>INDEX(Products!$J$2:$J$101,MATCH(B326,Products!$A$2:$A$101,0))</f>
        <v>Groceries</v>
      </c>
      <c r="H326" s="10">
        <f>INDEX(Products!$D$2:$D$101,MATCH(B326,Products!$A$2:$A$101,0))</f>
        <v>12</v>
      </c>
    </row>
    <row r="327" spans="1:8" ht="15" customHeight="1" x14ac:dyDescent="0.25">
      <c r="A327" s="10">
        <v>326</v>
      </c>
      <c r="B327" s="10">
        <v>40</v>
      </c>
      <c r="C327" s="10" t="s">
        <v>1472</v>
      </c>
      <c r="D327" s="10" t="s">
        <v>176</v>
      </c>
      <c r="E327" s="10">
        <v>-30</v>
      </c>
      <c r="F327" s="10" t="str">
        <f>INDEX(Products!$B$2:$B$101,MATCH(B327,Products!$A$2:$A$101,0))</f>
        <v>Dress Shirt</v>
      </c>
      <c r="G327" s="10" t="str">
        <f>INDEX(Products!$J$2:$J$101,MATCH(B327,Products!$A$2:$A$101,0))</f>
        <v>Apparel</v>
      </c>
      <c r="H327" s="10">
        <f>INDEX(Products!$D$2:$D$101,MATCH(B327,Products!$A$2:$A$101,0))</f>
        <v>10</v>
      </c>
    </row>
    <row r="328" spans="1:8" ht="15" customHeight="1" x14ac:dyDescent="0.25">
      <c r="A328" s="10">
        <v>327</v>
      </c>
      <c r="B328" s="10">
        <v>36</v>
      </c>
      <c r="C328" s="10" t="s">
        <v>1402</v>
      </c>
      <c r="D328" s="10" t="s">
        <v>173</v>
      </c>
      <c r="E328" s="10">
        <v>86</v>
      </c>
      <c r="F328" s="10" t="str">
        <f>INDEX(Products!$B$2:$B$101,MATCH(B328,Products!$A$2:$A$101,0))</f>
        <v>Rain Jacket</v>
      </c>
      <c r="G328" s="10" t="str">
        <f>INDEX(Products!$J$2:$J$101,MATCH(B328,Products!$A$2:$A$101,0))</f>
        <v>Apparel</v>
      </c>
      <c r="H328" s="10">
        <f>INDEX(Products!$D$2:$D$101,MATCH(B328,Products!$A$2:$A$101,0))</f>
        <v>12</v>
      </c>
    </row>
    <row r="329" spans="1:8" ht="15" customHeight="1" x14ac:dyDescent="0.25">
      <c r="A329" s="10">
        <v>328</v>
      </c>
      <c r="B329" s="10">
        <v>58</v>
      </c>
      <c r="C329" s="10" t="s">
        <v>1345</v>
      </c>
      <c r="D329" s="10" t="s">
        <v>176</v>
      </c>
      <c r="E329" s="10">
        <v>-16</v>
      </c>
      <c r="F329" s="10" t="str">
        <f>INDEX(Products!$B$2:$B$101,MATCH(B329,Products!$A$2:$A$101,0))</f>
        <v>Water Bottle</v>
      </c>
      <c r="G329" s="10" t="str">
        <f>INDEX(Products!$J$2:$J$101,MATCH(B329,Products!$A$2:$A$101,0))</f>
        <v>Sporting Goods</v>
      </c>
      <c r="H329" s="10">
        <f>INDEX(Products!$D$2:$D$101,MATCH(B329,Products!$A$2:$A$101,0))</f>
        <v>7</v>
      </c>
    </row>
    <row r="330" spans="1:8" ht="15" customHeight="1" x14ac:dyDescent="0.25">
      <c r="A330" s="10">
        <v>329</v>
      </c>
      <c r="B330" s="10">
        <v>68</v>
      </c>
      <c r="C330" s="10" t="s">
        <v>884</v>
      </c>
      <c r="D330" s="10" t="s">
        <v>177</v>
      </c>
      <c r="E330" s="10">
        <v>-30</v>
      </c>
      <c r="F330" s="10" t="str">
        <f>INDEX(Products!$B$2:$B$101,MATCH(B330,Products!$A$2:$A$101,0))</f>
        <v>Art Supply Kit</v>
      </c>
      <c r="G330" s="10" t="str">
        <f>INDEX(Products!$J$2:$J$101,MATCH(B330,Products!$A$2:$A$101,0))</f>
        <v>Toys &amp; Games</v>
      </c>
      <c r="H330" s="10">
        <f>INDEX(Products!$D$2:$D$101,MATCH(B330,Products!$A$2:$A$101,0))</f>
        <v>9</v>
      </c>
    </row>
    <row r="331" spans="1:8" ht="15" customHeight="1" x14ac:dyDescent="0.25">
      <c r="A331" s="10">
        <v>330</v>
      </c>
      <c r="B331" s="10">
        <v>60</v>
      </c>
      <c r="C331" s="10" t="s">
        <v>867</v>
      </c>
      <c r="D331" s="10" t="s">
        <v>177</v>
      </c>
      <c r="E331" s="10">
        <v>-30</v>
      </c>
      <c r="F331" s="10" t="str">
        <f>INDEX(Products!$B$2:$B$101,MATCH(B331,Products!$A$2:$A$101,0))</f>
        <v>Jump Rope</v>
      </c>
      <c r="G331" s="10" t="str">
        <f>INDEX(Products!$J$2:$J$101,MATCH(B331,Products!$A$2:$A$101,0))</f>
        <v>Sporting Goods</v>
      </c>
      <c r="H331" s="10">
        <f>INDEX(Products!$D$2:$D$101,MATCH(B331,Products!$A$2:$A$101,0))</f>
        <v>1</v>
      </c>
    </row>
    <row r="332" spans="1:8" ht="15" customHeight="1" x14ac:dyDescent="0.25">
      <c r="A332" s="10">
        <v>331</v>
      </c>
      <c r="B332" s="10">
        <v>45</v>
      </c>
      <c r="C332" s="10" t="s">
        <v>242</v>
      </c>
      <c r="D332" s="10" t="s">
        <v>173</v>
      </c>
      <c r="E332" s="10">
        <v>260</v>
      </c>
      <c r="F332" s="10" t="str">
        <f>INDEX(Products!$B$2:$B$101,MATCH(B332,Products!$A$2:$A$101,0))</f>
        <v>Toaster</v>
      </c>
      <c r="G332" s="10" t="str">
        <f>INDEX(Products!$J$2:$J$101,MATCH(B332,Products!$A$2:$A$101,0))</f>
        <v>Home &amp; Kitchen</v>
      </c>
      <c r="H332" s="10">
        <f>INDEX(Products!$D$2:$D$101,MATCH(B332,Products!$A$2:$A$101,0))</f>
        <v>2</v>
      </c>
    </row>
    <row r="333" spans="1:8" ht="15" customHeight="1" x14ac:dyDescent="0.25">
      <c r="A333" s="10">
        <v>332</v>
      </c>
      <c r="B333" s="10">
        <v>23</v>
      </c>
      <c r="C333" s="10" t="s">
        <v>1112</v>
      </c>
      <c r="D333" s="10" t="s">
        <v>173</v>
      </c>
      <c r="E333" s="10">
        <v>280</v>
      </c>
      <c r="F333" s="10" t="str">
        <f>INDEX(Products!$B$2:$B$101,MATCH(B333,Products!$A$2:$A$101,0))</f>
        <v>Bookshelf</v>
      </c>
      <c r="G333" s="10" t="str">
        <f>INDEX(Products!$J$2:$J$101,MATCH(B333,Products!$A$2:$A$101,0))</f>
        <v>Furniture</v>
      </c>
      <c r="H333" s="10">
        <f>INDEX(Products!$D$2:$D$101,MATCH(B333,Products!$A$2:$A$101,0))</f>
        <v>5</v>
      </c>
    </row>
    <row r="334" spans="1:8" ht="15" customHeight="1" x14ac:dyDescent="0.25">
      <c r="A334" s="10">
        <v>333</v>
      </c>
      <c r="B334" s="10">
        <v>80</v>
      </c>
      <c r="C334" s="10" t="s">
        <v>1393</v>
      </c>
      <c r="D334" s="10" t="s">
        <v>176</v>
      </c>
      <c r="E334" s="10">
        <v>-12</v>
      </c>
      <c r="F334" s="10" t="str">
        <f>INDEX(Products!$B$2:$B$101,MATCH(B334,Products!$A$2:$A$101,0))</f>
        <v>Body Lotion</v>
      </c>
      <c r="G334" s="10" t="str">
        <f>INDEX(Products!$J$2:$J$101,MATCH(B334,Products!$A$2:$A$101,0))</f>
        <v>Health &amp; Beauty</v>
      </c>
      <c r="H334" s="10">
        <f>INDEX(Products!$D$2:$D$101,MATCH(B334,Products!$A$2:$A$101,0))</f>
        <v>8</v>
      </c>
    </row>
    <row r="335" spans="1:8" ht="15" customHeight="1" x14ac:dyDescent="0.25">
      <c r="A335" s="10">
        <v>334</v>
      </c>
      <c r="B335" s="10">
        <v>90</v>
      </c>
      <c r="C335" s="10" t="s">
        <v>1473</v>
      </c>
      <c r="D335" s="10" t="s">
        <v>173</v>
      </c>
      <c r="E335" s="10">
        <v>292</v>
      </c>
      <c r="F335" s="10" t="str">
        <f>INDEX(Products!$B$2:$B$101,MATCH(B335,Products!$A$2:$A$101,0))</f>
        <v>Roof Rack</v>
      </c>
      <c r="G335" s="10" t="str">
        <f>INDEX(Products!$J$2:$J$101,MATCH(B335,Products!$A$2:$A$101,0))</f>
        <v>Automotive Parts</v>
      </c>
      <c r="H335" s="10">
        <f>INDEX(Products!$D$2:$D$101,MATCH(B335,Products!$A$2:$A$101,0))</f>
        <v>8</v>
      </c>
    </row>
    <row r="336" spans="1:8" ht="15" customHeight="1" x14ac:dyDescent="0.25">
      <c r="A336" s="10">
        <v>335</v>
      </c>
      <c r="B336" s="10">
        <v>6</v>
      </c>
      <c r="C336" s="10" t="s">
        <v>906</v>
      </c>
      <c r="D336" s="10" t="s">
        <v>174</v>
      </c>
      <c r="E336" s="10">
        <v>-18</v>
      </c>
      <c r="F336" s="10" t="str">
        <f>INDEX(Products!$B$2:$B$101,MATCH(B336,Products!$A$2:$A$101,0))</f>
        <v>Noise-Cancelling Headphones</v>
      </c>
      <c r="G336" s="10" t="str">
        <f>INDEX(Products!$J$2:$J$101,MATCH(B336,Products!$A$2:$A$101,0))</f>
        <v>Electronics</v>
      </c>
      <c r="H336" s="10">
        <f>INDEX(Products!$D$2:$D$101,MATCH(B336,Products!$A$2:$A$101,0))</f>
        <v>2</v>
      </c>
    </row>
    <row r="337" spans="1:8" ht="15" customHeight="1" x14ac:dyDescent="0.25">
      <c r="A337" s="10">
        <v>336</v>
      </c>
      <c r="B337" s="10">
        <v>81</v>
      </c>
      <c r="C337" s="10" t="s">
        <v>1474</v>
      </c>
      <c r="D337" s="10" t="s">
        <v>174</v>
      </c>
      <c r="E337" s="10">
        <v>-14</v>
      </c>
      <c r="F337" s="10" t="str">
        <f>INDEX(Products!$B$2:$B$101,MATCH(B337,Products!$A$2:$A$101,0))</f>
        <v>Car Battery</v>
      </c>
      <c r="G337" s="10" t="str">
        <f>INDEX(Products!$J$2:$J$101,MATCH(B337,Products!$A$2:$A$101,0))</f>
        <v>Automotive Parts</v>
      </c>
      <c r="H337" s="10">
        <f>INDEX(Products!$D$2:$D$101,MATCH(B337,Products!$A$2:$A$101,0))</f>
        <v>5</v>
      </c>
    </row>
    <row r="338" spans="1:8" ht="15" customHeight="1" x14ac:dyDescent="0.25">
      <c r="A338" s="10">
        <v>337</v>
      </c>
      <c r="B338" s="10">
        <v>64</v>
      </c>
      <c r="C338" s="10" t="s">
        <v>1111</v>
      </c>
      <c r="D338" s="10" t="s">
        <v>176</v>
      </c>
      <c r="E338" s="10">
        <v>-8</v>
      </c>
      <c r="F338" s="10" t="str">
        <f>INDEX(Products!$B$2:$B$101,MATCH(B338,Products!$A$2:$A$101,0))</f>
        <v>Remote Control Car</v>
      </c>
      <c r="G338" s="10" t="str">
        <f>INDEX(Products!$J$2:$J$101,MATCH(B338,Products!$A$2:$A$101,0))</f>
        <v>Toys &amp; Games</v>
      </c>
      <c r="H338" s="10">
        <f>INDEX(Products!$D$2:$D$101,MATCH(B338,Products!$A$2:$A$101,0))</f>
        <v>5</v>
      </c>
    </row>
    <row r="339" spans="1:8" ht="15" customHeight="1" x14ac:dyDescent="0.25">
      <c r="A339" s="10">
        <v>338</v>
      </c>
      <c r="B339" s="10">
        <v>48</v>
      </c>
      <c r="C339" s="10" t="s">
        <v>1385</v>
      </c>
      <c r="D339" s="10" t="s">
        <v>176</v>
      </c>
      <c r="E339" s="10">
        <v>-21</v>
      </c>
      <c r="F339" s="10" t="str">
        <f>INDEX(Products!$B$2:$B$101,MATCH(B339,Products!$A$2:$A$101,0))</f>
        <v>Dish Rack</v>
      </c>
      <c r="G339" s="10" t="str">
        <f>INDEX(Products!$J$2:$J$101,MATCH(B339,Products!$A$2:$A$101,0))</f>
        <v>Home &amp; Kitchen</v>
      </c>
      <c r="H339" s="10">
        <f>INDEX(Products!$D$2:$D$101,MATCH(B339,Products!$A$2:$A$101,0))</f>
        <v>4</v>
      </c>
    </row>
    <row r="340" spans="1:8" ht="15" customHeight="1" x14ac:dyDescent="0.25">
      <c r="A340" s="10">
        <v>339</v>
      </c>
      <c r="B340" s="10">
        <v>53</v>
      </c>
      <c r="C340" s="10" t="s">
        <v>1475</v>
      </c>
      <c r="D340" s="10" t="s">
        <v>173</v>
      </c>
      <c r="E340" s="10">
        <v>103</v>
      </c>
      <c r="F340" s="10" t="str">
        <f>INDEX(Products!$B$2:$B$101,MATCH(B340,Products!$A$2:$A$101,0))</f>
        <v>Soccer Ball</v>
      </c>
      <c r="G340" s="10" t="str">
        <f>INDEX(Products!$J$2:$J$101,MATCH(B340,Products!$A$2:$A$101,0))</f>
        <v>Sporting Goods</v>
      </c>
      <c r="H340" s="10">
        <f>INDEX(Products!$D$2:$D$101,MATCH(B340,Products!$A$2:$A$101,0))</f>
        <v>4</v>
      </c>
    </row>
    <row r="341" spans="1:8" ht="15" customHeight="1" x14ac:dyDescent="0.25">
      <c r="A341" s="10">
        <v>340</v>
      </c>
      <c r="B341" s="10">
        <v>65</v>
      </c>
      <c r="C341" s="10" t="s">
        <v>1476</v>
      </c>
      <c r="D341" s="10" t="s">
        <v>174</v>
      </c>
      <c r="E341" s="10">
        <v>-30</v>
      </c>
      <c r="F341" s="10" t="str">
        <f>INDEX(Products!$B$2:$B$101,MATCH(B341,Products!$A$2:$A$101,0))</f>
        <v>Action Figure</v>
      </c>
      <c r="G341" s="10" t="str">
        <f>INDEX(Products!$J$2:$J$101,MATCH(B341,Products!$A$2:$A$101,0))</f>
        <v>Toys &amp; Games</v>
      </c>
      <c r="H341" s="10">
        <f>INDEX(Products!$D$2:$D$101,MATCH(B341,Products!$A$2:$A$101,0))</f>
        <v>2</v>
      </c>
    </row>
    <row r="342" spans="1:8" ht="15" customHeight="1" x14ac:dyDescent="0.25">
      <c r="A342" s="10">
        <v>341</v>
      </c>
      <c r="B342" s="10">
        <v>49</v>
      </c>
      <c r="C342" s="10" t="s">
        <v>1217</v>
      </c>
      <c r="D342" s="10" t="s">
        <v>174</v>
      </c>
      <c r="E342" s="10">
        <v>-26</v>
      </c>
      <c r="F342" s="10" t="str">
        <f>INDEX(Products!$B$2:$B$101,MATCH(B342,Products!$A$2:$A$101,0))</f>
        <v>Storage Containers</v>
      </c>
      <c r="G342" s="10" t="str">
        <f>INDEX(Products!$J$2:$J$101,MATCH(B342,Products!$A$2:$A$101,0))</f>
        <v>Home &amp; Kitchen</v>
      </c>
      <c r="H342" s="10">
        <f>INDEX(Products!$D$2:$D$101,MATCH(B342,Products!$A$2:$A$101,0))</f>
        <v>3</v>
      </c>
    </row>
    <row r="343" spans="1:8" ht="15" customHeight="1" x14ac:dyDescent="0.25">
      <c r="A343" s="10">
        <v>342</v>
      </c>
      <c r="B343" s="10">
        <v>5</v>
      </c>
      <c r="C343" s="10" t="s">
        <v>982</v>
      </c>
      <c r="D343" s="10" t="s">
        <v>173</v>
      </c>
      <c r="E343" s="10">
        <v>231</v>
      </c>
      <c r="F343" s="10" t="str">
        <f>INDEX(Products!$B$2:$B$101,MATCH(B343,Products!$A$2:$A$101,0))</f>
        <v>Mechanical Keyboard</v>
      </c>
      <c r="G343" s="10" t="str">
        <f>INDEX(Products!$J$2:$J$101,MATCH(B343,Products!$A$2:$A$101,0))</f>
        <v>Electronics</v>
      </c>
      <c r="H343" s="10">
        <f>INDEX(Products!$D$2:$D$101,MATCH(B343,Products!$A$2:$A$101,0))</f>
        <v>10</v>
      </c>
    </row>
    <row r="344" spans="1:8" ht="15" customHeight="1" x14ac:dyDescent="0.25">
      <c r="A344" s="10">
        <v>343</v>
      </c>
      <c r="B344" s="10">
        <v>18</v>
      </c>
      <c r="C344" s="10" t="s">
        <v>1181</v>
      </c>
      <c r="D344" s="10" t="s">
        <v>177</v>
      </c>
      <c r="E344" s="10">
        <v>-32</v>
      </c>
      <c r="F344" s="10" t="str">
        <f>INDEX(Products!$B$2:$B$101,MATCH(B344,Products!$A$2:$A$101,0))</f>
        <v>Filing Cabinet</v>
      </c>
      <c r="G344" s="10" t="str">
        <f>INDEX(Products!$J$2:$J$101,MATCH(B344,Products!$A$2:$A$101,0))</f>
        <v>Office Supplies</v>
      </c>
      <c r="H344" s="10">
        <f>INDEX(Products!$D$2:$D$101,MATCH(B344,Products!$A$2:$A$101,0))</f>
        <v>9</v>
      </c>
    </row>
    <row r="345" spans="1:8" ht="15" customHeight="1" x14ac:dyDescent="0.25">
      <c r="A345" s="10">
        <v>344</v>
      </c>
      <c r="B345" s="10">
        <v>60</v>
      </c>
      <c r="C345" s="10" t="s">
        <v>1477</v>
      </c>
      <c r="D345" s="10" t="s">
        <v>173</v>
      </c>
      <c r="E345" s="10">
        <v>218</v>
      </c>
      <c r="F345" s="10" t="str">
        <f>INDEX(Products!$B$2:$B$101,MATCH(B345,Products!$A$2:$A$101,0))</f>
        <v>Jump Rope</v>
      </c>
      <c r="G345" s="10" t="str">
        <f>INDEX(Products!$J$2:$J$101,MATCH(B345,Products!$A$2:$A$101,0))</f>
        <v>Sporting Goods</v>
      </c>
      <c r="H345" s="10">
        <f>INDEX(Products!$D$2:$D$101,MATCH(B345,Products!$A$2:$A$101,0))</f>
        <v>1</v>
      </c>
    </row>
    <row r="346" spans="1:8" ht="15" customHeight="1" x14ac:dyDescent="0.25">
      <c r="A346" s="10">
        <v>345</v>
      </c>
      <c r="B346" s="10">
        <v>32</v>
      </c>
      <c r="C346" s="10" t="s">
        <v>565</v>
      </c>
      <c r="D346" s="10" t="s">
        <v>173</v>
      </c>
      <c r="E346" s="10">
        <v>260</v>
      </c>
      <c r="F346" s="10" t="str">
        <f>INDEX(Products!$B$2:$B$101,MATCH(B346,Products!$A$2:$A$101,0))</f>
        <v>Denim Jacket</v>
      </c>
      <c r="G346" s="10" t="str">
        <f>INDEX(Products!$J$2:$J$101,MATCH(B346,Products!$A$2:$A$101,0))</f>
        <v>Apparel</v>
      </c>
      <c r="H346" s="10">
        <f>INDEX(Products!$D$2:$D$101,MATCH(B346,Products!$A$2:$A$101,0))</f>
        <v>9</v>
      </c>
    </row>
    <row r="347" spans="1:8" ht="15" customHeight="1" x14ac:dyDescent="0.25">
      <c r="A347" s="10">
        <v>346</v>
      </c>
      <c r="B347" s="10">
        <v>36</v>
      </c>
      <c r="C347" s="10" t="s">
        <v>949</v>
      </c>
      <c r="D347" s="10" t="s">
        <v>173</v>
      </c>
      <c r="E347" s="10">
        <v>54</v>
      </c>
      <c r="F347" s="10" t="str">
        <f>INDEX(Products!$B$2:$B$101,MATCH(B347,Products!$A$2:$A$101,0))</f>
        <v>Rain Jacket</v>
      </c>
      <c r="G347" s="10" t="str">
        <f>INDEX(Products!$J$2:$J$101,MATCH(B347,Products!$A$2:$A$101,0))</f>
        <v>Apparel</v>
      </c>
      <c r="H347" s="10">
        <f>INDEX(Products!$D$2:$D$101,MATCH(B347,Products!$A$2:$A$101,0))</f>
        <v>12</v>
      </c>
    </row>
    <row r="348" spans="1:8" ht="15" customHeight="1" x14ac:dyDescent="0.25">
      <c r="A348" s="10">
        <v>347</v>
      </c>
      <c r="B348" s="10">
        <v>78</v>
      </c>
      <c r="C348" s="10" t="s">
        <v>1050</v>
      </c>
      <c r="D348" s="10" t="s">
        <v>173</v>
      </c>
      <c r="E348" s="10">
        <v>81</v>
      </c>
      <c r="F348" s="10" t="str">
        <f>INDEX(Products!$B$2:$B$101,MATCH(B348,Products!$A$2:$A$101,0))</f>
        <v>Makeup Kit</v>
      </c>
      <c r="G348" s="10" t="str">
        <f>INDEX(Products!$J$2:$J$101,MATCH(B348,Products!$A$2:$A$101,0))</f>
        <v>Health &amp; Beauty</v>
      </c>
      <c r="H348" s="10">
        <f>INDEX(Products!$D$2:$D$101,MATCH(B348,Products!$A$2:$A$101,0))</f>
        <v>5</v>
      </c>
    </row>
    <row r="349" spans="1:8" ht="15" customHeight="1" x14ac:dyDescent="0.25">
      <c r="A349" s="10">
        <v>348</v>
      </c>
      <c r="B349" s="10">
        <v>69</v>
      </c>
      <c r="C349" s="10" t="s">
        <v>1468</v>
      </c>
      <c r="D349" s="10" t="s">
        <v>173</v>
      </c>
      <c r="E349" s="10">
        <v>221</v>
      </c>
      <c r="F349" s="10" t="str">
        <f>INDEX(Products!$B$2:$B$101,MATCH(B349,Products!$A$2:$A$101,0))</f>
        <v>Toy Drone</v>
      </c>
      <c r="G349" s="10" t="str">
        <f>INDEX(Products!$J$2:$J$101,MATCH(B349,Products!$A$2:$A$101,0))</f>
        <v>Toys &amp; Games</v>
      </c>
      <c r="H349" s="10">
        <f>INDEX(Products!$D$2:$D$101,MATCH(B349,Products!$A$2:$A$101,0))</f>
        <v>7</v>
      </c>
    </row>
    <row r="350" spans="1:8" ht="15" customHeight="1" x14ac:dyDescent="0.25">
      <c r="A350" s="10">
        <v>349</v>
      </c>
      <c r="B350" s="10">
        <v>98</v>
      </c>
      <c r="C350" s="10" t="s">
        <v>1478</v>
      </c>
      <c r="D350" s="10" t="s">
        <v>174</v>
      </c>
      <c r="E350" s="10">
        <v>-29</v>
      </c>
      <c r="F350" s="10" t="str">
        <f>INDEX(Products!$B$2:$B$101,MATCH(B350,Products!$A$2:$A$101,0))</f>
        <v>Dark Chocolate Bar</v>
      </c>
      <c r="G350" s="10" t="str">
        <f>INDEX(Products!$J$2:$J$101,MATCH(B350,Products!$A$2:$A$101,0))</f>
        <v>Groceries</v>
      </c>
      <c r="H350" s="10">
        <f>INDEX(Products!$D$2:$D$101,MATCH(B350,Products!$A$2:$A$101,0))</f>
        <v>4</v>
      </c>
    </row>
    <row r="351" spans="1:8" ht="15" customHeight="1" x14ac:dyDescent="0.25">
      <c r="A351" s="10">
        <v>350</v>
      </c>
      <c r="B351" s="10">
        <v>46</v>
      </c>
      <c r="C351" s="10" t="s">
        <v>1479</v>
      </c>
      <c r="D351" s="10" t="s">
        <v>173</v>
      </c>
      <c r="E351" s="10">
        <v>58</v>
      </c>
      <c r="F351" s="10" t="str">
        <f>INDEX(Products!$B$2:$B$101,MATCH(B351,Products!$A$2:$A$101,0))</f>
        <v>Cutlery Set</v>
      </c>
      <c r="G351" s="10" t="str">
        <f>INDEX(Products!$J$2:$J$101,MATCH(B351,Products!$A$2:$A$101,0))</f>
        <v>Home &amp; Kitchen</v>
      </c>
      <c r="H351" s="10">
        <f>INDEX(Products!$D$2:$D$101,MATCH(B351,Products!$A$2:$A$101,0))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Sales Analysis</vt:lpstr>
      <vt:lpstr>Finance Analysis</vt:lpstr>
      <vt:lpstr>HR Analysis</vt:lpstr>
      <vt:lpstr>Supply Chain Analysis</vt:lpstr>
      <vt:lpstr>Departments</vt:lpstr>
      <vt:lpstr>Employees</vt:lpstr>
      <vt:lpstr>Customers</vt:lpstr>
      <vt:lpstr>Suppliers</vt:lpstr>
      <vt:lpstr>Categories</vt:lpstr>
      <vt:lpstr>Products</vt:lpstr>
      <vt:lpstr>Orders</vt:lpstr>
      <vt:lpstr>OrderItems</vt:lpstr>
      <vt:lpstr>Payments</vt:lpstr>
      <vt:lpstr>InventoryTransactions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2</cp:revision>
  <dcterms:created xsi:type="dcterms:W3CDTF">2026-09-08T06:10:54Z</dcterms:created>
  <dcterms:modified xsi:type="dcterms:W3CDTF">2026-09-08T18:07:31Z</dcterms:modified>
  <dc:language>en-US</dc:language>
</cp:coreProperties>
</file>